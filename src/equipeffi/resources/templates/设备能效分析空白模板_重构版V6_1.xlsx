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 lockStructure="1"/>
  <sheets>
    <sheet name="变压器" sheetId="1" state="visible" r:id="rId1"/>
    <sheet name="电动机" sheetId="2" state="visible" r:id="rId2"/>
    <sheet name="空压机" sheetId="3" state="visible" r:id="rId3"/>
    <sheet name="离心泵" sheetId="4" state="visible" r:id="rId4"/>
    <sheet name="离心通风机" sheetId="5" state="visible" r:id="rId5"/>
    <sheet name="轴流通风机" sheetId="6" state="visible" r:id="rId6"/>
    <sheet name="鼓风机" sheetId="7" state="visible" r:id="rId7"/>
    <sheet name="潜水电泵" sheetId="8" state="visible" r:id="rId8"/>
    <sheet name="工业锅炉" sheetId="9" state="visible" r:id="rId9"/>
    <sheet name="热处理设备" sheetId="10" state="visible" r:id="rId10"/>
    <sheet name="热泵和冷水机组" sheetId="11" state="visible" r:id="rId11"/>
    <sheet name="热泵热水机" sheetId="12" state="visible" r:id="rId12"/>
    <sheet name="风管送风式空调" sheetId="13" state="visible" r:id="rId13"/>
    <sheet name="单元式空调" sheetId="14" state="visible" r:id="rId14"/>
    <sheet name="多联式空调" sheetId="15" state="visible" r:id="rId15"/>
    <sheet name="注意事项" sheetId="16" state="visible" r:id="rId16"/>
    <sheet name="模板说明" sheetId="17" state="visible" r:id="rId17"/>
    <sheet name="配置" sheetId="18" state="hidden" r:id="rId18"/>
  </sheets>
  <definedNames>
    <definedName name="EV_MOTOR_CATEGORY">'配置'!$V$2:$V$12</definedName>
    <definedName name="EV_POLES_LV">'配置'!$W$2:$W$6</definedName>
    <definedName name="EV_POLES_HV">'配置'!$X$2:$X$8</definedName>
    <definedName name="EV_POLES_PMSM">'配置'!$Y$2:$Y$14</definedName>
    <definedName name="EV_MOTOR_VOLTAGE">'配置'!$Z$2:$Z$7</definedName>
    <definedName name="EV_COOLING_MOTOR_HV">'配置'!$AA$2:$AA$13</definedName>
    <definedName name="EV_COOLING_PMSM">'配置'!$AB$2:$AB$13</definedName>
    <definedName name="EV_COMPRESSOR_CATEGORY">'配置'!$AC$2:$AC$8</definedName>
    <definedName name="EV_COMPRESSOR_COOLING">'配置'!$AD$2:$AD$5</definedName>
    <definedName name="EV_PUMP_CATEGORY">'配置'!$AE$2:$AE$11</definedName>
    <definedName name="EV_CENTRIFUGAL_FAN_CATEGORY">'配置'!$AF$2:$AF$4</definedName>
    <definedName name="EV_AXIAL_FAN_CATEGORY">'配置'!$AG$2:$AG$3</definedName>
    <definedName name="EV_TRANSMISSION">'配置'!$AH$2:$AH$6</definedName>
    <definedName name="EV_SUCTION">'配置'!$AI$2:$AI$3</definedName>
    <definedName name="EV_YES_NO">'配置'!$AJ$2:$AJ$5</definedName>
    <definedName name="EV_BLOWER_CATEGORY">'配置'!$AK$2:$AK$6</definedName>
    <definedName name="EV_SUBMERSIBLE_CATEGORY">'配置'!$AL$2:$AL$7</definedName>
    <definedName name="EV_SUB_FORM_SMALL">'配置'!$AM$2:$AM$8</definedName>
    <definedName name="EV_SUB_FORM_LARGE">'配置'!$AN$2:$AN$6</definedName>
    <definedName name="EV_SUB_FORM_WASTE">'配置'!$AO$2:$AO$6</definedName>
    <definedName name="EV_SUB_FORM_WELL">'配置'!$AP$2:$AP$6</definedName>
    <definedName name="EV_SUB_FORM_MIXED">'配置'!$AQ$2:$AQ$4</definedName>
    <definedName name="EV_SUB_FORM_ALL">'配置'!$AR$2:$AR$21</definedName>
    <definedName name="EV_BOILER_CATEGORY">'配置'!$AS$2:$AS$10</definedName>
    <definedName name="EV_FUEL">'配置'!$AT$2:$AT$11</definedName>
    <definedName name="EV_HEAT_TREAT_CATEGORY">'配置'!$AU$2:$AU$15</definedName>
    <definedName name="EV_ENERGY_TYPE">'配置'!$AV$2:$AV$8</definedName>
    <definedName name="EV_HP_CHILLER_CATEGORY">'配置'!$AW$2:$AW$10</definedName>
    <definedName name="EV_PRODUCT_STANDARD_HP">'配置'!$AX$2:$AX$14</definedName>
    <definedName name="EV_HP_UNIT_TYPE">'配置'!$AY$2:$AY$32</definedName>
    <definedName name="EV_HP_SOURCE">'配置'!$AZ$2:$AZ$13</definedName>
    <definedName name="EV_HP_SOURCE_ALL">'配置'!$BA$2:$BA$13</definedName>
    <definedName name="EV_HP_SOURCE_COMFORT">'配置'!$BB$2:$BB$5</definedName>
    <definedName name="EV_HP_SOURCE_DATA">'配置'!$BC$2:$BC$5</definedName>
    <definedName name="EV_HP_SOURCE_LOWTEMP">'配置'!$BD$2:$BD$4</definedName>
    <definedName name="EV_HP_SOURCE_WATER">'配置'!$BE$2:$BE$6</definedName>
    <definedName name="EV_HP_SOURCE_ABS">'配置'!$BF$2:$BF$4</definedName>
    <definedName name="EV_HP_SOURCE_HIGH">'配置'!$BG$2:$BG$4</definedName>
    <definedName name="EV_HP_SOURCE_EVAP">'配置'!$BH$2:$BH$3</definedName>
    <definedName name="EV_HP_SOURCE_INTEGRATED">'配置'!$BI$2:$BI$5</definedName>
    <definedName name="EV_HP_STD_ALL">'配置'!$BJ$2:$BJ$14</definedName>
    <definedName name="EV_HP_STD_COMFORT">'配置'!$BK$2:$BK$4</definedName>
    <definedName name="EV_HP_STD_DATA">'配置'!$BL$2:$BL$4</definedName>
    <definedName name="EV_HP_STD_LOWTEMP">'配置'!$BM$2:$BM$4</definedName>
    <definedName name="EV_HP_STD_WATER">'配置'!$BN$2:$BN$3</definedName>
    <definedName name="EV_HP_STD_ABS">'配置'!$BO$2:$BO$4</definedName>
    <definedName name="EV_HP_STD_HIGH">'配置'!$BP$2:$BP$3</definedName>
    <definedName name="EV_HP_STD_EVAP">'配置'!$BQ$2:$BQ$3</definedName>
    <definedName name="EV_HP_STD_INTEGRATED">'配置'!$BR$2:$BR$4</definedName>
    <definedName name="EV_HP_UNIT_COMFORT">'配置'!$BS$2:$BS$3</definedName>
    <definedName name="EV_HP_UNIT_DATA">'配置'!$BT$2:$BT$3</definedName>
    <definedName name="EV_HP_UNIT_LOWTEMP">'配置'!$BU$2:$BU$5</definedName>
    <definedName name="EV_HP_UNIT_WATER">'配置'!$BV$2:$BV$5</definedName>
    <definedName name="EV_HP_UNIT_ABS">'配置'!$BW$2:$BW$6</definedName>
    <definedName name="EV_HP_UNIT_HIGH">'配置'!$BX$2:$BX$3</definedName>
    <definedName name="EV_HP_UNIT_EVAP">'配置'!$BY$2:$BY$12</definedName>
    <definedName name="EV_HP_UNIT_INTEGRATED">'配置'!$BZ$2:$BZ$7</definedName>
    <definedName name="EV_HP_UNIT_ALL">'配置'!$CA$2:$CA$30</definedName>
    <definedName name="EV_HP_EVAL_SYSTEM">'配置'!$CB$2:$CB$5</definedName>
    <definedName name="EV_HPWH_CATEGORY">'配置'!$CC$2:$CC$4</definedName>
    <definedName name="EV_HEATING_METHOD">'配置'!$CD$2:$CD$6</definedName>
    <definedName name="EV_DUCT_CATEGORY">'配置'!$CE$2:$CE$4</definedName>
    <definedName name="EV_AC_COOLING_DUCT">'配置'!$CF$2:$CF$5</definedName>
    <definedName name="EV_AC_MODE">'配置'!$CG$2:$CG$5</definedName>
    <definedName name="EV_ENTHALPY">'配置'!$CH$2:$CH$5</definedName>
    <definedName name="EV_UNITARY_CATEGORY">'配置'!$CI$2:$CI$6</definedName>
    <definedName name="EV_AC_COOLING_UNITARY">'配置'!$CJ$2:$CJ$8</definedName>
    <definedName name="EV_MULTI_CATEGORY">'配置'!$CK$2:$CK$6</definedName>
    <definedName name="EV_WATER_SOURCE">'配置'!$CL$2:$CL$6</definedName>
    <definedName name="EV_MULTI_WATER">'配置'!$CM$2:$CM$5</definedName>
    <definedName name="EV_MULTI_NA">'配置'!$CN$2:$CN$2</definedName>
    <definedName name="EV_TRANSFORMER_CATEGORY">'配置'!$R$2:$R$38</definedName>
    <definedName name="EV_TRANSFORMER_CATEGORY_IDS">'配置'!$DK$2:$DK$38</definedName>
    <definedName name="EV_TR_COND_GB20052_T01">'配置'!$DL$2:$DL$5</definedName>
    <definedName name="EV_TR_COND_GB20052_T02">'配置'!$DM$2:$DM$7</definedName>
    <definedName name="EV_TR_COND_GB20052_T03">'配置'!$DN$2:$DN$2</definedName>
    <definedName name="EV_TR_COND_GB20052_T04">'配置'!$DO$2:$DO$2</definedName>
    <definedName name="EV_TR_COND_GB20052_T05">'配置'!$DP$2:$DP$2</definedName>
    <definedName name="EV_TR_COND_GB20052_T06">'配置'!$DQ$2:$DQ$2</definedName>
    <definedName name="EV_TR_COND_GB20052_T07">'配置'!$DR$2:$DR$2</definedName>
    <definedName name="EV_TR_COND_GB20052_T08">'配置'!$DS$2:$DS$2</definedName>
    <definedName name="EV_TR_COND_GB20052_T09">'配置'!$DT$2:$DT$2</definedName>
    <definedName name="EV_TR_COND_GB20052_T10">'配置'!$DU$2:$DU$2</definedName>
    <definedName name="EV_TR_COND_GB20052_T11">'配置'!$DV$2:$DV$2</definedName>
    <definedName name="EV_TR_COND_GB20052_T12">'配置'!$DW$2:$DW$2</definedName>
    <definedName name="EV_TR_COND_GB20052_T13">'配置'!$DX$2:$DX$2</definedName>
    <definedName name="EV_TR_COND_GB20052_T14">'配置'!$DY$2:$DY$2</definedName>
    <definedName name="EV_TR_COND_GB20052_T15">'配置'!$DZ$2:$DZ$2</definedName>
    <definedName name="EV_TR_COND_GB20052_T16">'配置'!$EA$2:$EA$2</definedName>
    <definedName name="EV_TR_COND_GB20052_T17">'配置'!$EB$2:$EB$2</definedName>
    <definedName name="EV_TR_COND_GB20052_T18">'配置'!$EC$2:$EC$2</definedName>
    <definedName name="EV_TR_COND_GB20052_T19">'配置'!$ED$2:$ED$2</definedName>
    <definedName name="EV_TR_COND_GB20052_T20">'配置'!$EE$2:$EE$2</definedName>
    <definedName name="EV_TR_COND_GB20052_T21">'配置'!$EF$2:$EF$2</definedName>
    <definedName name="EV_TR_COND_GB20052_T22">'配置'!$EG$2:$EG$2</definedName>
    <definedName name="EV_TR_COND_GB20052_T23">'配置'!$EH$2:$EH$2</definedName>
    <definedName name="EV_TR_COND_GB20052_T24">'配置'!$EI$2:$EI$2</definedName>
    <definedName name="EV_TR_COND_GB20052_T25">'配置'!$EJ$2:$EJ$2</definedName>
    <definedName name="EV_TR_COND_GB20052_T26">'配置'!$EK$2:$EK$2</definedName>
    <definedName name="EV_TR_COND_GB20052_T27">'配置'!$EL$2:$EL$2</definedName>
    <definedName name="EV_TR_COND_GB20052_T28">'配置'!$EM$2:$EM$2</definedName>
    <definedName name="EV_TR_COND_GB20052_T29">'配置'!$EN$2:$EN$4</definedName>
    <definedName name="EV_TR_COND_GB20052_T30">'配置'!$EO$2:$EO$10</definedName>
    <definedName name="EV_TR_COND_GB20052_T31">'配置'!$EP$2:$EP$4</definedName>
    <definedName name="EV_TR_COND_GB20052_T32">'配置'!$EQ$2:$EQ$10</definedName>
    <definedName name="EV_TR_COND_GB20052_T33">'配置'!$ER$2:$ER$4</definedName>
    <definedName name="EV_TR_COND_GB20052_T34">'配置'!$ES$2:$ES$10</definedName>
    <definedName name="EV_TR_COND_GB20052_T35">'配置'!$ET$2:$ET$4</definedName>
    <definedName name="EV_TR_COND_OTHER_CATEGORY">'配置'!$EU$2:$EU$2</definedName>
    <definedName name="EV_TR_COND_UNCERTAIN_CATEGORY">'配置'!$EV$2:$EV$2</definedName>
    <definedName name="EV_TR_COND_NONE">'配置'!$DM$1:$DM$1</definedName>
    <definedName name="EQUIPEFFI_TEMPLATE_ID">"equipeffi.device-efficiency.V6"</definedName>
    <definedName name="EQUIPEFFI_TEMPLATE_VERSION">"V6.1"</definedName>
    <definedName name="EQUIPEFFI_TEMPLATE_CONTRACT_REVISION">"unified-v6.v2"</definedName>
    <definedName name="EQUIPEFFI_SHEET_CONTRACT_transformer">"transformer-input.v1"</definedName>
    <definedName name="EQUIPEFFI_SHEET_CONTRACT_motor">"v6-preserved"</definedName>
    <definedName name="EQUIPEFFI_SHEET_CONTRACT_compressor">"v6-preserved"</definedName>
    <definedName name="EQUIPEFFI_SHEET_CONTRACT_centrifugal_pump">"pump-input.v1"</definedName>
    <definedName name="EQUIPEFFI_SHEET_CONTRACT_centrifugal_fan">"v6-preserved"</definedName>
    <definedName name="EQUIPEFFI_SHEET_CONTRACT_axial_fan">"v6-preserved"</definedName>
    <definedName name="EQUIPEFFI_SHEET_CONTRACT_blower">"v6-preserved"</definedName>
    <definedName name="EQUIPEFFI_SHEET_CONTRACT_submersible_pump">"v6-preserved"</definedName>
    <definedName name="EQUIPEFFI_SHEET_CONTRACT_industrial_boiler">"v6-preserved"</definedName>
    <definedName name="EQUIPEFFI_SHEET_CONTRACT_heat_treatment">"v6-preserved"</definedName>
    <definedName name="EQUIPEFFI_SHEET_CONTRACT_heat_pump_chiller">"v6-preserved"</definedName>
    <definedName name="EQUIPEFFI_SHEET_CONTRACT_heat_pump_water_heater">"v6-preserved"</definedName>
    <definedName name="EQUIPEFFI_SHEET_CONTRACT_duct_ac">"v6-preserved"</definedName>
    <definedName name="EQUIPEFFI_SHEET_CONTRACT_unitary_ac">"v6-preserved"</definedName>
    <definedName name="EQUIPEFFI_SHEET_CONTRACT_multi_split_ac">"v6-preserved"</definedName>
    <definedName name="EQUIPEFFI_SHEET_CONTRACT_instructions">"unified-notes.v2"</definedName>
    <definedName name="EQUIPEFFI_SHEET_CONTRACT_template_notes">"unified-notes.v2"</definedName>
    <definedName name="EQUIPEFFI_SHEET_CONTRACT_configuration">"unified-config.v2"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-mm-dd"/>
  </numFmts>
  <fonts count="18">
    <font>
      <name val="Carlito"/>
      <sz val="11"/>
    </font>
    <font>
      <name val="微软雅黑"/>
      <b val="1"/>
      <color rgb="FFFFFFFF"/>
      <sz val="14"/>
    </font>
    <font>
      <name val="微软雅黑"/>
      <b val="1"/>
      <color rgb="FFFFFFFF"/>
      <sz val="15"/>
    </font>
    <font>
      <name val="微软雅黑"/>
      <b val="1"/>
      <color rgb="FF203040"/>
      <sz val="10"/>
    </font>
    <font>
      <name val="微软雅黑"/>
      <b val="1"/>
      <color rgb="FF1F2937"/>
      <sz val="9"/>
    </font>
    <font>
      <name val="微软雅黑"/>
      <color rgb="FF1F2937"/>
      <sz val="9"/>
    </font>
    <font>
      <name val="微软雅黑"/>
      <b val="1"/>
      <color rgb="FFFFFFFF"/>
      <sz val="16"/>
    </font>
    <font>
      <name val="微软雅黑"/>
      <color rgb="FF243444"/>
      <sz val="10"/>
    </font>
    <font>
      <name val="微软雅黑"/>
      <b val="1"/>
      <color rgb="FFFFFFFF"/>
      <sz val="11"/>
    </font>
    <font>
      <name val="微软雅黑"/>
      <sz val="9"/>
    </font>
    <font>
      <name val="微软雅黑"/>
      <b val="1"/>
      <color rgb="FF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b val="1"/>
      <color rgb="FFFFFFFF"/>
      <sz val="8"/>
    </font>
    <font>
      <name val="微软雅黑"/>
      <sz val="8"/>
    </font>
    <font>
      <name val="微软雅黑"/>
      <b val="1"/>
      <color rgb="FF1F2937"/>
      <sz val="15"/>
    </font>
    <font>
      <name val="微软雅黑"/>
      <b val="1"/>
      <color rgb="FF1F2937"/>
      <sz val="14"/>
    </font>
  </fonts>
  <fills count="1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12">
    <border/>
    <border>
      <left style="medium">
        <color rgb="FF244A64"/>
      </left>
      <top style="medium">
        <color rgb="FF244A64"/>
      </top>
      <bottom style="medium">
        <color rgb="FF244A64"/>
      </bottom>
    </border>
    <border>
      <top style="medium">
        <color rgb="FF244A64"/>
      </top>
      <bottom style="medium">
        <color rgb="FF244A64"/>
      </bottom>
    </border>
    <border>
      <right style="medium">
        <color rgb="FF244A64"/>
      </right>
      <top style="medium">
        <color rgb="FF244A64"/>
      </top>
      <bottom style="medium">
        <color rgb="FF244A64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top style="medium">
        <color rgb="FF244A64"/>
      </top>
    </border>
    <border>
      <right style="medium">
        <color rgb="FF244A64"/>
      </right>
      <top style="medium">
        <color rgb="FF244A64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4" pivotButton="0" quotePrefix="0" xfId="0"/>
    <xf numFmtId="0" fontId="4" fillId="3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5" pivotButton="0" quotePrefix="0" xfId="0"/>
    <xf numFmtId="0" fontId="5" fillId="3" borderId="5" applyAlignment="1" pivotButton="0" quotePrefix="0" xfId="0">
      <alignment wrapText="1"/>
    </xf>
    <xf numFmtId="0" fontId="5" fillId="3" borderId="5" applyAlignment="1" pivotButton="0" quotePrefix="0" xfId="0">
      <alignment horizontal="right" wrapText="1"/>
    </xf>
    <xf numFmtId="0" fontId="5" fillId="3" borderId="5" applyAlignment="1" pivotButton="0" quotePrefix="0" xfId="0">
      <alignment horizontal="right" vertical="center" wrapText="1"/>
    </xf>
    <xf numFmtId="1" fontId="5" fillId="3" borderId="5" applyAlignment="1" pivotButton="0" quotePrefix="0" xfId="0">
      <alignment horizontal="right" vertical="center" wrapText="1"/>
    </xf>
    <xf numFmtId="0" fontId="0" fillId="4" borderId="0" pivotButton="0" quotePrefix="0" xfId="0"/>
    <xf numFmtId="0" fontId="5" fillId="4" borderId="0" pivotButton="0" quotePrefix="0" xfId="0"/>
    <xf numFmtId="0" fontId="5" fillId="4" borderId="5" pivotButton="0" quotePrefix="0" xfId="0"/>
    <xf numFmtId="0" fontId="5" fillId="4" borderId="5" applyAlignment="1" pivotButton="0" quotePrefix="0" xfId="0">
      <alignment wrapText="1"/>
    </xf>
    <xf numFmtId="0" fontId="5" fillId="4" borderId="5" applyAlignment="1" pivotButton="0" quotePrefix="0" xfId="0">
      <alignment horizontal="left" wrapText="1"/>
    </xf>
    <xf numFmtId="0" fontId="5" fillId="4" borderId="5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right" wrapText="1"/>
    </xf>
    <xf numFmtId="0" fontId="5" fillId="4" borderId="5" applyAlignment="1" pivotButton="0" quotePrefix="0" xfId="0">
      <alignment horizontal="right" vertical="center" wrapText="1"/>
    </xf>
    <xf numFmtId="1" fontId="5" fillId="4" borderId="5" applyAlignment="1" pivotButton="0" quotePrefix="0" xfId="0">
      <alignment horizontal="right" vertical="center" wrapText="1"/>
    </xf>
    <xf numFmtId="0" fontId="3" fillId="4" borderId="4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wrapText="1"/>
    </xf>
    <xf numFmtId="0" fontId="4" fillId="5" borderId="4" applyAlignment="1" pivotButton="0" quotePrefix="0" xfId="0">
      <alignment horizont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horizontal="left" wrapText="1"/>
    </xf>
    <xf numFmtId="0" fontId="5" fillId="5" borderId="5" applyAlignment="1" pivotButton="0" quotePrefix="0" xfId="0">
      <alignment horizontal="left" vertical="center" wrapText="1"/>
    </xf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wrapText="1"/>
    </xf>
    <xf numFmtId="0" fontId="4" fillId="4" borderId="4" applyAlignment="1" pivotButton="0" quotePrefix="0" xfId="0">
      <alignment horizontal="center" wrapText="1"/>
    </xf>
    <xf numFmtId="0" fontId="4" fillId="4" borderId="4" applyAlignment="1" pivotButton="0" quotePrefix="0" xfId="0">
      <alignment horizontal="center" vertical="center" wrapText="1"/>
    </xf>
    <xf numFmtId="2" fontId="5" fillId="4" borderId="5" applyAlignment="1" pivotButton="0" quotePrefix="0" xfId="0">
      <alignment horizontal="right" vertical="center" wrapText="1"/>
    </xf>
    <xf numFmtId="0" fontId="3" fillId="6" borderId="4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4" pivotButton="0" quotePrefix="0" xfId="0"/>
    <xf numFmtId="0" fontId="4" fillId="6" borderId="4" applyAlignment="1" pivotButton="0" quotePrefix="0" xfId="0">
      <alignment wrapText="1"/>
    </xf>
    <xf numFmtId="0" fontId="4" fillId="6" borderId="4" applyAlignment="1" pivotButton="0" quotePrefix="0" xfId="0">
      <alignment horizont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0" pivotButton="0" quotePrefix="0" xfId="0"/>
    <xf numFmtId="0" fontId="5" fillId="6" borderId="5" pivotButton="0" quotePrefix="0" xfId="0"/>
    <xf numFmtId="0" fontId="5" fillId="6" borderId="5" applyAlignment="1" pivotButton="0" quotePrefix="0" xfId="0">
      <alignment wrapText="1"/>
    </xf>
    <xf numFmtId="0" fontId="5" fillId="6" borderId="5" applyAlignment="1" pivotButton="0" quotePrefix="0" xfId="0">
      <alignment horizontal="right" wrapText="1"/>
    </xf>
    <xf numFmtId="0" fontId="5" fillId="6" borderId="5" applyAlignment="1" pivotButton="0" quotePrefix="0" xfId="0">
      <alignment horizontal="right" vertical="center" wrapText="1"/>
    </xf>
    <xf numFmtId="2" fontId="5" fillId="6" borderId="5" applyAlignment="1" pivotButton="0" quotePrefix="0" xfId="0">
      <alignment horizontal="right" vertical="center" wrapText="1"/>
    </xf>
    <xf numFmtId="0" fontId="3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4" pivotButton="0" quotePrefix="0" xfId="0"/>
    <xf numFmtId="0" fontId="4" fillId="7" borderId="4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5" fillId="7" borderId="0" pivotButton="0" quotePrefix="0" xfId="0"/>
    <xf numFmtId="0" fontId="5" fillId="7" borderId="5" pivotButton="0" quotePrefix="0" xfId="0"/>
    <xf numFmtId="0" fontId="5" fillId="7" borderId="5" applyAlignment="1" pivotButton="0" quotePrefix="0" xfId="0">
      <alignment wrapText="1"/>
    </xf>
    <xf numFmtId="0" fontId="5" fillId="7" borderId="5" applyAlignment="1" pivotButton="0" quotePrefix="0" xfId="0">
      <alignment horizontal="left" wrapText="1"/>
    </xf>
    <xf numFmtId="0" fontId="5" fillId="7" borderId="5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center" vertical="center"/>
    </xf>
    <xf numFmtId="0" fontId="0" fillId="8" borderId="0" pivotButton="0" quotePrefix="0" xfId="0"/>
    <xf numFmtId="0" fontId="4" fillId="8" borderId="0" pivotButton="0" quotePrefix="0" xfId="0"/>
    <xf numFmtId="0" fontId="4" fillId="8" borderId="4" pivotButton="0" quotePrefix="0" xfId="0"/>
    <xf numFmtId="0" fontId="4" fillId="8" borderId="4" applyAlignment="1" pivotButton="0" quotePrefix="0" xfId="0">
      <alignment wrapText="1"/>
    </xf>
    <xf numFmtId="0" fontId="4" fillId="8" borderId="4" applyAlignment="1" pivotButton="0" quotePrefix="0" xfId="0">
      <alignment horizontal="center" wrapText="1"/>
    </xf>
    <xf numFmtId="0" fontId="4" fillId="8" borderId="4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8" borderId="5" pivotButton="0" quotePrefix="0" xfId="0"/>
    <xf numFmtId="0" fontId="5" fillId="8" borderId="5" applyAlignment="1" pivotButton="0" quotePrefix="0" xfId="0">
      <alignment wrapText="1"/>
    </xf>
    <xf numFmtId="0" fontId="5" fillId="8" borderId="5" applyAlignment="1" pivotButton="0" quotePrefix="0" xfId="0">
      <alignment horizontal="left" wrapText="1"/>
    </xf>
    <xf numFmtId="0" fontId="5" fillId="8" borderId="5" applyAlignment="1" pivotButton="0" quotePrefix="0" xfId="0">
      <alignment horizontal="left"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5" pivotButton="0" quotePrefix="0" xfId="0"/>
    <xf numFmtId="0" fontId="5" fillId="9" borderId="5" applyAlignment="1" pivotButton="0" quotePrefix="0" xfId="0">
      <alignment wrapText="1"/>
    </xf>
    <xf numFmtId="0" fontId="5" fillId="9" borderId="5" applyAlignment="1" pivotButton="0" quotePrefix="0" xfId="0">
      <alignment horizontal="right" wrapText="1"/>
    </xf>
    <xf numFmtId="0" fontId="5" fillId="9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wrapText="1"/>
    </xf>
    <xf numFmtId="0" fontId="5" fillId="5" borderId="5" applyAlignment="1" pivotButton="0" quotePrefix="0" xfId="0">
      <alignment horizontal="right" vertical="center" wrapText="1"/>
    </xf>
    <xf numFmtId="0" fontId="3" fillId="10" borderId="4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0" pivotButton="0" quotePrefix="0" xfId="0"/>
    <xf numFmtId="0" fontId="4" fillId="10" borderId="4" pivotButton="0" quotePrefix="0" xfId="0"/>
    <xf numFmtId="0" fontId="4" fillId="10" borderId="4" applyAlignment="1" pivotButton="0" quotePrefix="0" xfId="0">
      <alignment wrapText="1"/>
    </xf>
    <xf numFmtId="0" fontId="4" fillId="10" borderId="4" applyAlignment="1" pivotButton="0" quotePrefix="0" xfId="0">
      <alignment horizontal="center" wrapText="1"/>
    </xf>
    <xf numFmtId="0" fontId="4" fillId="10" borderId="4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0" borderId="5" pivotButton="0" quotePrefix="0" xfId="0"/>
    <xf numFmtId="0" fontId="5" fillId="10" borderId="5" applyAlignment="1" pivotButton="0" quotePrefix="0" xfId="0">
      <alignment wrapText="1"/>
    </xf>
    <xf numFmtId="0" fontId="5" fillId="10" borderId="5" applyAlignment="1" pivotButton="0" quotePrefix="0" xfId="0">
      <alignment horizontal="left" wrapText="1"/>
    </xf>
    <xf numFmtId="0" fontId="5" fillId="10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right" wrapText="1"/>
    </xf>
    <xf numFmtId="0" fontId="5" fillId="10" borderId="5" applyAlignment="1" pivotButton="0" quotePrefix="0" xfId="0">
      <alignment horizontal="right" vertical="center" wrapText="1"/>
    </xf>
    <xf numFmtId="2" fontId="5" fillId="10" borderId="5" applyAlignment="1" pivotButton="0" quotePrefix="0" xfId="0">
      <alignment horizontal="right" vertical="center" wrapText="1"/>
    </xf>
    <xf numFmtId="164" fontId="5" fillId="4" borderId="5" applyAlignment="1" pivotButton="0" quotePrefix="0" xfId="0">
      <alignment horizontal="right" vertical="center" wrapText="1"/>
    </xf>
    <xf numFmtId="165" fontId="5" fillId="4" borderId="5" applyAlignment="1" pivotButton="0" quotePrefix="0" xfId="0">
      <alignment horizontal="right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10" borderId="0" pivotButton="0" quotePrefix="0" xfId="0"/>
    <xf numFmtId="0" fontId="9" fillId="6" borderId="0" pivotButton="0" quotePrefix="0" xfId="0"/>
    <xf numFmtId="0" fontId="9" fillId="9" borderId="0" pivotButton="0" quotePrefix="0" xfId="0"/>
    <xf numFmtId="0" fontId="9" fillId="0" borderId="4" pivotButton="0" quotePrefix="0" xfId="0"/>
    <xf numFmtId="0" fontId="9" fillId="4" borderId="4" pivotButton="0" quotePrefix="0" xfId="0"/>
    <xf numFmtId="0" fontId="9" fillId="5" borderId="4" pivotButton="0" quotePrefix="0" xfId="0"/>
    <xf numFmtId="0" fontId="9" fillId="10" borderId="4" pivotButton="0" quotePrefix="0" xfId="0"/>
    <xf numFmtId="0" fontId="9" fillId="6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wrapText="1"/>
    </xf>
    <xf numFmtId="0" fontId="9" fillId="4" borderId="4" applyAlignment="1" pivotButton="0" quotePrefix="0" xfId="0">
      <alignment wrapText="1"/>
    </xf>
    <xf numFmtId="0" fontId="9" fillId="5" borderId="4" applyAlignment="1" pivotButton="0" quotePrefix="0" xfId="0">
      <alignment wrapText="1"/>
    </xf>
    <xf numFmtId="0" fontId="9" fillId="10" borderId="4" applyAlignment="1" pivotButton="0" quotePrefix="0" xfId="0">
      <alignment wrapText="1"/>
    </xf>
    <xf numFmtId="0" fontId="9" fillId="6" borderId="4" applyAlignment="1" pivotButton="0" quotePrefix="0" xfId="0">
      <alignment wrapText="1"/>
    </xf>
    <xf numFmtId="0" fontId="9" fillId="9" borderId="4" applyAlignment="1" pivotButton="0" quotePrefix="0" xfId="0">
      <alignment wrapText="1"/>
    </xf>
    <xf numFmtId="0" fontId="9" fillId="0" borderId="4" applyAlignment="1" pivotButton="0" quotePrefix="0" xfId="0">
      <alignment vertical="center" wrapText="1"/>
    </xf>
    <xf numFmtId="0" fontId="9" fillId="4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9" fillId="10" borderId="4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0" fillId="11" borderId="0" pivotButton="0" quotePrefix="0" xfId="0"/>
    <xf numFmtId="0" fontId="10" fillId="11" borderId="0" pivotButton="0" quotePrefix="0" xfId="0"/>
    <xf numFmtId="0" fontId="10" fillId="11" borderId="0" applyAlignment="1" pivotButton="0" quotePrefix="0" xfId="0">
      <alignment horizontal="center"/>
    </xf>
    <xf numFmtId="166" fontId="9" fillId="0" borderId="4" applyAlignment="1" pivotButton="0" quotePrefix="0" xfId="0">
      <alignment vertical="center" wrapText="1"/>
    </xf>
    <xf numFmtId="0" fontId="11" fillId="3" borderId="0" pivotButton="0" quotePrefix="0" xfId="0"/>
    <xf numFmtId="0" fontId="11" fillId="3" borderId="4" pivotButton="0" quotePrefix="0" xfId="0"/>
    <xf numFmtId="0" fontId="11" fillId="3" borderId="4" applyAlignment="1" pivotButton="0" quotePrefix="0" xfId="0">
      <alignment horizontal="center"/>
    </xf>
    <xf numFmtId="0" fontId="11" fillId="3" borderId="4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4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horizontal="center"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5" fillId="4" borderId="5" applyAlignment="1" applyProtection="1" pivotButton="0" quotePrefix="0" xfId="0">
      <alignment horizontal="left" vertical="center" wrapText="1"/>
      <protection locked="0" hidden="0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5" fillId="8" borderId="5" applyAlignment="1" applyProtection="1" pivotButton="0" quotePrefix="0" xfId="0">
      <alignment horizontal="left" vertical="center" wrapText="1"/>
      <protection locked="0" hidden="0"/>
    </xf>
    <xf numFmtId="0" fontId="5" fillId="5" borderId="5" applyAlignment="1" applyProtection="1" pivotButton="0" quotePrefix="0" xfId="0">
      <alignment horizontal="right" vertical="center" wrapText="1"/>
      <protection locked="0" hidden="0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0" fontId="0" fillId="0" borderId="0" pivotButton="0" quotePrefix="0" xfId="0"/>
    <xf numFmtId="0" fontId="5" fillId="13" borderId="5" applyAlignment="1" applyProtection="1" pivotButton="0" quotePrefix="0" xfId="0">
      <alignment horizontal="left" vertical="center" wrapText="1"/>
      <protection locked="0" hidden="0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0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0" fontId="5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right" vertical="center" wrapText="1"/>
    </xf>
    <xf numFmtId="2" fontId="5" fillId="14" borderId="5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4" borderId="4" applyAlignment="1" pivotButton="0" quotePrefix="0" xfId="0">
      <alignment horizontal="center" vertical="center"/>
    </xf>
    <xf numFmtId="0" fontId="3" fillId="15" borderId="4" applyAlignment="1" pivotButton="0" quotePrefix="0" xfId="0">
      <alignment horizontal="center" vertical="center"/>
    </xf>
    <xf numFmtId="0" fontId="3" fillId="13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4" fillId="16" borderId="4" applyAlignment="1" pivotButton="0" quotePrefix="0" xfId="0">
      <alignment horizontal="center" vertical="center" wrapText="1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49" fontId="5" fillId="5" borderId="5" applyAlignment="1" applyProtection="1" pivotButton="0" quotePrefix="0" xfId="0">
      <alignment horizontal="left"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1" fontId="5" fillId="3" borderId="5" applyAlignment="1" pivotButton="0" quotePrefix="0" xfId="0">
      <alignment horizontal="right" vertical="center" wrapText="1"/>
    </xf>
    <xf numFmtId="1" fontId="5" fillId="5" borderId="5" applyAlignment="1" applyProtection="1" pivotButton="0" quotePrefix="0" xfId="0">
      <alignment horizontal="right" vertical="center" wrapText="1"/>
      <protection locked="0" hidden="0"/>
    </xf>
    <xf numFmtId="2" fontId="5" fillId="5" borderId="5" applyAlignment="1" applyProtection="1" pivotButton="0" quotePrefix="0" xfId="0">
      <alignment horizontal="right" vertical="center" wrapText="1"/>
      <protection locked="0" hidden="0"/>
    </xf>
    <xf numFmtId="2" fontId="5" fillId="6" borderId="5" applyAlignment="1" pivotButton="0" quotePrefix="0" xfId="0">
      <alignment horizontal="right" vertical="center" wrapText="1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17" fillId="13" borderId="3" applyAlignment="1" pivotButton="0" quotePrefix="0" xfId="0">
      <alignment horizontal="center" vertical="center"/>
    </xf>
    <xf numFmtId="1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3" borderId="5" applyAlignment="1" applyProtection="1" pivotButton="0" quotePrefix="0" xfId="0">
      <alignment horizontal="right" vertical="center" wrapText="1"/>
      <protection locked="0" hidden="0"/>
    </xf>
    <xf numFmtId="2" fontId="5" fillId="14" borderId="5" applyAlignment="1" pivotButton="0" quotePrefix="0" xfId="0">
      <alignment horizontal="left" vertical="center" wrapText="1"/>
    </xf>
    <xf numFmtId="2" fontId="5" fillId="14" borderId="5" applyAlignment="1" pivotButton="0" quotePrefix="0" xfId="0">
      <alignment horizontal="right" vertical="center" wrapText="1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2" fontId="5" fillId="10" borderId="5" applyAlignment="1" pivotButton="0" quotePrefix="0" xfId="0">
      <alignment horizontal="right" vertical="center" wrapText="1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166" fontId="9" fillId="0" borderId="4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blTransformer" displayName="TblTransformer" ref="A3:Y103" headerRowCount="1" totalsRowCount="0" totalsRowShown="0">
  <autoFilter ref="A3:Y103"/>
  <tableColumns count="25">
    <tableColumn id="1" name="序号">
      <calculatedColumnFormula>IF(COUNTA(B4:K4,S4:T4,V4:Y4)&gt;0,ROW()-3,"")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容量&#10;(kVA)"/>
    <tableColumn id="8" name="标准条件"/>
    <tableColumn id="9" name="额定阻抗&#10;(%)"/>
    <tableColumn id="10" name="空载损耗&#10;(W)"/>
    <tableColumn id="11" name="负载损耗&#10;(W)"/>
    <tableColumn id="12" name="空载损耗-1级&#10;(W)"/>
    <tableColumn id="13" name="空载损耗-2级&#10;(W)"/>
    <tableColumn id="14" name="空载损耗-3级&#10;(W)"/>
    <tableColumn id="15" name="负载损耗-1级&#10;(W)"/>
    <tableColumn id="16" name="负载损耗-2级&#10;(W)"/>
    <tableColumn id="17" name="负载损耗-3级&#10;(W)"/>
    <tableColumn id="18" name="能效结论"/>
    <tableColumn id="19" name="铭牌照片"/>
    <tableColumn id="20" name="填表备注"/>
    <tableColumn id="21" name="自动备注"/>
    <tableColumn id="22" name="高压额定电压&#10;(kV)"/>
    <tableColumn id="23" name="低压额定电压&#10;(kV)"/>
    <tableColumn id="24" name="额定阻抗高—低&#10;(%)"/>
    <tableColumn id="25" name="额定阻抗中—低&#10;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tor" displayName="TblMotor" ref="A3:T103" headerRowCount="1" totalsRowCount="0" totalsRowShown="0">
  <autoFilter ref="A3:T103"/>
  <tableColumns count="20">
    <tableColumn id="1" name="序号">
      <calculatedColumnFormula>IF(COUNTA(B4,C4,D4,E4,F4,G4,H4,I4,J4,K4,L4,M4,R4,S4)&gt;0,ROW()-3,"")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额定电压_x000a_(kV)"/>
    <tableColumn id="8" name="额定频率_x000a_(Hz)"/>
    <tableColumn id="9" name="冷却方式"/>
    <tableColumn id="10" name="额定功率_x000a_(kW)"/>
    <tableColumn id="11" name="极数_x000a_(极)"/>
    <tableColumn id="12" name="额定转速_x000a_(r/min)"/>
    <tableColumn id="13" name="效率_x000a_(%)"/>
    <tableColumn id="14" name="1级对应效率指标_x000a_(%)"/>
    <tableColumn id="15" name="2级对应效率指标_x000a_(%)"/>
    <tableColumn id="16" name="3级对应效率指标_x000a_(%)"/>
    <tableColumn id="17" name="能效等级"/>
    <tableColumn id="18" name="铭牌照片"/>
    <tableColumn id="19" name="填表备注"/>
    <tableColumn id="20" name="自动备注">
      <calculatedColumnFormula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mpressor" displayName="TblCompressor" ref="A3:R13" headerRowCount="1" totalsRowCount="0" totalsRowShown="0">
  <autoFilter ref="A3:R13"/>
  <tableColumns count="18">
    <tableColumn id="1" name="序号">
      <calculatedColumnFormula>IF(COUNTA(B4,C4,D4,E4,F4,G4,H4,I4,J4,K4,P4,Q4)&gt;0,ROW()-3,"")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驱动电动机额定功率（合计）_x000a_(kW)"/>
    <tableColumn id="8" name="容积流量_x000a_(m³/min)"/>
    <tableColumn id="9" name="额定排气压力_x000a_(MPa)"/>
    <tableColumn id="10" name="冷却方式"/>
    <tableColumn id="11" name="机组比功率_x000a_(kW/(m³/min))"/>
    <tableColumn id="12" name="1级机组比功率_x000a_(kW/(m³/min))"/>
    <tableColumn id="13" name="2级机组比功率_x000a_(kW/(m³/min))"/>
    <tableColumn id="14" name="3级机组比功率_x000a_(kW/(m³/min))"/>
    <tableColumn id="15" name="能效等级"/>
    <tableColumn id="16" name="铭牌照片"/>
    <tableColumn id="17" name="填表备注"/>
    <tableColumn id="18" name="自动备注">
      <calculatedColumnFormula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ump" displayName="TblPump" ref="A3:AA103" headerRowCount="1" totalsRowCount="0" totalsRowShown="0">
  <autoFilter ref="A3:AA103"/>
  <tableColumns count="27">
    <tableColumn id="1" name="序号">
      <calculatedColumnFormula>IF(OR(B4&lt;&gt;"",C4&lt;&gt;"",D4&lt;&gt;"",E4&lt;&gt;"",F4&lt;&gt;"",G4&lt;&gt;"",H4&lt;&gt;"",I4&lt;&gt;"",J4&lt;&gt;"",M4&lt;&gt;"",Y4&lt;&gt;"",Z4&lt;&gt;""),ROW()-3,"")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流量_x000a_(m³/h)"/>
    <tableColumn id="8" name="扬程_x000a_(m)"/>
    <tableColumn id="9" name="额定转速_x000a_(r/min)"/>
    <tableColumn id="10" name="额定功率_x000a_(kW)"/>
    <tableColumn id="11" name="单吸/双吸"/>
    <tableColumn id="12" name="级数_x000a_(级)"/>
    <tableColumn id="13" name="泵效率_x000a_(%)"/>
    <tableColumn id="14" name="比转速">
      <calculatedColumnFormula>IF(NOT(OR(B4&lt;&gt;"",C4&lt;&gt;"",D4&lt;&gt;"",E4&lt;&gt;"",F4&lt;&gt;"",G4&lt;&gt;"",H4&lt;&gt;"",I4&lt;&gt;"",J4&lt;&gt;"",M4&lt;&gt;"",Y4&lt;&gt;"",Z4&lt;&gt;"")),"",IF(NOT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),"",IF(OR(NOT(ISNUMBER(G4)),G4&lt;=0,NOT(ISNUMBER(H4)),H4&lt;=0,NOT(ISNUMBER(I4)),I4&lt;=0),"",IF(AND(OR(F4="管道清水离心泵",F4="多级清水离心泵",F4="轻型多级清水离心泵（立式）",F4="轻型多级清水离心泵（卧式）",F4="单级石油化工离心泵",F4="多级石油化工离心泵"),NOT(OR(K4="单吸",K4="双吸"))),"",IF(AND(OR(F4="多级清水离心泵",F4="轻型多级清水离心泵（立式）",F4="轻型多级清水离心泵（卧式）",F4="多级石油化工离心泵"),NOT(IF(ISNUMBER(L4),AND(L4&gt;=2,L4=INT(L4)),FALSE))),"",3.65*I4*SQRT((G4/3600)/IF(F4="单级双吸清水离心泵",2,IF(F4="单级单吸清水离心泵",1,IF(K4="双吸",2,1))))/(H4/IF(OR(F4="多级清水离心泵",F4="轻型多级清水离心泵（立式）",F4="轻型多级清水离心泵（卧式）",F4="多级石油化工离心泵"),L4,1))^0.75)))))</calculatedColumnFormula>
    </tableColumn>
    <tableColumn id="15" name="C1">
      <calculatedColumnFormula>IF(NOT(OR(B4&lt;&gt;"",C4&lt;&gt;"",D4&lt;&gt;"",E4&lt;&gt;"",F4&lt;&gt;"",G4&lt;&gt;"",H4&lt;&gt;"",I4&lt;&gt;"",J4&lt;&gt;"",M4&lt;&gt;"",Y4&lt;&gt;"",Z4&lt;&gt;"")),"",IF(F4="单级单吸清水离心泵",IF(AND(ISNUMBER(G4),G4&gt;=5,G4&lt;=300),161.33,IF(AND(ISNUMBER(G4),G4&gt;300,G4&lt;=10000),162.33,"")),IF(F4="单级双吸清水离心泵",IF(AND(ISNUMBER(G4),G4&gt;=50,G4&lt;=600),161.33,IF(AND(ISNUMBER(G4),G4&gt;600,G4&lt;=20000),162.33,"")),IF(F4="管道清水离心泵",IF(AND(ISNUMBER(G4),G4&gt;=5,G4&lt;=300),163.33,IF(AND(ISNUMBER(G4),G4&gt;300,G4&lt;=3000),164.33,"")),IF(F4="多级清水离心泵",IF(AND(ISNUMBER(G4),G4&gt;=5,G4&lt;=100),139.33,IF(AND(ISNUMBER(G4),G4&gt;100,G4&lt;=3000),140.33,"")),IF(F4="轻型多级清水离心泵（立式）",IF(AND(ISNUMBER(G4),G4&gt;=5,G4&lt;=300),137.33,""),IF(F4="轻型多级清水离心泵（卧式）",IF(AND(ISNUMBER(G4),G4&gt;=5,G4&lt;=300),140.33,""),"")))))))</calculatedColumnFormula>
    </tableColumn>
    <tableColumn id="16" name="C2">
      <calculatedColumnFormula>IF(O4="","",IF(OR(F4="单级单吸清水离心泵",F4="单级双吸清水离心泵"),163.33,IF(F4="管道清水离心泵",165.33,IF(F4="多级清水离心泵",142.33,IF(F4="轻型多级清水离心泵（立式）",139.33,IF(F4="轻型多级清水离心泵（卧式）",142.33,""))))))</calculatedColumnFormula>
    </tableColumn>
    <tableColumn id="17" name="C3">
      <calculatedColumnFormula>IF(O4="","",IF(OR(F4="单级单吸清水离心泵",F4="单级双吸清水离心泵"),168.33,IF(F4="管道清水离心泵",171.33,IF(F4="多级清水离心泵",150.33,IF(F4="轻型多级清水离心泵（立式）",144.33,IF(F4="轻型多级清水离心泵（卧式）",147.33,""))))))</calculatedColumnFormula>
    </tableColumn>
    <tableColumn id="18" name="基准效率_x000a_(%)">
      <calculatedColumnFormula>IF(NOT(OR(B4&lt;&gt;"",C4&lt;&gt;"",D4&lt;&gt;"",E4&lt;&gt;"",F4&lt;&gt;"",G4&lt;&gt;"",H4&lt;&gt;"",I4&lt;&gt;"",J4&lt;&gt;"",M4&lt;&gt;"",Y4&lt;&gt;"",Z4&lt;&gt;"")),"",IF(AND(F4="单级石油化工离心泵",ISNUMBER(G4),G4&gt;5),4.7057338*0.00001*(LN(MIN(G4,3000)))^6-0.0066320555*(LN(MIN(G4,3000)))^5+0.15115754*(LN(MIN(G4,3000)))^4-1.4023278*(LN(MIN(G4,3000)))^3+5.5234828*(LN(MIN(G4,3000)))^2-0.83298912*(LN(MIN(G4,3000)))+41.951745,IF(AND(F4="多级石油化工离心泵",ISNUMBER(G4),G4&gt;5),0.00055836234*(LN(MIN(G4,3000)))^6-0.012499816*(LN(MIN(G4,3000)))^5+0.099576648*(LN(MIN(G4,3000)))^4-0.46811292*(LN(MIN(G4,3000)))^3+1.9459872*(LN(MIN(G4,3000)))^2+1.4371144*(LN(MIN(G4,3000)))+41.467097,"")))</calculatedColumnFormula>
    </tableColumn>
    <tableColumn id="19" name="效率修正值_x000a_(%)">
      <calculatedColumnFormula>IF(NOT(OR(B4&lt;&gt;"",C4&lt;&gt;"",D4&lt;&gt;"",E4&lt;&gt;"",F4&lt;&gt;"",G4&lt;&gt;"",H4&lt;&gt;"",I4&lt;&gt;"",J4&lt;&gt;"",M4&lt;&gt;"",Y4&lt;&gt;"",Z4&lt;&gt;"")),"",IF(AND(OR(F4="单级石油化工离心泵",F4="多级石油化工离心泵"),ISNUMBER(N4),N4&gt;=20,N4&lt;=300),IF(N4&lt;120,0.00000000037873403*N4^6-0.00000017898913*N4^5+0.000034269717*N4^4-0.0034148047*N4^3+0.1905063*N4^2-6.0391904*N4+98.970658,IF(N4&lt;=210,0,-0.00000000011111111*N4^6+0.00000016769231*N4^5-0.00010507265*N4^4+0.03498704*N4^3-6.529872*N4^2+647.73909*N4-26684.155)),""))</calculatedColumnFormula>
    </tableColumn>
    <tableColumn id="20" name="规定点效率_x000a_(%)">
      <calculatedColumnFormula>IF(AND(R4&lt;&gt;"",S4&lt;&gt;""),R4-S4,"")</calculatedColumnFormula>
    </tableColumn>
    <tableColumn id="21" name="1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O4&lt;&gt;""),IF(OR(F4="单级单吸清水离心泵",F4="单级双吸清水离心泵",F4="管道清水离心泵"),-8.44*(LN(N4))^2-0.48*(LN(G4))^2+0.09*LN(N4)*LN(G4)+84.63*LN(N4)+8.5*LN(G4)-O4,-6.93*(LN(N4))^2-0.19*(LN(G4))^2-0.4*LN(N4)*LN(G4)+72.67*LN(N4)+8.73*LN(G4)-O4),""),IF(AND(OR(F4="单级石油化工离心泵",F4="多级石油化工离心泵"),T4&lt;&gt;"",ISNUMBER(N4),N4&gt;=20,N4&lt;=300,G4&gt;5),T4+IF(F4="单级石油化工离心泵",IF(G4&lt;=300,IF(N4&lt;60,10,IF(N4&lt;120,4,3)),IF(N4&lt;60,11,IF(N4&lt;120,5,3))),IF(G4&lt;=300,IF(N4&lt;60,5,IF(N4&lt;120,6,1)),IF(N4&lt;60,3,IF(N4&lt;120,3,1)))),"")))</calculatedColumnFormula>
    </tableColumn>
    <tableColumn id="22" name="2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P4&lt;&gt;""),IF(OR(F4="单级单吸清水离心泵",F4="单级双吸清水离心泵",F4="管道清水离心泵"),-8.44*(LN(N4))^2-0.48*(LN(G4))^2+0.09*LN(N4)*LN(G4)+84.63*LN(N4)+8.5*LN(G4)-P4,-6.93*(LN(N4))^2-0.19*(LN(G4))^2-0.4*LN(N4)*LN(G4)+72.67*LN(N4)+8.73*LN(G4)-P4),""),IF(AND(OR(F4="单级石油化工离心泵",F4="多级石油化工离心泵"),T4&lt;&gt;"",ISNUMBER(N4),N4&gt;=20,N4&lt;=300,G4&gt;5),T4+IF(F4="单级石油化工离心泵",IF(G4&lt;=300,IF(N4&lt;60,5,1),IF(N4&lt;60,5,IF(N4&lt;120,1,2))),IF(G4&lt;=300,IF(N4&lt;60,3,IF(N4&lt;120,4,-1)),IF(N4&lt;60,1,IF(N4&lt;120,1,-1)))),"")))</calculatedColumnFormula>
    </tableColumn>
    <tableColumn id="23" name="3级效率_x000a_(%)">
      <calculatedColumnFormula>IF(NOT(OR(B4&lt;&gt;"",C4&lt;&gt;"",D4&lt;&gt;"",E4&lt;&gt;"",F4&lt;&gt;"",G4&lt;&gt;"",H4&lt;&gt;"",I4&lt;&gt;"",J4&lt;&gt;"",M4&lt;&gt;"",Y4&lt;&gt;"",Z4&lt;&gt;"")),"",IF(OR(F4="单级单吸清水离心泵",F4="单级双吸清水离心泵",F4="管道清水离心泵",F4="多级清水离心泵",F4="轻型多级清水离心泵（立式）",F4="轻型多级清水离心泵（卧式）"),IF(AND(ISNUMBER(N4),N4&gt;0,ISNUMBER(G4),G4&gt;0,Q4&lt;&gt;""),IF(OR(F4="单级单吸清水离心泵",F4="单级双吸清水离心泵",F4="管道清水离心泵"),-8.44*(LN(N4))^2-0.48*(LN(G4))^2+0.09*LN(N4)*LN(G4)+84.63*LN(N4)+8.5*LN(G4)-Q4,-6.93*(LN(N4))^2-0.19*(LN(G4))^2-0.4*LN(N4)*LN(G4)+72.67*LN(N4)+8.73*LN(G4)-Q4),""),IF(AND(OR(F4="单级石油化工离心泵",F4="多级石油化工离心泵"),T4&lt;&gt;"",ISNUMBER(N4),N4&gt;=20,N4&lt;=300,G4&gt;5),T4+IF(F4="单级石油化工离心泵",IF(G4&lt;=300,IF(N4&lt;60,-4,-6),-5),IF(G4&lt;=300,IF(N4&lt;60,-5,IF(N4&lt;120,-4,-5)),IF(N4&lt;120,-4,-5))),"")))</calculatedColumnFormula>
    </tableColumn>
    <tableColumn id="24" name="能效等级">
      <calculatedColumnFormula>IF(NOT(OR(B4&lt;&gt;"",C4&lt;&gt;"",D4&lt;&gt;"",E4&lt;&gt;"",F4&lt;&gt;"",G4&lt;&gt;"",H4&lt;&gt;"",I4&lt;&gt;"",J4&lt;&gt;"",M4&lt;&gt;"",Y4&lt;&gt;"",Z4&lt;&gt;"")),"",IFS(F4="其他（请备注说明）","无法判定",OR(F4="",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),"无法判定",OR(NOT(ISNUMBER(G4)),G4&lt;=0),"无法判定",AND(OR(F4="单级单吸清水离心泵",F4="单级双吸清水离心泵",F4="管道清水离心泵",F4="多级清水离心泵",F4="轻型多级清水离心泵（立式）",F4="轻型多级清水离心泵（卧式）"),OR(AND(F4="单级单吸清水离心泵",OR(G4&lt;5,G4&gt;10000)),AND(F4="单级双吸清水离心泵",OR(G4&lt;50,G4&gt;20000)),AND(F4="管道清水离心泵",OR(G4&lt;5,G4&gt;3000)),AND(F4="多级清水离心泵",OR(G4&lt;5,G4&gt;3000)),AND(OR(F4="轻型多级清水离心泵（立式）",F4="轻型多级清水离心泵（卧式）"),OR(G4&lt;5,G4&gt;300)))),"不适用",AND(OR(F4="单级石油化工离心泵",F4="多级石油化工离心泵"),G4&lt;=5),"不适用",OR(NOT(ISNUMBER(H4)),H4&lt;=0,NOT(ISNUMBER(I4)),I4&lt;=0,OR(AND(F4="单级单吸清水离心泵",K4&lt;&gt;"单吸"),AND(F4="单级双吸清水离心泵",K4&lt;&gt;"双吸"),AND(OR(F4="管道清水离心泵",F4="多级清水离心泵",F4="轻型多级清水离心泵（立式）",F4="轻型多级清水离心泵（卧式）",F4="单级石油化工离心泵",F4="多级石油化工离心泵"),NOT(OR(K4="单吸",K4="双吸"))),AND(OR(F4="单级单吸清水离心泵",F4="单级双吸清水离心泵",F4="管道清水离心泵",F4="单级石油化工离心泵"),L4&lt;&gt;1),AND(OR(F4="多级清水离心泵",F4="轻型多级清水离心泵（立式）",F4="轻型多级清水离心泵（卧式）",F4="多级石油化工离心泵"),NOT(IF(ISNUMBER(L4),AND(L4&gt;=2,L4=INT(L4)),FALSE))))),"无法判定",AND(OR(F4="单级石油化工离心泵",F4="多级石油化工离心泵"),OR(N4&lt;20,N4&gt;300)),"不适用",OR(NOT(ISNUMBER(M4)),M4&lt;1,M4&gt;100),"无法判定",OR(U4="",V4="",W4=""),"无法判定",M4&gt;=U4,"1级",M4&gt;=V4,"2级",M4&gt;=W4,"3级",TRUE,"未达标"))</calculatedColumnFormula>
    </tableColumn>
    <tableColumn id="25" name="铭牌照片"/>
    <tableColumn id="26" name="填表备注"/>
    <tableColumn id="27" name="自动备注">
      <calculatedColumnFormula>IF(NOT(OR(B4&lt;&gt;"",C4&lt;&gt;"",D4&lt;&gt;"",E4&lt;&gt;"",F4&lt;&gt;"",G4&lt;&gt;"",H4&lt;&gt;"",I4&lt;&gt;"",J4&lt;&gt;"",M4&lt;&gt;"",Y4&lt;&gt;"",Z4&lt;&gt;"")),"",TEXTJOIN("；",TRUE,IF(X4="无法判定","无法判定："&amp;TEXTJOIN("、",TRUE,IF(F4="其他（请备注说明）","设备类别为其他，无法匹配标准计算条目",""),IF(F4="","缺少设备类别",IF(NOT(OR(OR(F4="单级单吸清水离心泵",F4="单级双吸清水离心泵",F4="管道清水离心泵",F4="多级清水离心泵",F4="轻型多级清水离心泵（立式）",F4="轻型多级清水离心泵（卧式）",F4="单级石油化工离心泵",F4="多级石油化工离心泵"),F4="其他（请备注说明）")),"设备类别不在标准枚举中","")),IF(G4="","缺少流量",IF(NOT(ISNUMBER(G4)),"流量应为数值",IF(G4&lt;=0,"流量应大于0",""))),IF(H4="","缺少扬程",IF(NOT(ISNUMBER(H4)),"扬程应为数值",IF(H4&lt;=0,"扬程应大于0",""))),IF(I4="","缺少额定转速",IF(NOT(ISNUMBER(I4)),"额定转速应为数值",IF(I4&lt;=0,"额定转速应大于0",""))),IF(AND(F4="单级单吸清水离心泵",K4&lt;&gt;"单吸"),"单级单吸清水离心泵的单吸/双吸必须为单吸",""),IF(AND(F4="单级双吸清水离心泵",K4&lt;&gt;"双吸"),"单级双吸清水离心泵的单吸/双吸必须为双吸",""),IF(AND(OR(F4="管道清水离心泵",F4="多级清水离心泵",F4="轻型多级清水离心泵（立式）",F4="轻型多级清水离心泵（卧式）",F4="单级石油化工离心泵",F4="多级石油化工离心泵"),NOT(OR(K4="单吸",K4="双吸"))),"缺少或错误的单吸/双吸",""),IF(AND(OR(F4="单级单吸清水离心泵",F4="单级双吸清水离心泵",F4="管道清水离心泵",F4="单级石油化工离心泵"),L4&lt;&gt;1),"该设备类别级数必须为1",""),IF(AND(OR(F4="多级清水离心泵",F4="轻型多级清水离心泵（立式）",F4="轻型多级清水离心泵（卧式）",F4="多级石油化工离心泵"),L4=""),"多级泵缺少级数",""),IF(AND(OR(F4="多级清水离心泵",F4="轻型多级清水离心泵（立式）",F4="轻型多级清水离心泵（卧式）",F4="多级石油化工离心泵"),L4&lt;&gt;"",NOT(IF(ISNUMBER(L4),AND(L4&gt;=2,L4=INT(L4)),FALSE))),"多级泵级数应为≥2的整数",""),IF(M4="","缺少泵效率",IF(NOT(ISNUMBER(M4)),"泵效率应为数值",IF(OR(M4&lt;1,M4&gt;100),"泵效率应填写1～100之间的数值，单位为%","")))),""),IF(X4="不适用","不适用："&amp;TEXTJOIN("、",TRUE,IF(F4="其他（请备注说明）","设备类别为其他，不执行GB 19762—2025标准判级",""),IF(AND(F4="单级单吸清水离心泵",ISNUMBER(G4),OR(G4&lt;5,G4&gt;10000)),"流量超出单级单吸清水离心泵标准计算范围",""),IF(AND(F4="单级双吸清水离心泵",ISNUMBER(G4),OR(G4&lt;50,G4&gt;20000)),"流量超出单级双吸清水离心泵标准计算范围",""),IF(AND(F4="管道清水离心泵",ISNUMBER(G4),OR(G4&lt;5,G4&gt;3000)),"流量超出管道清水离心泵标准计算范围",""),IF(AND(F4="多级清水离心泵",ISNUMBER(G4),OR(G4&lt;5,G4&gt;3000)),"流量超出多级清水离心泵标准计算范围",""),IF(AND(OR(F4="轻型多级清水离心泵（立式）",F4="轻型多级清水离心泵（卧式）"),ISNUMBER(G4),OR(G4&lt;5,G4&gt;300)),"流量超出轻型多级清水离心泵标准计算范围",""),IF(AND(OR(F4="单级石油化工离心泵",F4="多级石油化工离心泵"),ISNUMBER(G4),G4&gt;0,G4&lt;=5),"石油化工离心泵流量Q≤5 m³/h",""),IF(AND(OR(F4="单级石油化工离心泵",F4="多级石油化工离心泵"),ISNUMBER(N4),OR(N4&lt;20,N4&gt;300)),"石油化工离心泵比转数ns超出20～300范围","")),""),IF(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lt;&gt;"","资料待完善："&amp;TEXTJOIN("、",TRUE,IF(B4="","缺少设备名称",""),IF(C4="","缺少型号",""),IF(D4="","缺少数量",IF(NOT(ISNUMBER(D4)),"数量应为数值",IF(OR(D4&lt;=0,MOD(D4,1)&lt;&gt;0),"数量应为正整数",""))),IF(E4="","缺少安装位置",""),IF(J4="","缺少额定功率",IF(NOT(ISNUMBER(J4)),"额定功率应为数值",IF(J4&lt;=0,"额定功率应大于0",""))),IF(Y4="","缺少铭牌照片",""),IF(AND(ISTEXT(B4),OR(B4&lt;&gt;TRIM(B4),ISNUMBER(SEARCH("　",B4)))),"设备名称含首尾空格或全角空格",""),IF(AND(ISTEXT(C4),OR(C4&lt;&gt;TRIM(C4),ISNUMBER(SEARCH("　",C4)))),"型号含首尾空格或全角空格",""),IF(AND(ISTEXT(E4),OR(E4&lt;&gt;TRIM(E4),ISNUMBER(SEARCH("　",E4)))),"安装位置含首尾空格或全角空格",""),IF(AND(ISTEXT(Z4),OR(Z4&lt;&gt;TRIM(Z4),ISNUMBER(SEARCH("　",Z4)))),"备注/其他证明材料含首尾空格或全角空格",""))&amp;"；不影响能效判定",""),IF(AND(ISNUMBER(G4),G4&gt;0,ISNUMBER(H4),H4&gt;0,ISNUMBER(J4),J4&gt;0),IF(9.81*G4*H4/3600/J4&lt;0.5,"额定功率过高",IF(9.81*G4*H4/3600/J4&gt;0.8,"额定功率过低",""))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ntrifugalFan" displayName="TblCentrifugalFan" ref="A3:AF103" headerRowCount="1" totalsRowCount="0" totalsRowShown="0">
  <autoFilter ref="A3:AF103"/>
  <tableColumns count="32">
    <tableColumn id="1" name="序号">
      <calculatedColumnFormula>IF(COUNTA(B4,C4,D4,E4,F4,G4,H4,I4,J4,K4,L4,M4,N4,O4,P4,Q4,R4,S4,T4,U4,AD4,AE4)&gt;0,ROW()-3,"")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单双吸"/>
    <tableColumn id="9" name="是否暖通空调用"/>
    <tableColumn id="10" name="是否带进气箱"/>
    <tableColumn id="11" name="流量_x000a_(m³/h)"/>
    <tableColumn id="12" name="风机压力pF_x000a_(Pa)"/>
    <tableColumn id="13" name="出口滞止压力_x000a_(Pa)"/>
    <tableColumn id="14" name="进口滞止压力_x000a_(Pa)"/>
    <tableColumn id="15" name="额定功率_x000a_(kW)"/>
    <tableColumn id="16" name="叶轮功率_x000a_(kW)"/>
    <tableColumn id="17" name="转速_x000a_(r/min)"/>
    <tableColumn id="18" name="机号_x000a_(No.)"/>
    <tableColumn id="19" name="进口滞止密度_x000a_(kg/m³)"/>
    <tableColumn id="20" name="等熵指数k"/>
    <tableColumn id="21" name="最高通风机效率ηr_x000a_(%)"/>
    <tableColumn id="22" name="压缩性修正系数"/>
    <tableColumn id="23" name="叶轮圆周速度_x000a_(m/s)"/>
    <tableColumn id="24" name="压力系数"/>
    <tableColumn id="25" name="比转速"/>
    <tableColumn id="26" name="1级效率_x000a_(%)"/>
    <tableColumn id="27" name="2级效率_x000a_(%)"/>
    <tableColumn id="28" name="3级效率_x000a_(%)"/>
    <tableColumn id="29" name="能效等级"/>
    <tableColumn id="30" name="铭牌照片"/>
    <tableColumn id="31" name="填表备注"/>
    <tableColumn id="32" name="自动备注">
      <calculatedColumnFormula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xialFan" displayName="TblAxialFan" ref="A3:AE103" headerRowCount="1" totalsRowCount="0" totalsRowShown="0">
  <autoFilter ref="A3:AE103"/>
  <tableColumns count="31">
    <tableColumn id="1" name="序号">
      <calculatedColumnFormula>IF(COUNTA(B4,C4,D4,E4,F4,G4,H4,I4,J4,K4,L4,M4,N4,O4,P4,Q4,R4,S4,T4,U4,AC4,AD4)&gt;0,ROW()-3,"")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传动方式"/>
    <tableColumn id="8" name="是否带进气箱"/>
    <tableColumn id="9" name="是否带扩散筒"/>
    <tableColumn id="10" name="是否动叶可调"/>
    <tableColumn id="11" name="是否可逆转"/>
    <tableColumn id="12" name="流量_x000a_(m³/h)"/>
    <tableColumn id="13" name="风机压力pF_x000a_(Pa)"/>
    <tableColumn id="14" name="额定功率_x000a_(kW)"/>
    <tableColumn id="15" name="叶轮功率_x000a_(kW)"/>
    <tableColumn id="16" name="转速_x000a_(r/min)"/>
    <tableColumn id="17" name="机号_x000a_(No.)"/>
    <tableColumn id="18" name="进口滞止密度_x000a_(kg/m³)"/>
    <tableColumn id="19" name="等熵指数k"/>
    <tableColumn id="20" name="轮毂比"/>
    <tableColumn id="21" name="最高通风机效率ηr_x000a_(%)"/>
    <tableColumn id="22" name="压缩性修正系数"/>
    <tableColumn id="23" name="压力系数"/>
    <tableColumn id="24" name="轮毂比标准分档"/>
    <tableColumn id="25" name="1级效率_x000a_(%)"/>
    <tableColumn id="26" name="2级效率_x000a_(%)"/>
    <tableColumn id="27" name="3级效率_x000a_(%)"/>
    <tableColumn id="28" name="能效等级"/>
    <tableColumn id="29" name="铭牌照片"/>
    <tableColumn id="30" name="填表备注"/>
    <tableColumn id="31" name="自动备注">
      <calculatedColumnFormula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lower" displayName="TblBlower" ref="A3:AA13" headerRowCount="1" totalsRowCount="0" totalsRowShown="0">
  <autoFilter ref="A3:AA13"/>
  <tableColumns count="27">
    <tableColumn id="1" name="序号">
      <calculatedColumnFormula>IF(COUNTA(B4,C4,D4,E4,F4,G4,H4,I4,J4,K4,L4,M4,N4,O4,P4,Q4,R4,S4,T4,Y4,Z4)&gt;0,ROW()-3,"")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级数_x000a_(级)"/>
    <tableColumn id="8" name="是否多级叶轮"/>
    <tableColumn id="9" name="是否悬臂式"/>
    <tableColumn id="10" name="容积流量_x000a_(m³/h)"/>
    <tableColumn id="11" name="额定功率_x000a_(kW)"/>
    <tableColumn id="12" name="进口绝对压力_x000a_(kPa)"/>
    <tableColumn id="13" name="出口绝对压力_x000a_(kPa)"/>
    <tableColumn id="14" name="进口温度_x000a_(K)"/>
    <tableColumn id="15" name="出口温度_x000a_(K)"/>
    <tableColumn id="16" name="绝热指数k"/>
    <tableColumn id="17" name="叶轮出口宽度b₂_x000a_(mm)"/>
    <tableColumn id="18" name="叶轮出口直径D₂_x000a_(mm)"/>
    <tableColumn id="19" name="多变效率_x000a_(%)"/>
    <tableColumn id="20" name="是否三元流动叶轮"/>
    <tableColumn id="21" name="b₂/D₂"/>
    <tableColumn id="22" name="能效限定值_x000a_(%)"/>
    <tableColumn id="23" name="节能评价值_x000a_(%)"/>
    <tableColumn id="24" name="能效结论"/>
    <tableColumn id="25" name="铭牌照片"/>
    <tableColumn id="26" name="填表备注"/>
    <tableColumn id="27" name="自动备注">
      <calculatedColumnFormula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bmersible" displayName="TblSubmersible" ref="A3:W103" headerRowCount="1" totalsRowCount="0" totalsRowShown="0">
  <autoFilter ref="A3:W103"/>
  <tableColumns count="23">
    <tableColumn id="1" name="序号">
      <calculatedColumnFormula>IF(COUNTA(B4,C4,D4,E4,F4,G4,H4,I4,J4,K4,L4,M4,N4,U4,V4)&gt;0,ROW()-3,"")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设备形式"/>
    <tableColumn id="8" name="流量_x000a_(m³/h)"/>
    <tableColumn id="9" name="扬程_x000a_(m)"/>
    <tableColumn id="10" name="额定转速_x000a_(r/min)"/>
    <tableColumn id="11" name="工作温度_x000a_(℃)"/>
    <tableColumn id="12" name="额定功率_x000a_(kW)"/>
    <tableColumn id="13" name="级数_x000a_(级)"/>
    <tableColumn id="14" name="电泵效率_x000a_(%)"/>
    <tableColumn id="15" name="规定效率_x000a_(%)"/>
    <tableColumn id="16" name="效率容差_x000a_(%)"/>
    <tableColumn id="17" name="1级效率_x000a_(%)"/>
    <tableColumn id="18" name="2级效率_x000a_(%)"/>
    <tableColumn id="19" name="3级效率_x000a_(%)"/>
    <tableColumn id="20" name="能效等级"/>
    <tableColumn id="21" name="铭牌照片"/>
    <tableColumn id="22" name="填表备注"/>
    <tableColumn id="23" name="自动备注">
      <calculatedColumnFormula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oiler" displayName="TblBoiler" ref="A3:S13" headerRowCount="1" totalsRowCount="0" totalsRowShown="0">
  <autoFilter ref="A3:S13"/>
  <tableColumns count="19">
    <tableColumn id="1" name="序号">
      <calculatedColumnFormula>IF(COUNTA(B4,C4,D4,E4,F4,G4,H4,I4,J4,K4,L4,Q4,R4)&gt;0,ROW()-3,"")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/燃料品种"/>
    <tableColumn id="8" name="蒸发量_x000a_(t/h)"/>
    <tableColumn id="9" name="热功率_x000a_(MW)"/>
    <tableColumn id="10" name="收到基低位发热量_x000a_(kJ/kg或kJ/m³)"/>
    <tableColumn id="11" name="干燥无灰基挥发分_x000a_(%)"/>
    <tableColumn id="12" name="设计热效率_x000a_(%)"/>
    <tableColumn id="13" name="1级热效率_x000a_(%)"/>
    <tableColumn id="14" name="2级热效率_x000a_(%)"/>
    <tableColumn id="15" name="3级热效率_x000a_(%)"/>
    <tableColumn id="16" name="能效等级"/>
    <tableColumn id="17" name="铭牌照片"/>
    <tableColumn id="18" name="填表备注"/>
    <tableColumn id="19" name="自动备注">
      <calculatedColumnFormula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HeatTreatment" displayName="TblHeatTreatment" ref="A3:W13" headerRowCount="1" totalsRowCount="0" totalsRowShown="0">
  <autoFilter ref="A3:W13"/>
  <tableColumns count="23">
    <tableColumn id="1" name="序号">
      <calculatedColumnFormula>IF(COUNTA(B4,C4,D4,E4,F4,G4,H4,I4,J4,K4,L4,M4,U4,V4)&gt;0,ROW()-3,"")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能源类型"/>
    <tableColumn id="8" name="额定功率_x000a_(kW)"/>
    <tableColumn id="9" name="额定温度_x000a_(℃)"/>
    <tableColumn id="10" name="总折合重量_x000a_(t)"/>
    <tableColumn id="11" name="电炉总耗电量_x000a_(kW·h)"/>
    <tableColumn id="12" name="燃料总耗量_x000a_(m³)"/>
    <tableColumn id="13" name="燃料热值_x000a_(kJ/m³)"/>
    <tableColumn id="14" name="燃料系数"/>
    <tableColumn id="15" name="电炉可比单耗_x000a_(kW·h/t)"/>
    <tableColumn id="16" name="燃料炉可比单耗_x000a_(kgce/t)"/>
    <tableColumn id="17" name="一等指标_x000a_(按炉型)"/>
    <tableColumn id="18" name="二等指标_x000a_(按炉型)"/>
    <tableColumn id="19" name="三等指标_x000a_(按炉型)"/>
    <tableColumn id="20" name="评价等级"/>
    <tableColumn id="21" name="铭牌照片"/>
    <tableColumn id="22" name="填表备注"/>
    <tableColumn id="23" name="自动备注">
      <calculatedColumnFormula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HeatPumpChiller" displayName="TblHeatPumpChiller" ref="A3:AB13" headerRowCount="1" totalsRowCount="0" totalsRowShown="0">
  <autoFilter ref="A3:AB13"/>
  <tableColumns count="28">
    <tableColumn id="1" name="序号">
      <calculatedColumnFormula>IF(COUNTA(B4,C4,D4,E4,F4,G4,H4,I4,J4,K4,L4,M4,O4,Q4,S4,Z4,AA4)&gt;0,ROW()-3,"")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产品标准"/>
    <tableColumn id="8" name="机组型式"/>
    <tableColumn id="9" name="冷却/热源方式"/>
    <tableColumn id="10" name="能效评价指标体系"/>
    <tableColumn id="11" name="名义制冷量_x000a_(kW)"/>
    <tableColumn id="12" name="名义制热量_x000a_(kW)"/>
    <tableColumn id="13" name="额定功率_x000a_(kW)"/>
    <tableColumn id="14" name="分级指标名称（自动）">
      <calculatedColumnFormula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calculatedColumnFormula>
    </tableColumn>
    <tableColumn id="15" name="分级指标设计值_x000a_(无量纲)"/>
    <tableColumn id="16" name="辅助约束指标1名称（自动）">
      <calculatedColumnFormula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calculatedColumnFormula>
    </tableColumn>
    <tableColumn id="17" name="辅助约束指标1设计值_x000a_(无量纲)"/>
    <tableColumn id="18" name="辅助约束指标2名称（自动）">
      <calculatedColumnFormula>IF(F4="低环境温度空气源热泵（冷水）机组","COPh","")</calculatedColumnFormula>
    </tableColumn>
    <tableColumn id="19" name="辅助约束指标2设计值_x000a_(无量纲)"/>
    <tableColumn id="20" name="适用标准表（自动）">
      <calculatedColumnFormula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calculatedColumnFormula>
    </tableColumn>
    <tableColumn id="21" name="容量分档（自动）">
      <calculatedColumnFormula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calculatedColumnFormula>
    </tableColumn>
    <tableColumn id="22" name="1级标准值_x000a_(无量纲)"/>
    <tableColumn id="23" name="2级标准值_x000a_(无量纲)"/>
    <tableColumn id="24" name="3级标准值_x000a_(无量纲)"/>
    <tableColumn id="25" name="能效等级"/>
    <tableColumn id="26" name="铭牌照片"/>
    <tableColumn id="27" name="填表备注"/>
    <tableColumn id="28" name="自动备注">
      <calculatedColumnFormula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HeatPumpWaterHeater" displayName="TblHeatPumpWaterHeater" ref="A3:T13" headerRowCount="1" totalsRowCount="0" totalsRowShown="0">
  <autoFilter ref="A3:T13"/>
  <tableColumns count="20">
    <tableColumn id="1" name="序号">
      <calculatedColumnFormula>IF(COUNTA(B4,C4,D4,E4,F4,G4,H4,I4,J4,K4,R4,S4)&gt;0,ROW()-3,"")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加热方式"/>
    <tableColumn id="8" name="是否提供水泵"/>
    <tableColumn id="9" name="制热量_x000a_(kW)"/>
    <tableColumn id="10" name="额定功率_x000a_(kW)"/>
    <tableColumn id="11" name="性能系数_x000a_(W/W)"/>
    <tableColumn id="12" name="1级性能系数_x000a_(W/W)"/>
    <tableColumn id="13" name="2级性能系数_x000a_(W/W)"/>
    <tableColumn id="14" name="3级性能系数_x000a_(W/W)"/>
    <tableColumn id="15" name="4级性能系数_x000a_(W/W)"/>
    <tableColumn id="16" name="5级性能系数_x000a_(W/W)"/>
    <tableColumn id="17" name="能效等级"/>
    <tableColumn id="18" name="铭牌照片"/>
    <tableColumn id="19" name="填表备注"/>
    <tableColumn id="20" name="自动备注">
      <calculatedColumnFormula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uctAC" displayName="TblDuctAC" ref="A3:U13" headerRowCount="1" totalsRowCount="0" totalsRowShown="0">
  <autoFilter ref="A3:U13"/>
  <tableColumns count="21">
    <tableColumn id="1" name="序号">
      <calculatedColumnFormula>IF(COUNTA(B4,C4,D4,E4,F4,G4,H4,I4,J4,K4,M4,S4,T4)&gt;0,ROW()-3,"")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焓差类型"/>
    <tableColumn id="10" name="名义制冷量_x000a_(kW)"/>
    <tableColumn id="11" name="额定功率_x000a_(kW)"/>
    <tableColumn id="12" name="设计指标名称">
      <calculatedColumnFormula>IF(F4="","",IF(F4="直接蒸发式全新风空气处理机组","EER",IF(G4="水冷式（水环式）","IPLV",IF(H4="单冷型","SEER",IF(H4="热泵型","APF","")))))</calculatedColumnFormula>
    </tableColumn>
    <tableColumn id="13" name="设计指标值_x000a_(按指标)"/>
    <tableColumn id="14" name="设计指标单位">
      <calculatedColumnFormula>IF(L4="","","W/W")</calculatedColumnFormula>
    </tableColumn>
    <tableColumn id="15" name="1级对应指标_x000a_(按指标)"/>
    <tableColumn id="16" name="2级对应指标_x000a_(按指标)"/>
    <tableColumn id="17" name="3级对应指标_x000a_(按指标)"/>
    <tableColumn id="18" name="能效等级"/>
    <tableColumn id="19" name="铭牌照片"/>
    <tableColumn id="20" name="填表备注"/>
    <tableColumn id="21" name="自动备注">
      <calculatedColumnFormula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UnitaryAC" displayName="TblUnitaryAC" ref="A3:T13" headerRowCount="1" totalsRowCount="0" totalsRowShown="0">
  <autoFilter ref="A3:T13"/>
  <tableColumns count="20">
    <tableColumn id="1" name="序号">
      <calculatedColumnFormula>IF(COUNTA(B4,C4,D4,E4,F4,G4,H4,I4,J4,L4,R4,S4)&gt;0,ROW()-3,"")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冷却方式"/>
    <tableColumn id="8" name="机组类型"/>
    <tableColumn id="9" name="名义制冷量_x000a_(kW)"/>
    <tableColumn id="10" name="额定功率_x000a_(kW)"/>
    <tableColumn id="11" name="设计指标名称">
      <calculatedColumnFormula>IF(F4="","",IF(F4="计算机和数据处理机房用单元式空调机","AEER",IF(F4="通讯基站用单元式空气调节机","COP",IF(F4="恒温恒湿型单元式空气调节机","AEER",IF(G4="水冷式","IPLV",IF(H4="单冷型","SEER",IF(H4="热泵型","APF","")))))))</calculatedColumnFormula>
    </tableColumn>
    <tableColumn id="12" name="设计指标值_x000a_(按指标)"/>
    <tableColumn id="13" name="设计指标单位">
      <calculatedColumnFormula>IF(K4="","","W/W")</calculatedColumnFormula>
    </tableColumn>
    <tableColumn id="14" name="1级对应指标_x000a_(按指标)"/>
    <tableColumn id="15" name="2级对应指标_x000a_(按指标)"/>
    <tableColumn id="16" name="3级对应指标_x000a_(按指标)"/>
    <tableColumn id="17" name="能效等级"/>
    <tableColumn id="18" name="铭牌照片"/>
    <tableColumn id="19" name="填表备注"/>
    <tableColumn id="20" name="自动备注">
      <calculatedColumnFormula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ultiAC" displayName="TblMultiAC" ref="A3:AE13" headerRowCount="1" totalsRowCount="0" totalsRowShown="0">
  <autoFilter ref="A3:AE13"/>
  <tableColumns count="31">
    <tableColumn id="1" name="序号">
      <calculatedColumnFormula>IF(COUNTA(B4,C4,D4,E4,F4,G4,H4,I4,J4,K4,M4,N4,O4,P4,AC4,AD4)&gt;0,ROW()-3,"")</calculatedColumnFormula>
    </tableColumn>
    <tableColumn id="2" name="设备名称"/>
    <tableColumn id="3" name="型号"/>
    <tableColumn id="4" name="数量"/>
    <tableColumn id="5" name="安装位置"/>
    <tableColumn id="6" name="设备类别"/>
    <tableColumn id="7" name="水冷式类型"/>
    <tableColumn id="8" name="名义制冷量_x000a_(kW)"/>
    <tableColumn id="9" name="名义制热量_x000a_(kW)"/>
    <tableColumn id="10" name="额定功率_x000a_(kW)"/>
    <tableColumn id="11" name="机外静压_x000a_(Pa)"/>
    <tableColumn id="12" name="分级指标名称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13" name="分级指标设计值_x000a_(无量纲)"/>
    <tableColumn id="14" name="EER设计值（用于EERmin校核）_x000a_(W/W)"/>
    <tableColumn id="15" name="COP(-12℃)设计值_x000a_(W/W)"/>
    <tableColumn id="16" name="COP(-20℃)设计值_x000a_(W/W)"/>
    <tableColumn id="17" name="适用标准表（自动）">
      <calculatedColumnFormula>IF(F4="风冷式单冷型多联机","表1",IF(F4="风冷式热泵型多联机","表2",IF(F4="水冷式多联机","表3",IF(F4="低温多联机","表4",""))))</calculatedColumnFormula>
    </tableColumn>
    <tableColumn id="18" name="容量分档（自动）">
      <calculatedColumnFormula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calculatedColumnFormula>
    </tableColumn>
    <tableColumn id="19" name="分级查询指标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20" name="分级指标1级标准值_x000a_(无量纲)"/>
    <tableColumn id="21" name="分级指标2级标准值_x000a_(无量纲)"/>
    <tableColumn id="22" name="分级指标3级标准值_x000a_(无量纲)"/>
    <tableColumn id="23" name="EERmin 1级标准值_x000a_(W/W)"/>
    <tableColumn id="24" name="EERmin 2级标准值_x000a_(W/W)"/>
    <tableColumn id="25" name="EERmin 3级标准值_x000a_(W/W)"/>
    <tableColumn id="26" name="COP(-12℃)最低标准值_x000a_(W/W)"/>
    <tableColumn id="27" name="COP(-20℃)最低标准值_x000a_(W/W)"/>
    <tableColumn id="28" name="能效等级"/>
    <tableColumn id="29" name="铭牌照片"/>
    <tableColumn id="30" name="填表备注"/>
    <tableColumn id="31" name="自动备注">
      <calculatedColumnFormula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tandardsCatalog" displayName="StandardsCatalog" ref="A12:I29" headerRowCount="1" totalsRowCount="0" totalsRowShown="0">
  <tableColumns count="9">
    <tableColumn id="1" name="对应sheet"/>
    <tableColumn id="2" name="标准编号"/>
    <tableColumn id="3" name="标准名称"/>
    <tableColumn id="4" name="标准属性"/>
    <tableColumn id="5" name="发布日期"/>
    <tableColumn id="6" name="实施日期"/>
    <tableColumn id="7" name="当前状态"/>
    <tableColumn id="8" name="适用范围摘要"/>
    <tableColumn id="9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eldDictionary" displayName="FieldDictionary" ref="A1:P363" headerRowCount="1" totalsRowCount="0" totalsRowShown="0">
  <tableColumns count="16">
    <tableColumn id="1" name="sheet"/>
    <tableColumn id="2" name="字段ID"/>
    <tableColumn id="3" name="显示名称"/>
    <tableColumn id="4" name="字段分组"/>
    <tableColumn id="5" name="数据类型"/>
    <tableColumn id="6" name="单位"/>
    <tableColumn id="7" name="是否可编辑"/>
    <tableColumn id="8" name="必填条件"/>
    <tableColumn id="9" name="验证规则"/>
    <tableColumn id="10" name="最小值"/>
    <tableColumn id="11" name="最大值"/>
    <tableColumn id="12" name="枚举集合"/>
    <tableColumn id="13" name="清洗规则"/>
    <tableColumn id="14" name="自动备注规则"/>
    <tableColumn id="15" name="标准编号"/>
    <tableColumn id="16" name="条款/表号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leaningMappings" displayName="CleaningMappings" ref="A366:F383" headerRowCount="1" totalsRowCount="0" totalsRowShown="0">
  <tableColumns count="6">
    <tableColumn id="1" name="字段/场景"/>
    <tableColumn id="2" name="原值/同义词"/>
    <tableColumn id="3" name="规范值"/>
    <tableColumn id="4" name="处理方式"/>
    <tableColumn id="5" name="适用sheet"/>
    <tableColumn id="6" name="备注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UnitMappings" displayName="UnitMappings" ref="A386:F394" headerRowCount="1" totalsRowCount="0" totalsRowShown="0">
  <tableColumns count="6">
    <tableColumn id="1" name="量纲"/>
    <tableColumn id="2" name="原单位"/>
    <tableColumn id="3" name="规范单位"/>
    <tableColumn id="4" name="换算关系"/>
    <tableColumn id="5" name="处理约束"/>
    <tableColumn id="6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Y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5" customWidth="1" style="184" min="20" max="20"/>
    <col width="24" customWidth="1" style="184" min="21" max="21"/>
    <col width="16" customWidth="1" style="184" min="22" max="25"/>
  </cols>
  <sheetData>
    <row r="1" ht="32" customHeight="1" s="184">
      <c r="A1" s="12" t="inlineStr">
        <is>
          <t>变压器 - 《电力变压器能效限定值及能效等级》（GB 20052-2024）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SUM(TblTransformer[数量])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额定容量
(kVA)</t>
        </is>
      </c>
      <c r="H3" s="45" t="inlineStr">
        <is>
          <t>标准条件</t>
        </is>
      </c>
      <c r="I3" s="45" t="inlineStr">
        <is>
          <t>额定阻抗
(%)</t>
        </is>
      </c>
      <c r="J3" s="55" t="inlineStr">
        <is>
          <t>空载损耗
(W)</t>
        </is>
      </c>
      <c r="K3" s="55" t="inlineStr">
        <is>
          <t>负载损耗
(W)</t>
        </is>
      </c>
      <c r="L3" s="63" t="inlineStr">
        <is>
          <t>空载损耗-1级
(W)</t>
        </is>
      </c>
      <c r="M3" s="63" t="inlineStr">
        <is>
          <t>空载损耗-2级
(W)</t>
        </is>
      </c>
      <c r="N3" s="63" t="inlineStr">
        <is>
          <t>空载损耗-3级
(W)</t>
        </is>
      </c>
      <c r="O3" s="63" t="inlineStr">
        <is>
          <t>负载损耗-1级
(W)</t>
        </is>
      </c>
      <c r="P3" s="63" t="inlineStr">
        <is>
          <t>负载损耗-2级
(W)</t>
        </is>
      </c>
      <c r="Q3" s="63" t="inlineStr">
        <is>
          <t>负载损耗-3级
(W)</t>
        </is>
      </c>
      <c r="R3" s="76" t="inlineStr">
        <is>
          <t>能效结论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  <c r="V3" s="88" t="inlineStr">
        <is>
          <t>高压额定电压
(kV)</t>
        </is>
      </c>
      <c r="W3" s="45" t="inlineStr">
        <is>
          <t>低压额定电压
(kV)</t>
        </is>
      </c>
      <c r="X3" s="45" t="inlineStr">
        <is>
          <t>额定阻抗高—低
(%)</t>
        </is>
      </c>
      <c r="Y3" s="45" t="inlineStr">
        <is>
          <t>额定阻抗中—低
(%)</t>
        </is>
      </c>
    </row>
    <row r="4" ht="42" customHeight="1" s="184" spans="1:25">
      <c r="A4" s="224">
        <f>IF(COUNTA(B4:K4,S4:T4,V4:Y4)&gt;0,ROW()-3,"")</f>
        <v/>
      </c>
      <c r="B4" s="218" t="n"/>
      <c r="C4" s="218" t="n"/>
      <c r="D4" s="225" t="n"/>
      <c r="E4" s="218" t="n"/>
      <c r="F4" s="218" t="n"/>
      <c r="G4" s="226" t="n"/>
      <c r="H4" s="219" t="n"/>
      <c r="I4" s="219" t="n"/>
      <c r="J4" s="225" t="n"/>
      <c r="K4" s="225" t="n"/>
      <c r="L4" s="227" t="n"/>
      <c r="M4" s="227" t="n"/>
      <c r="N4" s="227" t="n"/>
      <c r="O4" s="227" t="n"/>
      <c r="P4" s="227" t="n"/>
      <c r="Q4" s="227" t="n"/>
      <c r="R4" s="190" t="n"/>
      <c r="S4" s="218" t="n"/>
      <c r="T4" s="218" t="n"/>
      <c r="U4" t="n" s="99"/>
      <c r="V4" t="n" s="219"/>
      <c r="W4" t="n" s="219"/>
      <c r="X4" t="n" s="219"/>
      <c r="Y4" t="n" s="219"/>
    </row>
    <row r="5" ht="42" customHeight="1" s="184" spans="1:25">
      <c r="A5" s="224">
        <f>IF(COUNTA(B5:K5,S5:T5,V5:Y5)&gt;0,ROW()-3,"")</f>
        <v/>
      </c>
      <c r="B5" s="218" t="n"/>
      <c r="C5" s="218" t="n"/>
      <c r="D5" s="225" t="n"/>
      <c r="E5" s="218" t="n"/>
      <c r="F5" s="218" t="n"/>
      <c r="G5" s="226" t="n"/>
      <c r="H5" s="219" t="n"/>
      <c r="I5" s="219" t="n"/>
      <c r="J5" s="225" t="n"/>
      <c r="K5" s="225" t="n"/>
      <c r="L5" s="227" t="n"/>
      <c r="M5" s="227" t="n"/>
      <c r="N5" s="227" t="n"/>
      <c r="O5" s="227" t="n"/>
      <c r="P5" s="227" t="n"/>
      <c r="Q5" s="227" t="n"/>
      <c r="R5" s="190" t="n"/>
      <c r="S5" s="218" t="n"/>
      <c r="T5" s="218" t="n"/>
      <c r="U5" t="n" s="99"/>
      <c r="V5" t="n" s="219"/>
      <c r="W5" t="n" s="219"/>
      <c r="X5" t="n" s="219"/>
      <c r="Y5" t="n" s="219"/>
    </row>
    <row r="6" ht="42" customHeight="1" s="184" spans="1:25">
      <c r="A6" s="224">
        <f>IF(COUNTA(B6:K6,S6:T6,V6:Y6)&gt;0,ROW()-3,"")</f>
        <v/>
      </c>
      <c r="B6" s="218" t="n"/>
      <c r="C6" s="218" t="n"/>
      <c r="D6" s="225" t="n"/>
      <c r="E6" s="218" t="n"/>
      <c r="F6" s="218" t="n"/>
      <c r="G6" s="226" t="n"/>
      <c r="H6" s="219" t="n"/>
      <c r="I6" s="219" t="n"/>
      <c r="J6" s="225" t="n"/>
      <c r="K6" s="225" t="n"/>
      <c r="L6" s="227" t="n"/>
      <c r="M6" s="227" t="n"/>
      <c r="N6" s="227" t="n"/>
      <c r="O6" s="227" t="n"/>
      <c r="P6" s="227" t="n"/>
      <c r="Q6" s="227" t="n"/>
      <c r="R6" s="190" t="n"/>
      <c r="S6" s="218" t="n"/>
      <c r="T6" s="218" t="n"/>
      <c r="U6" t="n" s="99"/>
      <c r="V6" t="n" s="219"/>
      <c r="W6" t="n" s="219"/>
      <c r="X6" t="n" s="219"/>
      <c r="Y6" t="n" s="219"/>
    </row>
    <row r="7" ht="42" customHeight="1" s="184" spans="1:25">
      <c r="A7" s="224">
        <f>IF(COUNTA(B7:K7,S7:T7,V7:Y7)&gt;0,ROW()-3,"")</f>
        <v/>
      </c>
      <c r="B7" s="218" t="n"/>
      <c r="C7" s="218" t="n"/>
      <c r="D7" s="225" t="n"/>
      <c r="E7" s="218" t="n"/>
      <c r="F7" s="218" t="n"/>
      <c r="G7" s="226" t="n"/>
      <c r="H7" s="219" t="n"/>
      <c r="I7" s="219" t="n"/>
      <c r="J7" s="225" t="n"/>
      <c r="K7" s="225" t="n"/>
      <c r="L7" s="227" t="n"/>
      <c r="M7" s="227" t="n"/>
      <c r="N7" s="227" t="n"/>
      <c r="O7" s="227" t="n"/>
      <c r="P7" s="227" t="n"/>
      <c r="Q7" s="227" t="n"/>
      <c r="R7" s="190" t="n"/>
      <c r="S7" s="218" t="n"/>
      <c r="T7" s="218" t="n"/>
      <c r="U7" t="n" s="99"/>
      <c r="V7" t="n" s="219"/>
      <c r="W7" t="n" s="219"/>
      <c r="X7" t="n" s="219"/>
      <c r="Y7" t="n" s="219"/>
    </row>
    <row r="8" ht="42" customHeight="1" s="184" spans="1:25">
      <c r="A8" s="224">
        <f>IF(COUNTA(B8:K8,S8:T8,V8:Y8)&gt;0,ROW()-3,"")</f>
        <v/>
      </c>
      <c r="B8" s="218" t="n"/>
      <c r="C8" s="218" t="n"/>
      <c r="D8" s="225" t="n"/>
      <c r="E8" s="218" t="n"/>
      <c r="F8" s="218" t="n"/>
      <c r="G8" s="226" t="n"/>
      <c r="H8" s="219" t="n"/>
      <c r="I8" s="219" t="n"/>
      <c r="J8" s="225" t="n"/>
      <c r="K8" s="225" t="n"/>
      <c r="L8" s="227" t="n"/>
      <c r="M8" s="227" t="n"/>
      <c r="N8" s="227" t="n"/>
      <c r="O8" s="227" t="n"/>
      <c r="P8" s="227" t="n"/>
      <c r="Q8" s="227" t="n"/>
      <c r="R8" s="190" t="n"/>
      <c r="S8" s="218" t="n"/>
      <c r="T8" s="218" t="n"/>
      <c r="U8" t="n" s="99"/>
      <c r="V8" t="n" s="219"/>
      <c r="W8" t="n" s="219"/>
      <c r="X8" t="n" s="219"/>
      <c r="Y8" t="n" s="219"/>
    </row>
    <row r="9" ht="42" customHeight="1" s="184" spans="1:25">
      <c r="A9" s="224">
        <f>IF(COUNTA(B9:K9,S9:T9,V9:Y9)&gt;0,ROW()-3,"")</f>
        <v/>
      </c>
      <c r="B9" s="218" t="n"/>
      <c r="C9" s="218" t="n"/>
      <c r="D9" s="225" t="n"/>
      <c r="E9" s="218" t="n"/>
      <c r="F9" s="218" t="n"/>
      <c r="G9" s="226" t="n"/>
      <c r="H9" s="219" t="n"/>
      <c r="I9" s="219" t="n"/>
      <c r="J9" s="225" t="n"/>
      <c r="K9" s="225" t="n"/>
      <c r="L9" s="227" t="n"/>
      <c r="M9" s="227" t="n"/>
      <c r="N9" s="227" t="n"/>
      <c r="O9" s="227" t="n"/>
      <c r="P9" s="227" t="n"/>
      <c r="Q9" s="227" t="n"/>
      <c r="R9" s="190" t="n"/>
      <c r="S9" s="218" t="n"/>
      <c r="T9" s="218" t="n"/>
      <c r="U9" t="n" s="99"/>
      <c r="V9" t="n" s="219"/>
      <c r="W9" t="n" s="219"/>
      <c r="X9" t="n" s="219"/>
      <c r="Y9" t="n" s="219"/>
    </row>
    <row r="10" ht="42" customHeight="1" s="184" spans="1:25">
      <c r="A10" s="224">
        <f>IF(COUNTA(B10:K10,S10:T10,V10:Y10)&gt;0,ROW()-3,"")</f>
        <v/>
      </c>
      <c r="B10" s="218" t="n"/>
      <c r="C10" s="218" t="n"/>
      <c r="D10" s="225" t="n"/>
      <c r="E10" s="218" t="n"/>
      <c r="F10" s="218" t="n"/>
      <c r="G10" s="226" t="n"/>
      <c r="H10" s="219" t="n"/>
      <c r="I10" s="219" t="n"/>
      <c r="J10" s="225" t="n"/>
      <c r="K10" s="225" t="n"/>
      <c r="L10" s="227" t="n"/>
      <c r="M10" s="227" t="n"/>
      <c r="N10" s="227" t="n"/>
      <c r="O10" s="227" t="n"/>
      <c r="P10" s="227" t="n"/>
      <c r="Q10" s="227" t="n"/>
      <c r="R10" s="190" t="n"/>
      <c r="S10" s="218" t="n"/>
      <c r="T10" s="218" t="n"/>
      <c r="U10" t="n" s="99"/>
      <c r="V10" t="n" s="219"/>
      <c r="W10" t="n" s="219"/>
      <c r="X10" t="n" s="219"/>
      <c r="Y10" t="n" s="219"/>
    </row>
    <row r="11" ht="42" customHeight="1" s="184" spans="1:25">
      <c r="A11" s="224">
        <f>IF(COUNTA(B11:K11,S11:T11,V11:Y11)&gt;0,ROW()-3,"")</f>
        <v/>
      </c>
      <c r="B11" s="218" t="n"/>
      <c r="C11" s="218" t="n"/>
      <c r="D11" s="225" t="n"/>
      <c r="E11" s="218" t="n"/>
      <c r="F11" s="218" t="n"/>
      <c r="G11" s="226" t="n"/>
      <c r="H11" s="219" t="n"/>
      <c r="I11" s="219" t="n"/>
      <c r="J11" s="225" t="n"/>
      <c r="K11" s="225" t="n"/>
      <c r="L11" s="227" t="n"/>
      <c r="M11" s="227" t="n"/>
      <c r="N11" s="227" t="n"/>
      <c r="O11" s="227" t="n"/>
      <c r="P11" s="227" t="n"/>
      <c r="Q11" s="227" t="n"/>
      <c r="R11" s="190" t="n"/>
      <c r="S11" s="218" t="n"/>
      <c r="T11" s="218" t="n"/>
      <c r="U11" t="n" s="99"/>
      <c r="V11" t="n" s="219"/>
      <c r="W11" t="n" s="219"/>
      <c r="X11" t="n" s="219"/>
      <c r="Y11" t="n" s="219"/>
    </row>
    <row r="12" ht="42" customHeight="1" s="184" spans="1:25">
      <c r="A12" s="224">
        <f>IF(COUNTA(B12:K12,S12:T12,V12:Y12)&gt;0,ROW()-3,"")</f>
        <v/>
      </c>
      <c r="B12" s="218" t="n"/>
      <c r="C12" s="218" t="n"/>
      <c r="D12" s="225" t="n"/>
      <c r="E12" s="218" t="n"/>
      <c r="F12" s="218" t="n"/>
      <c r="G12" s="226" t="n"/>
      <c r="H12" s="219" t="n"/>
      <c r="I12" s="219" t="n"/>
      <c r="J12" s="225" t="n"/>
      <c r="K12" s="225" t="n"/>
      <c r="L12" s="227" t="n"/>
      <c r="M12" s="227" t="n"/>
      <c r="N12" s="227" t="n"/>
      <c r="O12" s="227" t="n"/>
      <c r="P12" s="227" t="n"/>
      <c r="Q12" s="227" t="n"/>
      <c r="R12" s="190" t="n"/>
      <c r="S12" s="218" t="n"/>
      <c r="T12" s="218" t="n"/>
      <c r="U12" t="n" s="99"/>
      <c r="V12" t="n" s="219"/>
      <c r="W12" t="n" s="219"/>
      <c r="X12" t="n" s="219"/>
      <c r="Y12" t="n" s="219"/>
    </row>
    <row r="13" ht="42" customHeight="1" s="184" spans="1:25">
      <c r="A13" s="224">
        <f>IF(COUNTA(B13:K13,S13:T13,V13:Y13)&gt;0,ROW()-3,"")</f>
        <v/>
      </c>
      <c r="B13" s="218" t="n"/>
      <c r="C13" s="218" t="n"/>
      <c r="D13" s="225" t="n"/>
      <c r="E13" s="218" t="n"/>
      <c r="F13" s="218" t="n"/>
      <c r="G13" s="226" t="n"/>
      <c r="H13" s="219" t="n"/>
      <c r="I13" s="219" t="n"/>
      <c r="J13" s="225" t="n"/>
      <c r="K13" s="225" t="n"/>
      <c r="L13" s="227" t="n"/>
      <c r="M13" s="227" t="n"/>
      <c r="N13" s="227" t="n"/>
      <c r="O13" s="227" t="n"/>
      <c r="P13" s="227" t="n"/>
      <c r="Q13" s="227" t="n"/>
      <c r="R13" s="190" t="n"/>
      <c r="S13" s="218" t="n"/>
      <c r="T13" s="218" t="n"/>
      <c r="U13" t="n" s="99"/>
      <c r="V13" t="n" s="219"/>
      <c r="W13" t="n" s="219"/>
      <c r="X13" t="n" s="219"/>
      <c r="Y13" t="n" s="219"/>
    </row>
    <row r="14" spans="1:25">
      <c r="A14" s="224">
        <f>IF(COUNTA(B14:K14,S14:T14,V14:Y14)&gt;0,ROW()-3,"")</f>
        <v/>
      </c>
      <c r="U14" t="n" s="99"/>
      <c r="V14" t="n" s="219"/>
      <c r="W14" t="n" s="219"/>
      <c r="X14" t="n" s="219"/>
      <c r="Y14" t="n" s="219"/>
    </row>
    <row r="15" ht="42" customHeight="1" s="184" spans="1:25">
      <c r="A15" s="224">
        <f>IF(COUNTA(B15:K15,S15:T15,V15:Y15)&gt;0,ROW()-3,"")</f>
        <v/>
      </c>
      <c r="B15" t="n" s="218"/>
      <c r="C15" t="n" s="218"/>
      <c r="D15" t="n" s="225"/>
      <c r="E15" t="n" s="218"/>
      <c r="F15" t="n" s="218"/>
      <c r="G15" t="n" s="226"/>
      <c r="H15" t="n" s="219"/>
      <c r="I15" t="n" s="219"/>
      <c r="J15" t="n" s="225"/>
      <c r="K15" t="n" s="225"/>
      <c r="L15" t="n" s="227"/>
      <c r="M15" t="n" s="227"/>
      <c r="N15" t="n" s="227"/>
      <c r="O15" t="n" s="227"/>
      <c r="P15" t="n" s="227"/>
      <c r="Q15" t="n" s="227"/>
      <c r="R15" t="n" s="190"/>
      <c r="S15" t="n" s="218"/>
      <c r="T15" t="n" s="218"/>
      <c r="U15" t="n" s="99"/>
      <c r="V15" t="n" s="219"/>
      <c r="W15" t="n" s="219"/>
      <c r="X15" t="n" s="219"/>
      <c r="Y15" t="n" s="219"/>
    </row>
    <row r="16" ht="42" customHeight="1" s="184" spans="1:25">
      <c r="A16" s="224">
        <f>IF(COUNTA(B16:K16,S16:T16,V16:Y16)&gt;0,ROW()-3,"")</f>
        <v/>
      </c>
      <c r="B16" t="n" s="218"/>
      <c r="C16" t="n" s="218"/>
      <c r="D16" t="n" s="225"/>
      <c r="E16" t="n" s="218"/>
      <c r="F16" t="n" s="218"/>
      <c r="G16" t="n" s="226"/>
      <c r="H16" t="n" s="219"/>
      <c r="I16" t="n" s="219"/>
      <c r="J16" t="n" s="225"/>
      <c r="K16" t="n" s="225"/>
      <c r="L16" t="n" s="227"/>
      <c r="M16" t="n" s="227"/>
      <c r="N16" t="n" s="227"/>
      <c r="O16" t="n" s="227"/>
      <c r="P16" t="n" s="227"/>
      <c r="Q16" t="n" s="227"/>
      <c r="R16" t="n" s="190"/>
      <c r="S16" t="n" s="218"/>
      <c r="T16" t="n" s="218"/>
      <c r="U16" t="n" s="99"/>
      <c r="V16" t="n" s="219"/>
      <c r="W16" t="n" s="219"/>
      <c r="X16" t="n" s="219"/>
      <c r="Y16" t="n" s="219"/>
    </row>
    <row r="17" ht="42" customHeight="1" s="184" spans="1:25">
      <c r="A17" s="224">
        <f>IF(COUNTA(B17:K17,S17:T17,V17:Y17)&gt;0,ROW()-3,"")</f>
        <v/>
      </c>
      <c r="B17" t="n" s="218"/>
      <c r="C17" t="n" s="218"/>
      <c r="D17" t="n" s="225"/>
      <c r="E17" t="n" s="218"/>
      <c r="F17" t="n" s="218"/>
      <c r="G17" t="n" s="226"/>
      <c r="H17" t="n" s="219"/>
      <c r="I17" t="n" s="219"/>
      <c r="J17" t="n" s="225"/>
      <c r="K17" t="n" s="225"/>
      <c r="L17" t="n" s="227"/>
      <c r="M17" t="n" s="227"/>
      <c r="N17" t="n" s="227"/>
      <c r="O17" t="n" s="227"/>
      <c r="P17" t="n" s="227"/>
      <c r="Q17" t="n" s="227"/>
      <c r="R17" t="n" s="190"/>
      <c r="S17" t="n" s="218"/>
      <c r="T17" t="n" s="218"/>
      <c r="U17" t="n" s="99"/>
      <c r="V17" t="n" s="219"/>
      <c r="W17" t="n" s="219"/>
      <c r="X17" t="n" s="219"/>
      <c r="Y17" t="n" s="219"/>
    </row>
    <row r="18" ht="42" customHeight="1" s="184" spans="1:25">
      <c r="A18" s="224">
        <f>IF(COUNTA(B18:K18,S18:T18,V18:Y18)&gt;0,ROW()-3,"")</f>
        <v/>
      </c>
      <c r="B18" t="n" s="218"/>
      <c r="C18" t="n" s="218"/>
      <c r="D18" t="n" s="225"/>
      <c r="E18" t="n" s="218"/>
      <c r="F18" t="n" s="218"/>
      <c r="G18" t="n" s="226"/>
      <c r="H18" t="n" s="219"/>
      <c r="I18" t="n" s="219"/>
      <c r="J18" t="n" s="225"/>
      <c r="K18" t="n" s="225"/>
      <c r="L18" t="n" s="227"/>
      <c r="M18" t="n" s="227"/>
      <c r="N18" t="n" s="227"/>
      <c r="O18" t="n" s="227"/>
      <c r="P18" t="n" s="227"/>
      <c r="Q18" t="n" s="227"/>
      <c r="R18" t="n" s="190"/>
      <c r="S18" t="n" s="218"/>
      <c r="T18" t="n" s="218"/>
      <c r="U18" t="n" s="99"/>
      <c r="V18" t="n" s="219"/>
      <c r="W18" t="n" s="219"/>
      <c r="X18" t="n" s="219"/>
      <c r="Y18" t="n" s="219"/>
    </row>
    <row r="19" ht="42" customHeight="1" s="184" spans="1:25">
      <c r="A19" s="224">
        <f>IF(COUNTA(B19:K19,S19:T19,V19:Y19)&gt;0,ROW()-3,"")</f>
        <v/>
      </c>
      <c r="B19" t="n" s="218"/>
      <c r="C19" t="n" s="218"/>
      <c r="D19" t="n" s="225"/>
      <c r="E19" t="n" s="218"/>
      <c r="F19" t="n" s="218"/>
      <c r="G19" t="n" s="226"/>
      <c r="H19" t="n" s="219"/>
      <c r="I19" t="n" s="219"/>
      <c r="J19" t="n" s="225"/>
      <c r="K19" t="n" s="225"/>
      <c r="L19" t="n" s="227"/>
      <c r="M19" t="n" s="227"/>
      <c r="N19" t="n" s="227"/>
      <c r="O19" t="n" s="227"/>
      <c r="P19" t="n" s="227"/>
      <c r="Q19" t="n" s="227"/>
      <c r="R19" t="n" s="190"/>
      <c r="S19" t="n" s="218"/>
      <c r="T19" t="n" s="218"/>
      <c r="U19" t="n" s="99"/>
      <c r="V19" t="n" s="219"/>
      <c r="W19" t="n" s="219"/>
      <c r="X19" t="n" s="219"/>
      <c r="Y19" t="n" s="219"/>
    </row>
    <row r="20" ht="42" customHeight="1" s="184" spans="1:25">
      <c r="A20" s="224">
        <f>IF(COUNTA(B20:K20,S20:T20,V20:Y20)&gt;0,ROW()-3,"")</f>
        <v/>
      </c>
      <c r="B20" t="n" s="218"/>
      <c r="C20" t="n" s="218"/>
      <c r="D20" t="n" s="225"/>
      <c r="E20" t="n" s="218"/>
      <c r="F20" t="n" s="218"/>
      <c r="G20" t="n" s="226"/>
      <c r="H20" t="n" s="219"/>
      <c r="I20" t="n" s="219"/>
      <c r="J20" t="n" s="225"/>
      <c r="K20" t="n" s="225"/>
      <c r="L20" t="n" s="227"/>
      <c r="M20" t="n" s="227"/>
      <c r="N20" t="n" s="227"/>
      <c r="O20" t="n" s="227"/>
      <c r="P20" t="n" s="227"/>
      <c r="Q20" t="n" s="227"/>
      <c r="R20" t="n" s="190"/>
      <c r="S20" t="n" s="218"/>
      <c r="T20" t="n" s="218"/>
      <c r="U20" t="n" s="99"/>
      <c r="V20" t="n" s="219"/>
      <c r="W20" t="n" s="219"/>
      <c r="X20" t="n" s="219"/>
      <c r="Y20" t="n" s="219"/>
    </row>
    <row r="21" ht="42" customHeight="1" s="184" spans="1:25">
      <c r="A21" s="224">
        <f>IF(COUNTA(B21:K21,S21:T21,V21:Y21)&gt;0,ROW()-3,"")</f>
        <v/>
      </c>
      <c r="B21" t="n" s="218"/>
      <c r="C21" t="n" s="218"/>
      <c r="D21" t="n" s="225"/>
      <c r="E21" t="n" s="218"/>
      <c r="F21" t="n" s="218"/>
      <c r="G21" t="n" s="226"/>
      <c r="H21" t="n" s="219"/>
      <c r="I21" t="n" s="219"/>
      <c r="J21" t="n" s="225"/>
      <c r="K21" t="n" s="225"/>
      <c r="L21" t="n" s="227"/>
      <c r="M21" t="n" s="227"/>
      <c r="N21" t="n" s="227"/>
      <c r="O21" t="n" s="227"/>
      <c r="P21" t="n" s="227"/>
      <c r="Q21" t="n" s="227"/>
      <c r="R21" t="n" s="190"/>
      <c r="S21" t="n" s="218"/>
      <c r="T21" t="n" s="218"/>
      <c r="U21" t="n" s="99"/>
      <c r="V21" t="n" s="219"/>
      <c r="W21" t="n" s="219"/>
      <c r="X21" t="n" s="219"/>
      <c r="Y21" t="n" s="219"/>
    </row>
    <row r="22" ht="42" customHeight="1" s="184" spans="1:25">
      <c r="A22" s="224">
        <f>IF(COUNTA(B22:K22,S22:T22,V22:Y22)&gt;0,ROW()-3,"")</f>
        <v/>
      </c>
      <c r="B22" t="n" s="218"/>
      <c r="C22" t="n" s="218"/>
      <c r="D22" t="n" s="225"/>
      <c r="E22" t="n" s="218"/>
      <c r="F22" t="n" s="218"/>
      <c r="G22" t="n" s="226"/>
      <c r="H22" t="n" s="219"/>
      <c r="I22" t="n" s="219"/>
      <c r="J22" t="n" s="225"/>
      <c r="K22" t="n" s="225"/>
      <c r="L22" t="n" s="227"/>
      <c r="M22" t="n" s="227"/>
      <c r="N22" t="n" s="227"/>
      <c r="O22" t="n" s="227"/>
      <c r="P22" t="n" s="227"/>
      <c r="Q22" t="n" s="227"/>
      <c r="R22" t="n" s="190"/>
      <c r="S22" t="n" s="218"/>
      <c r="T22" t="n" s="218"/>
      <c r="U22" t="n" s="99"/>
      <c r="V22" t="n" s="219"/>
      <c r="W22" t="n" s="219"/>
      <c r="X22" t="n" s="219"/>
      <c r="Y22" t="n" s="219"/>
    </row>
    <row r="23" ht="42" customHeight="1" s="184" spans="1:25">
      <c r="A23" s="224">
        <f>IF(COUNTA(B23:K23,S23:T23,V23:Y23)&gt;0,ROW()-3,"")</f>
        <v/>
      </c>
      <c r="B23" t="n" s="218"/>
      <c r="C23" t="n" s="218"/>
      <c r="D23" t="n" s="225"/>
      <c r="E23" t="n" s="218"/>
      <c r="F23" t="n" s="218"/>
      <c r="G23" t="n" s="226"/>
      <c r="H23" t="n" s="219"/>
      <c r="I23" t="n" s="219"/>
      <c r="J23" t="n" s="225"/>
      <c r="K23" t="n" s="225"/>
      <c r="L23" t="n" s="227"/>
      <c r="M23" t="n" s="227"/>
      <c r="N23" t="n" s="227"/>
      <c r="O23" t="n" s="227"/>
      <c r="P23" t="n" s="227"/>
      <c r="Q23" t="n" s="227"/>
      <c r="R23" t="n" s="190"/>
      <c r="S23" t="n" s="218"/>
      <c r="T23" t="n" s="218"/>
      <c r="U23" t="n" s="99"/>
      <c r="V23" t="n" s="219"/>
      <c r="W23" t="n" s="219"/>
      <c r="X23" t="n" s="219"/>
      <c r="Y23" t="n" s="219"/>
    </row>
    <row r="24" ht="42" customHeight="1" s="184" spans="1:25">
      <c r="A24" s="224">
        <f>IF(COUNTA(B24:K24,S24:T24,V24:Y24)&gt;0,ROW()-3,"")</f>
        <v/>
      </c>
      <c r="B24" t="n" s="218"/>
      <c r="C24" t="n" s="218"/>
      <c r="D24" t="n" s="225"/>
      <c r="E24" t="n" s="218"/>
      <c r="F24" t="n" s="218"/>
      <c r="G24" t="n" s="226"/>
      <c r="H24" t="n" s="219"/>
      <c r="I24" t="n" s="219"/>
      <c r="J24" t="n" s="225"/>
      <c r="K24" t="n" s="225"/>
      <c r="L24" t="n" s="227"/>
      <c r="M24" t="n" s="227"/>
      <c r="N24" t="n" s="227"/>
      <c r="O24" t="n" s="227"/>
      <c r="P24" t="n" s="227"/>
      <c r="Q24" t="n" s="227"/>
      <c r="R24" t="n" s="190"/>
      <c r="S24" t="n" s="218"/>
      <c r="T24" t="n" s="218"/>
      <c r="U24" t="n" s="99"/>
      <c r="V24" t="n" s="219"/>
      <c r="W24" t="n" s="219"/>
      <c r="X24" t="n" s="219"/>
      <c r="Y24" t="n" s="219"/>
    </row>
    <row r="25" ht="42" customHeight="1" s="184" spans="1:25">
      <c r="A25" s="224">
        <f>IF(COUNTA(B25:K25,S25:T25,V25:Y25)&gt;0,ROW()-3,"")</f>
        <v/>
      </c>
      <c r="B25" t="n" s="218"/>
      <c r="C25" t="n" s="218"/>
      <c r="D25" t="n" s="225"/>
      <c r="E25" t="n" s="218"/>
      <c r="F25" t="n" s="218"/>
      <c r="G25" t="n" s="226"/>
      <c r="H25" t="n" s="219"/>
      <c r="I25" t="n" s="219"/>
      <c r="J25" t="n" s="225"/>
      <c r="K25" t="n" s="225"/>
      <c r="L25" t="n" s="227"/>
      <c r="M25" t="n" s="227"/>
      <c r="N25" t="n" s="227"/>
      <c r="O25" t="n" s="227"/>
      <c r="P25" t="n" s="227"/>
      <c r="Q25" t="n" s="227"/>
      <c r="R25" t="n" s="190"/>
      <c r="S25" t="n" s="218"/>
      <c r="T25" t="n" s="218"/>
      <c r="U25" t="n" s="99"/>
      <c r="V25" t="n" s="219"/>
      <c r="W25" t="n" s="219"/>
      <c r="X25" t="n" s="219"/>
      <c r="Y25" t="n" s="219"/>
    </row>
    <row r="26" ht="42" customHeight="1" s="184" spans="1:25">
      <c r="A26" s="224">
        <f>IF(COUNTA(B26:K26,S26:T26,V26:Y26)&gt;0,ROW()-3,"")</f>
        <v/>
      </c>
      <c r="B26" t="n" s="218"/>
      <c r="C26" t="n" s="218"/>
      <c r="D26" t="n" s="225"/>
      <c r="E26" t="n" s="218"/>
      <c r="F26" t="n" s="218"/>
      <c r="G26" t="n" s="226"/>
      <c r="H26" t="n" s="219"/>
      <c r="I26" t="n" s="219"/>
      <c r="J26" t="n" s="225"/>
      <c r="K26" t="n" s="225"/>
      <c r="L26" t="n" s="227"/>
      <c r="M26" t="n" s="227"/>
      <c r="N26" t="n" s="227"/>
      <c r="O26" t="n" s="227"/>
      <c r="P26" t="n" s="227"/>
      <c r="Q26" t="n" s="227"/>
      <c r="R26" t="n" s="190"/>
      <c r="S26" t="n" s="218"/>
      <c r="T26" t="n" s="218"/>
      <c r="U26" t="n" s="99"/>
      <c r="V26" t="n" s="219"/>
      <c r="W26" t="n" s="219"/>
      <c r="X26" t="n" s="219"/>
      <c r="Y26" t="n" s="219"/>
    </row>
    <row r="27" ht="42" customHeight="1" s="184" spans="1:25">
      <c r="A27" s="224">
        <f>IF(COUNTA(B27:K27,S27:T27,V27:Y27)&gt;0,ROW()-3,"")</f>
        <v/>
      </c>
      <c r="B27" t="n" s="218"/>
      <c r="C27" t="n" s="218"/>
      <c r="D27" t="n" s="225"/>
      <c r="E27" t="n" s="218"/>
      <c r="F27" t="n" s="218"/>
      <c r="G27" t="n" s="226"/>
      <c r="H27" t="n" s="219"/>
      <c r="I27" t="n" s="219"/>
      <c r="J27" t="n" s="225"/>
      <c r="K27" t="n" s="225"/>
      <c r="L27" t="n" s="227"/>
      <c r="M27" t="n" s="227"/>
      <c r="N27" t="n" s="227"/>
      <c r="O27" t="n" s="227"/>
      <c r="P27" t="n" s="227"/>
      <c r="Q27" t="n" s="227"/>
      <c r="R27" t="n" s="190"/>
      <c r="S27" t="n" s="218"/>
      <c r="T27" t="n" s="218"/>
      <c r="U27" t="n" s="99"/>
      <c r="V27" t="n" s="219"/>
      <c r="W27" t="n" s="219"/>
      <c r="X27" t="n" s="219"/>
      <c r="Y27" t="n" s="219"/>
    </row>
    <row r="28" ht="42" customHeight="1" s="184" spans="1:25">
      <c r="A28" s="224">
        <f>IF(COUNTA(B28:K28,S28:T28,V28:Y28)&gt;0,ROW()-3,"")</f>
        <v/>
      </c>
      <c r="B28" t="n" s="218"/>
      <c r="C28" t="n" s="218"/>
      <c r="D28" t="n" s="225"/>
      <c r="E28" t="n" s="218"/>
      <c r="F28" t="n" s="218"/>
      <c r="G28" t="n" s="226"/>
      <c r="H28" t="n" s="219"/>
      <c r="I28" t="n" s="219"/>
      <c r="J28" t="n" s="225"/>
      <c r="K28" t="n" s="225"/>
      <c r="L28" t="n" s="227"/>
      <c r="M28" t="n" s="227"/>
      <c r="N28" t="n" s="227"/>
      <c r="O28" t="n" s="227"/>
      <c r="P28" t="n" s="227"/>
      <c r="Q28" t="n" s="227"/>
      <c r="R28" t="n" s="190"/>
      <c r="S28" t="n" s="218"/>
      <c r="T28" t="n" s="218"/>
      <c r="U28" t="n" s="99"/>
      <c r="V28" t="n" s="219"/>
      <c r="W28" t="n" s="219"/>
      <c r="X28" t="n" s="219"/>
      <c r="Y28" t="n" s="219"/>
    </row>
    <row r="29" ht="42" customHeight="1" s="184" spans="1:25">
      <c r="A29" s="224">
        <f>IF(COUNTA(B29:K29,S29:T29,V29:Y29)&gt;0,ROW()-3,"")</f>
        <v/>
      </c>
      <c r="B29" t="n" s="218"/>
      <c r="C29" t="n" s="218"/>
      <c r="D29" t="n" s="225"/>
      <c r="E29" t="n" s="218"/>
      <c r="F29" t="n" s="218"/>
      <c r="G29" t="n" s="226"/>
      <c r="H29" t="n" s="219"/>
      <c r="I29" t="n" s="219"/>
      <c r="J29" t="n" s="225"/>
      <c r="K29" t="n" s="225"/>
      <c r="L29" t="n" s="227"/>
      <c r="M29" t="n" s="227"/>
      <c r="N29" t="n" s="227"/>
      <c r="O29" t="n" s="227"/>
      <c r="P29" t="n" s="227"/>
      <c r="Q29" t="n" s="227"/>
      <c r="R29" t="n" s="190"/>
      <c r="S29" t="n" s="218"/>
      <c r="T29" t="n" s="218"/>
      <c r="U29" t="n" s="99"/>
      <c r="V29" t="n" s="219"/>
      <c r="W29" t="n" s="219"/>
      <c r="X29" t="n" s="219"/>
      <c r="Y29" t="n" s="219"/>
    </row>
    <row r="30" ht="42" customHeight="1" s="184" spans="1:25">
      <c r="A30" s="224">
        <f>IF(COUNTA(B30:K30,S30:T30,V30:Y30)&gt;0,ROW()-3,"")</f>
        <v/>
      </c>
      <c r="B30" t="n" s="218"/>
      <c r="C30" t="n" s="218"/>
      <c r="D30" t="n" s="225"/>
      <c r="E30" t="n" s="218"/>
      <c r="F30" t="n" s="218"/>
      <c r="G30" t="n" s="226"/>
      <c r="H30" t="n" s="219"/>
      <c r="I30" t="n" s="219"/>
      <c r="J30" t="n" s="225"/>
      <c r="K30" t="n" s="225"/>
      <c r="L30" t="n" s="227"/>
      <c r="M30" t="n" s="227"/>
      <c r="N30" t="n" s="227"/>
      <c r="O30" t="n" s="227"/>
      <c r="P30" t="n" s="227"/>
      <c r="Q30" t="n" s="227"/>
      <c r="R30" t="n" s="190"/>
      <c r="S30" t="n" s="218"/>
      <c r="T30" t="n" s="218"/>
      <c r="U30" t="n" s="99"/>
      <c r="V30" t="n" s="219"/>
      <c r="W30" t="n" s="219"/>
      <c r="X30" t="n" s="219"/>
      <c r="Y30" t="n" s="219"/>
    </row>
    <row r="31" ht="42" customHeight="1" s="184" spans="1:25">
      <c r="A31" s="224">
        <f>IF(COUNTA(B31:K31,S31:T31,V31:Y31)&gt;0,ROW()-3,"")</f>
        <v/>
      </c>
      <c r="B31" t="n" s="218"/>
      <c r="C31" t="n" s="218"/>
      <c r="D31" t="n" s="225"/>
      <c r="E31" t="n" s="218"/>
      <c r="F31" t="n" s="218"/>
      <c r="G31" t="n" s="226"/>
      <c r="H31" t="n" s="219"/>
      <c r="I31" t="n" s="219"/>
      <c r="J31" t="n" s="225"/>
      <c r="K31" t="n" s="225"/>
      <c r="L31" t="n" s="227"/>
      <c r="M31" t="n" s="227"/>
      <c r="N31" t="n" s="227"/>
      <c r="O31" t="n" s="227"/>
      <c r="P31" t="n" s="227"/>
      <c r="Q31" t="n" s="227"/>
      <c r="R31" t="n" s="190"/>
      <c r="S31" t="n" s="218"/>
      <c r="T31" t="n" s="218"/>
      <c r="U31" t="n" s="99"/>
      <c r="V31" t="n" s="219"/>
      <c r="W31" t="n" s="219"/>
      <c r="X31" t="n" s="219"/>
      <c r="Y31" t="n" s="219"/>
    </row>
    <row r="32" ht="42" customHeight="1" s="184" spans="1:25">
      <c r="A32" s="224">
        <f>IF(COUNTA(B32:K32,S32:T32,V32:Y32)&gt;0,ROW()-3,"")</f>
        <v/>
      </c>
      <c r="B32" t="n" s="218"/>
      <c r="C32" t="n" s="218"/>
      <c r="D32" t="n" s="225"/>
      <c r="E32" t="n" s="218"/>
      <c r="F32" t="n" s="218"/>
      <c r="G32" t="n" s="226"/>
      <c r="H32" t="n" s="219"/>
      <c r="I32" t="n" s="219"/>
      <c r="J32" t="n" s="225"/>
      <c r="K32" t="n" s="225"/>
      <c r="L32" t="n" s="227"/>
      <c r="M32" t="n" s="227"/>
      <c r="N32" t="n" s="227"/>
      <c r="O32" t="n" s="227"/>
      <c r="P32" t="n" s="227"/>
      <c r="Q32" t="n" s="227"/>
      <c r="R32" t="n" s="190"/>
      <c r="S32" t="n" s="218"/>
      <c r="T32" t="n" s="218"/>
      <c r="U32" t="n" s="99"/>
      <c r="V32" t="n" s="219"/>
      <c r="W32" t="n" s="219"/>
      <c r="X32" t="n" s="219"/>
      <c r="Y32" t="n" s="219"/>
    </row>
    <row r="33" ht="42" customHeight="1" s="184" spans="1:25">
      <c r="A33" s="224">
        <f>IF(COUNTA(B33:K33,S33:T33,V33:Y33)&gt;0,ROW()-3,"")</f>
        <v/>
      </c>
      <c r="B33" t="n" s="218"/>
      <c r="C33" t="n" s="218"/>
      <c r="D33" t="n" s="225"/>
      <c r="E33" t="n" s="218"/>
      <c r="F33" t="n" s="218"/>
      <c r="G33" t="n" s="226"/>
      <c r="H33" t="n" s="219"/>
      <c r="I33" t="n" s="219"/>
      <c r="J33" t="n" s="225"/>
      <c r="K33" t="n" s="225"/>
      <c r="L33" t="n" s="227"/>
      <c r="M33" t="n" s="227"/>
      <c r="N33" t="n" s="227"/>
      <c r="O33" t="n" s="227"/>
      <c r="P33" t="n" s="227"/>
      <c r="Q33" t="n" s="227"/>
      <c r="R33" t="n" s="190"/>
      <c r="S33" t="n" s="218"/>
      <c r="T33" t="n" s="218"/>
      <c r="U33" t="n" s="99"/>
      <c r="V33" t="n" s="219"/>
      <c r="W33" t="n" s="219"/>
      <c r="X33" t="n" s="219"/>
      <c r="Y33" t="n" s="219"/>
    </row>
    <row r="34" ht="42" customHeight="1" s="184" spans="1:25">
      <c r="A34" s="224">
        <f>IF(COUNTA(B34:K34,S34:T34,V34:Y34)&gt;0,ROW()-3,"")</f>
        <v/>
      </c>
      <c r="B34" t="n" s="218"/>
      <c r="C34" t="n" s="218"/>
      <c r="D34" t="n" s="225"/>
      <c r="E34" t="n" s="218"/>
      <c r="F34" t="n" s="218"/>
      <c r="G34" t="n" s="226"/>
      <c r="H34" t="n" s="219"/>
      <c r="I34" t="n" s="219"/>
      <c r="J34" t="n" s="225"/>
      <c r="K34" t="n" s="225"/>
      <c r="L34" t="n" s="227"/>
      <c r="M34" t="n" s="227"/>
      <c r="N34" t="n" s="227"/>
      <c r="O34" t="n" s="227"/>
      <c r="P34" t="n" s="227"/>
      <c r="Q34" t="n" s="227"/>
      <c r="R34" t="n" s="190"/>
      <c r="S34" t="n" s="218"/>
      <c r="T34" t="n" s="218"/>
      <c r="U34" t="n" s="99"/>
      <c r="V34" t="n" s="219"/>
      <c r="W34" t="n" s="219"/>
      <c r="X34" t="n" s="219"/>
      <c r="Y34" t="n" s="219"/>
    </row>
    <row r="35" ht="42" customHeight="1" s="184" spans="1:25">
      <c r="A35" s="224">
        <f>IF(COUNTA(B35:K35,S35:T35,V35:Y35)&gt;0,ROW()-3,"")</f>
        <v/>
      </c>
      <c r="B35" t="n" s="218"/>
      <c r="C35" t="n" s="218"/>
      <c r="D35" t="n" s="225"/>
      <c r="E35" t="n" s="218"/>
      <c r="F35" t="n" s="218"/>
      <c r="G35" t="n" s="226"/>
      <c r="H35" t="n" s="219"/>
      <c r="I35" t="n" s="219"/>
      <c r="J35" t="n" s="225"/>
      <c r="K35" t="n" s="225"/>
      <c r="L35" t="n" s="227"/>
      <c r="M35" t="n" s="227"/>
      <c r="N35" t="n" s="227"/>
      <c r="O35" t="n" s="227"/>
      <c r="P35" t="n" s="227"/>
      <c r="Q35" t="n" s="227"/>
      <c r="R35" t="n" s="190"/>
      <c r="S35" t="n" s="218"/>
      <c r="T35" t="n" s="218"/>
      <c r="U35" t="n" s="99"/>
      <c r="V35" t="n" s="219"/>
      <c r="W35" t="n" s="219"/>
      <c r="X35" t="n" s="219"/>
      <c r="Y35" t="n" s="219"/>
    </row>
    <row r="36" ht="42" customHeight="1" s="184" spans="1:25">
      <c r="A36" s="224">
        <f>IF(COUNTA(B36:K36,S36:T36,V36:Y36)&gt;0,ROW()-3,"")</f>
        <v/>
      </c>
      <c r="B36" t="n" s="218"/>
      <c r="C36" t="n" s="218"/>
      <c r="D36" t="n" s="225"/>
      <c r="E36" t="n" s="218"/>
      <c r="F36" t="n" s="218"/>
      <c r="G36" t="n" s="226"/>
      <c r="H36" t="n" s="219"/>
      <c r="I36" t="n" s="219"/>
      <c r="J36" t="n" s="225"/>
      <c r="K36" t="n" s="225"/>
      <c r="L36" t="n" s="227"/>
      <c r="M36" t="n" s="227"/>
      <c r="N36" t="n" s="227"/>
      <c r="O36" t="n" s="227"/>
      <c r="P36" t="n" s="227"/>
      <c r="Q36" t="n" s="227"/>
      <c r="R36" t="n" s="190"/>
      <c r="S36" t="n" s="218"/>
      <c r="T36" t="n" s="218"/>
      <c r="U36" t="n" s="99"/>
      <c r="V36" t="n" s="219"/>
      <c r="W36" t="n" s="219"/>
      <c r="X36" t="n" s="219"/>
      <c r="Y36" t="n" s="219"/>
    </row>
    <row r="37" ht="42" customHeight="1" s="184" spans="1:25">
      <c r="A37" s="224">
        <f>IF(COUNTA(B37:K37,S37:T37,V37:Y37)&gt;0,ROW()-3,"")</f>
        <v/>
      </c>
      <c r="B37" t="n" s="218"/>
      <c r="C37" t="n" s="218"/>
      <c r="D37" t="n" s="225"/>
      <c r="E37" t="n" s="218"/>
      <c r="F37" t="n" s="218"/>
      <c r="G37" t="n" s="226"/>
      <c r="H37" t="n" s="219"/>
      <c r="I37" t="n" s="219"/>
      <c r="J37" t="n" s="225"/>
      <c r="K37" t="n" s="225"/>
      <c r="L37" t="n" s="227"/>
      <c r="M37" t="n" s="227"/>
      <c r="N37" t="n" s="227"/>
      <c r="O37" t="n" s="227"/>
      <c r="P37" t="n" s="227"/>
      <c r="Q37" t="n" s="227"/>
      <c r="R37" t="n" s="190"/>
      <c r="S37" t="n" s="218"/>
      <c r="T37" t="n" s="218"/>
      <c r="U37" t="n" s="99"/>
      <c r="V37" t="n" s="219"/>
      <c r="W37" t="n" s="219"/>
      <c r="X37" t="n" s="219"/>
      <c r="Y37" t="n" s="219"/>
    </row>
    <row r="38" ht="42" customHeight="1" s="184" spans="1:25">
      <c r="A38" s="224">
        <f>IF(COUNTA(B38:K38,S38:T38,V38:Y38)&gt;0,ROW()-3,"")</f>
        <v/>
      </c>
      <c r="B38" t="n" s="218"/>
      <c r="C38" t="n" s="218"/>
      <c r="D38" t="n" s="225"/>
      <c r="E38" t="n" s="218"/>
      <c r="F38" t="n" s="218"/>
      <c r="G38" t="n" s="226"/>
      <c r="H38" t="n" s="219"/>
      <c r="I38" t="n" s="219"/>
      <c r="J38" t="n" s="225"/>
      <c r="K38" t="n" s="225"/>
      <c r="L38" t="n" s="227"/>
      <c r="M38" t="n" s="227"/>
      <c r="N38" t="n" s="227"/>
      <c r="O38" t="n" s="227"/>
      <c r="P38" t="n" s="227"/>
      <c r="Q38" t="n" s="227"/>
      <c r="R38" t="n" s="190"/>
      <c r="S38" t="n" s="218"/>
      <c r="T38" t="n" s="218"/>
      <c r="U38" t="n" s="99"/>
      <c r="V38" t="n" s="219"/>
      <c r="W38" t="n" s="219"/>
      <c r="X38" t="n" s="219"/>
      <c r="Y38" t="n" s="219"/>
    </row>
    <row r="39" ht="42" customHeight="1" s="184" spans="1:25">
      <c r="A39" s="224">
        <f>IF(COUNTA(B39:K39,S39:T39,V39:Y39)&gt;0,ROW()-3,"")</f>
        <v/>
      </c>
      <c r="B39" t="n" s="218"/>
      <c r="C39" t="n" s="218"/>
      <c r="D39" t="n" s="225"/>
      <c r="E39" t="n" s="218"/>
      <c r="F39" t="n" s="218"/>
      <c r="G39" t="n" s="226"/>
      <c r="H39" t="n" s="219"/>
      <c r="I39" t="n" s="219"/>
      <c r="J39" t="n" s="225"/>
      <c r="K39" t="n" s="225"/>
      <c r="L39" t="n" s="227"/>
      <c r="M39" t="n" s="227"/>
      <c r="N39" t="n" s="227"/>
      <c r="O39" t="n" s="227"/>
      <c r="P39" t="n" s="227"/>
      <c r="Q39" t="n" s="227"/>
      <c r="R39" t="n" s="190"/>
      <c r="S39" t="n" s="218"/>
      <c r="T39" t="n" s="218"/>
      <c r="U39" t="n" s="99"/>
      <c r="V39" t="n" s="219"/>
      <c r="W39" t="n" s="219"/>
      <c r="X39" t="n" s="219"/>
      <c r="Y39" t="n" s="219"/>
    </row>
    <row r="40" ht="42" customHeight="1" s="184" spans="1:25">
      <c r="A40" s="224">
        <f>IF(COUNTA(B40:K40,S40:T40,V40:Y40)&gt;0,ROW()-3,"")</f>
        <v/>
      </c>
      <c r="B40" t="n" s="218"/>
      <c r="C40" t="n" s="218"/>
      <c r="D40" t="n" s="225"/>
      <c r="E40" t="n" s="218"/>
      <c r="F40" t="n" s="218"/>
      <c r="G40" t="n" s="226"/>
      <c r="H40" t="n" s="219"/>
      <c r="I40" t="n" s="219"/>
      <c r="J40" t="n" s="225"/>
      <c r="K40" t="n" s="225"/>
      <c r="L40" t="n" s="227"/>
      <c r="M40" t="n" s="227"/>
      <c r="N40" t="n" s="227"/>
      <c r="O40" t="n" s="227"/>
      <c r="P40" t="n" s="227"/>
      <c r="Q40" t="n" s="227"/>
      <c r="R40" t="n" s="190"/>
      <c r="S40" t="n" s="218"/>
      <c r="T40" t="n" s="218"/>
      <c r="U40" t="n" s="99"/>
      <c r="V40" t="n" s="219"/>
      <c r="W40" t="n" s="219"/>
      <c r="X40" t="n" s="219"/>
      <c r="Y40" t="n" s="219"/>
    </row>
    <row r="41" ht="42" customHeight="1" s="184" spans="1:25">
      <c r="A41" s="224">
        <f>IF(COUNTA(B41:K41,S41:T41,V41:Y41)&gt;0,ROW()-3,"")</f>
        <v/>
      </c>
      <c r="B41" t="n" s="218"/>
      <c r="C41" t="n" s="218"/>
      <c r="D41" t="n" s="225"/>
      <c r="E41" t="n" s="218"/>
      <c r="F41" t="n" s="218"/>
      <c r="G41" t="n" s="226"/>
      <c r="H41" t="n" s="219"/>
      <c r="I41" t="n" s="219"/>
      <c r="J41" t="n" s="225"/>
      <c r="K41" t="n" s="225"/>
      <c r="L41" t="n" s="227"/>
      <c r="M41" t="n" s="227"/>
      <c r="N41" t="n" s="227"/>
      <c r="O41" t="n" s="227"/>
      <c r="P41" t="n" s="227"/>
      <c r="Q41" t="n" s="227"/>
      <c r="R41" t="n" s="190"/>
      <c r="S41" t="n" s="218"/>
      <c r="T41" t="n" s="218"/>
      <c r="U41" t="n" s="99"/>
      <c r="V41" t="n" s="219"/>
      <c r="W41" t="n" s="219"/>
      <c r="X41" t="n" s="219"/>
      <c r="Y41" t="n" s="219"/>
    </row>
    <row r="42" ht="42" customHeight="1" s="184" spans="1:25">
      <c r="A42" s="224">
        <f>IF(COUNTA(B42:K42,S42:T42,V42:Y42)&gt;0,ROW()-3,"")</f>
        <v/>
      </c>
      <c r="B42" t="n" s="218"/>
      <c r="C42" t="n" s="218"/>
      <c r="D42" t="n" s="225"/>
      <c r="E42" t="n" s="218"/>
      <c r="F42" t="n" s="218"/>
      <c r="G42" t="n" s="226"/>
      <c r="H42" t="n" s="219"/>
      <c r="I42" t="n" s="219"/>
      <c r="J42" t="n" s="225"/>
      <c r="K42" t="n" s="225"/>
      <c r="L42" t="n" s="227"/>
      <c r="M42" t="n" s="227"/>
      <c r="N42" t="n" s="227"/>
      <c r="O42" t="n" s="227"/>
      <c r="P42" t="n" s="227"/>
      <c r="Q42" t="n" s="227"/>
      <c r="R42" t="n" s="190"/>
      <c r="S42" t="n" s="218"/>
      <c r="T42" t="n" s="218"/>
      <c r="U42" t="n" s="99"/>
      <c r="V42" t="n" s="219"/>
      <c r="W42" t="n" s="219"/>
      <c r="X42" t="n" s="219"/>
      <c r="Y42" t="n" s="219"/>
    </row>
    <row r="43" ht="42" customHeight="1" s="184" spans="1:25">
      <c r="A43" s="224">
        <f>IF(COUNTA(B43:K43,S43:T43,V43:Y43)&gt;0,ROW()-3,"")</f>
        <v/>
      </c>
      <c r="B43" t="n" s="218"/>
      <c r="C43" t="n" s="218"/>
      <c r="D43" t="n" s="225"/>
      <c r="E43" t="n" s="218"/>
      <c r="F43" t="n" s="218"/>
      <c r="G43" t="n" s="226"/>
      <c r="H43" t="n" s="219"/>
      <c r="I43" t="n" s="219"/>
      <c r="J43" t="n" s="225"/>
      <c r="K43" t="n" s="225"/>
      <c r="L43" t="n" s="227"/>
      <c r="M43" t="n" s="227"/>
      <c r="N43" t="n" s="227"/>
      <c r="O43" t="n" s="227"/>
      <c r="P43" t="n" s="227"/>
      <c r="Q43" t="n" s="227"/>
      <c r="R43" t="n" s="190"/>
      <c r="S43" t="n" s="218"/>
      <c r="T43" t="n" s="218"/>
      <c r="U43" t="n" s="99"/>
      <c r="V43" t="n" s="219"/>
      <c r="W43" t="n" s="219"/>
      <c r="X43" t="n" s="219"/>
      <c r="Y43" t="n" s="219"/>
    </row>
    <row r="44" ht="42" customHeight="1" s="184" spans="1:25">
      <c r="A44" s="224">
        <f>IF(COUNTA(B44:K44,S44:T44,V44:Y44)&gt;0,ROW()-3,"")</f>
        <v/>
      </c>
      <c r="B44" t="n" s="218"/>
      <c r="C44" t="n" s="218"/>
      <c r="D44" t="n" s="225"/>
      <c r="E44" t="n" s="218"/>
      <c r="F44" t="n" s="218"/>
      <c r="G44" t="n" s="226"/>
      <c r="H44" t="n" s="219"/>
      <c r="I44" t="n" s="219"/>
      <c r="J44" t="n" s="225"/>
      <c r="K44" t="n" s="225"/>
      <c r="L44" t="n" s="227"/>
      <c r="M44" t="n" s="227"/>
      <c r="N44" t="n" s="227"/>
      <c r="O44" t="n" s="227"/>
      <c r="P44" t="n" s="227"/>
      <c r="Q44" t="n" s="227"/>
      <c r="R44" t="n" s="190"/>
      <c r="S44" t="n" s="218"/>
      <c r="T44" t="n" s="218"/>
      <c r="U44" t="n" s="99"/>
      <c r="V44" t="n" s="219"/>
      <c r="W44" t="n" s="219"/>
      <c r="X44" t="n" s="219"/>
      <c r="Y44" t="n" s="219"/>
    </row>
    <row r="45" ht="42" customHeight="1" s="184" spans="1:25">
      <c r="A45" s="224">
        <f>IF(COUNTA(B45:K45,S45:T45,V45:Y45)&gt;0,ROW()-3,"")</f>
        <v/>
      </c>
      <c r="B45" t="n" s="218"/>
      <c r="C45" t="n" s="218"/>
      <c r="D45" t="n" s="225"/>
      <c r="E45" t="n" s="218"/>
      <c r="F45" t="n" s="218"/>
      <c r="G45" t="n" s="226"/>
      <c r="H45" t="n" s="219"/>
      <c r="I45" t="n" s="219"/>
      <c r="J45" t="n" s="225"/>
      <c r="K45" t="n" s="225"/>
      <c r="L45" t="n" s="227"/>
      <c r="M45" t="n" s="227"/>
      <c r="N45" t="n" s="227"/>
      <c r="O45" t="n" s="227"/>
      <c r="P45" t="n" s="227"/>
      <c r="Q45" t="n" s="227"/>
      <c r="R45" t="n" s="190"/>
      <c r="S45" t="n" s="218"/>
      <c r="T45" t="n" s="218"/>
      <c r="U45" t="n" s="99"/>
      <c r="V45" t="n" s="219"/>
      <c r="W45" t="n" s="219"/>
      <c r="X45" t="n" s="219"/>
      <c r="Y45" t="n" s="219"/>
    </row>
    <row r="46" ht="42" customHeight="1" s="184" spans="1:25">
      <c r="A46" s="224">
        <f>IF(COUNTA(B46:K46,S46:T46,V46:Y46)&gt;0,ROW()-3,"")</f>
        <v/>
      </c>
      <c r="B46" t="n" s="218"/>
      <c r="C46" t="n" s="218"/>
      <c r="D46" t="n" s="225"/>
      <c r="E46" t="n" s="218"/>
      <c r="F46" t="n" s="218"/>
      <c r="G46" t="n" s="226"/>
      <c r="H46" t="n" s="219"/>
      <c r="I46" t="n" s="219"/>
      <c r="J46" t="n" s="225"/>
      <c r="K46" t="n" s="225"/>
      <c r="L46" t="n" s="227"/>
      <c r="M46" t="n" s="227"/>
      <c r="N46" t="n" s="227"/>
      <c r="O46" t="n" s="227"/>
      <c r="P46" t="n" s="227"/>
      <c r="Q46" t="n" s="227"/>
      <c r="R46" t="n" s="190"/>
      <c r="S46" t="n" s="218"/>
      <c r="T46" t="n" s="218"/>
      <c r="U46" t="n" s="99"/>
      <c r="V46" t="n" s="219"/>
      <c r="W46" t="n" s="219"/>
      <c r="X46" t="n" s="219"/>
      <c r="Y46" t="n" s="219"/>
    </row>
    <row r="47" ht="42" customHeight="1" s="184" spans="1:25">
      <c r="A47" s="224">
        <f>IF(COUNTA(B47:K47,S47:T47,V47:Y47)&gt;0,ROW()-3,"")</f>
        <v/>
      </c>
      <c r="B47" t="n" s="218"/>
      <c r="C47" t="n" s="218"/>
      <c r="D47" t="n" s="225"/>
      <c r="E47" t="n" s="218"/>
      <c r="F47" t="n" s="218"/>
      <c r="G47" t="n" s="226"/>
      <c r="H47" t="n" s="219"/>
      <c r="I47" t="n" s="219"/>
      <c r="J47" t="n" s="225"/>
      <c r="K47" t="n" s="225"/>
      <c r="L47" t="n" s="227"/>
      <c r="M47" t="n" s="227"/>
      <c r="N47" t="n" s="227"/>
      <c r="O47" t="n" s="227"/>
      <c r="P47" t="n" s="227"/>
      <c r="Q47" t="n" s="227"/>
      <c r="R47" t="n" s="190"/>
      <c r="S47" t="n" s="218"/>
      <c r="T47" t="n" s="218"/>
      <c r="U47" t="n" s="99"/>
      <c r="V47" t="n" s="219"/>
      <c r="W47" t="n" s="219"/>
      <c r="X47" t="n" s="219"/>
      <c r="Y47" t="n" s="219"/>
    </row>
    <row r="48" ht="42" customHeight="1" s="184" spans="1:25">
      <c r="A48" s="224">
        <f>IF(COUNTA(B48:K48,S48:T48,V48:Y48)&gt;0,ROW()-3,"")</f>
        <v/>
      </c>
      <c r="B48" t="n" s="218"/>
      <c r="C48" t="n" s="218"/>
      <c r="D48" t="n" s="225"/>
      <c r="E48" t="n" s="218"/>
      <c r="F48" t="n" s="218"/>
      <c r="G48" t="n" s="226"/>
      <c r="H48" t="n" s="219"/>
      <c r="I48" t="n" s="219"/>
      <c r="J48" t="n" s="225"/>
      <c r="K48" t="n" s="225"/>
      <c r="L48" t="n" s="227"/>
      <c r="M48" t="n" s="227"/>
      <c r="N48" t="n" s="227"/>
      <c r="O48" t="n" s="227"/>
      <c r="P48" t="n" s="227"/>
      <c r="Q48" t="n" s="227"/>
      <c r="R48" t="n" s="190"/>
      <c r="S48" t="n" s="218"/>
      <c r="T48" t="n" s="218"/>
      <c r="U48" t="n" s="99"/>
      <c r="V48" t="n" s="219"/>
      <c r="W48" t="n" s="219"/>
      <c r="X48" t="n" s="219"/>
      <c r="Y48" t="n" s="219"/>
    </row>
    <row r="49" ht="42" customHeight="1" s="184" spans="1:25">
      <c r="A49" s="224">
        <f>IF(COUNTA(B49:K49,S49:T49,V49:Y49)&gt;0,ROW()-3,"")</f>
        <v/>
      </c>
      <c r="B49" t="n" s="218"/>
      <c r="C49" t="n" s="218"/>
      <c r="D49" t="n" s="225"/>
      <c r="E49" t="n" s="218"/>
      <c r="F49" t="n" s="218"/>
      <c r="G49" t="n" s="226"/>
      <c r="H49" t="n" s="219"/>
      <c r="I49" t="n" s="219"/>
      <c r="J49" t="n" s="225"/>
      <c r="K49" t="n" s="225"/>
      <c r="L49" t="n" s="227"/>
      <c r="M49" t="n" s="227"/>
      <c r="N49" t="n" s="227"/>
      <c r="O49" t="n" s="227"/>
      <c r="P49" t="n" s="227"/>
      <c r="Q49" t="n" s="227"/>
      <c r="R49" t="n" s="190"/>
      <c r="S49" t="n" s="218"/>
      <c r="T49" t="n" s="218"/>
      <c r="U49" t="n" s="99"/>
      <c r="V49" t="n" s="219"/>
      <c r="W49" t="n" s="219"/>
      <c r="X49" t="n" s="219"/>
      <c r="Y49" t="n" s="219"/>
    </row>
    <row r="50" ht="42" customHeight="1" s="184" spans="1:25">
      <c r="A50" s="224">
        <f>IF(COUNTA(B50:K50,S50:T50,V50:Y50)&gt;0,ROW()-3,"")</f>
        <v/>
      </c>
      <c r="B50" t="n" s="218"/>
      <c r="C50" t="n" s="218"/>
      <c r="D50" t="n" s="225"/>
      <c r="E50" t="n" s="218"/>
      <c r="F50" t="n" s="218"/>
      <c r="G50" t="n" s="226"/>
      <c r="H50" t="n" s="219"/>
      <c r="I50" t="n" s="219"/>
      <c r="J50" t="n" s="225"/>
      <c r="K50" t="n" s="225"/>
      <c r="L50" t="n" s="227"/>
      <c r="M50" t="n" s="227"/>
      <c r="N50" t="n" s="227"/>
      <c r="O50" t="n" s="227"/>
      <c r="P50" t="n" s="227"/>
      <c r="Q50" t="n" s="227"/>
      <c r="R50" t="n" s="190"/>
      <c r="S50" t="n" s="218"/>
      <c r="T50" t="n" s="218"/>
      <c r="U50" t="n" s="99"/>
      <c r="V50" t="n" s="219"/>
      <c r="W50" t="n" s="219"/>
      <c r="X50" t="n" s="219"/>
      <c r="Y50" t="n" s="219"/>
    </row>
    <row r="51" ht="42" customHeight="1" s="184" spans="1:25">
      <c r="A51" s="224">
        <f>IF(COUNTA(B51:K51,S51:T51,V51:Y51)&gt;0,ROW()-3,"")</f>
        <v/>
      </c>
      <c r="B51" t="n" s="218"/>
      <c r="C51" t="n" s="218"/>
      <c r="D51" t="n" s="225"/>
      <c r="E51" t="n" s="218"/>
      <c r="F51" t="n" s="218"/>
      <c r="G51" t="n" s="226"/>
      <c r="H51" t="n" s="219"/>
      <c r="I51" t="n" s="219"/>
      <c r="J51" t="n" s="225"/>
      <c r="K51" t="n" s="225"/>
      <c r="L51" t="n" s="227"/>
      <c r="M51" t="n" s="227"/>
      <c r="N51" t="n" s="227"/>
      <c r="O51" t="n" s="227"/>
      <c r="P51" t="n" s="227"/>
      <c r="Q51" t="n" s="227"/>
      <c r="R51" t="n" s="190"/>
      <c r="S51" t="n" s="218"/>
      <c r="T51" t="n" s="218"/>
      <c r="U51" t="n" s="99"/>
      <c r="V51" t="n" s="219"/>
      <c r="W51" t="n" s="219"/>
      <c r="X51" t="n" s="219"/>
      <c r="Y51" t="n" s="219"/>
    </row>
    <row r="52" ht="42" customHeight="1" s="184" spans="1:25">
      <c r="A52" s="224">
        <f>IF(COUNTA(B52:K52,S52:T52,V52:Y52)&gt;0,ROW()-3,"")</f>
        <v/>
      </c>
      <c r="B52" t="n" s="218"/>
      <c r="C52" t="n" s="218"/>
      <c r="D52" t="n" s="225"/>
      <c r="E52" t="n" s="218"/>
      <c r="F52" t="n" s="218"/>
      <c r="G52" t="n" s="226"/>
      <c r="H52" t="n" s="219"/>
      <c r="I52" t="n" s="219"/>
      <c r="J52" t="n" s="225"/>
      <c r="K52" t="n" s="225"/>
      <c r="L52" t="n" s="227"/>
      <c r="M52" t="n" s="227"/>
      <c r="N52" t="n" s="227"/>
      <c r="O52" t="n" s="227"/>
      <c r="P52" t="n" s="227"/>
      <c r="Q52" t="n" s="227"/>
      <c r="R52" t="n" s="190"/>
      <c r="S52" t="n" s="218"/>
      <c r="T52" t="n" s="218"/>
      <c r="U52" t="n" s="99"/>
      <c r="V52" t="n" s="219"/>
      <c r="W52" t="n" s="219"/>
      <c r="X52" t="n" s="219"/>
      <c r="Y52" t="n" s="219"/>
    </row>
    <row r="53" ht="42" customHeight="1" s="184" spans="1:25">
      <c r="A53" s="224">
        <f>IF(COUNTA(B53:K53,S53:T53,V53:Y53)&gt;0,ROW()-3,"")</f>
        <v/>
      </c>
      <c r="B53" t="n" s="218"/>
      <c r="C53" t="n" s="218"/>
      <c r="D53" t="n" s="225"/>
      <c r="E53" t="n" s="218"/>
      <c r="F53" t="n" s="218"/>
      <c r="G53" t="n" s="226"/>
      <c r="H53" t="n" s="219"/>
      <c r="I53" t="n" s="219"/>
      <c r="J53" t="n" s="225"/>
      <c r="K53" t="n" s="225"/>
      <c r="L53" t="n" s="227"/>
      <c r="M53" t="n" s="227"/>
      <c r="N53" t="n" s="227"/>
      <c r="O53" t="n" s="227"/>
      <c r="P53" t="n" s="227"/>
      <c r="Q53" t="n" s="227"/>
      <c r="R53" t="n" s="190"/>
      <c r="S53" t="n" s="218"/>
      <c r="T53" t="n" s="218"/>
      <c r="U53" t="n" s="99"/>
      <c r="V53" t="n" s="219"/>
      <c r="W53" t="n" s="219"/>
      <c r="X53" t="n" s="219"/>
      <c r="Y53" t="n" s="219"/>
    </row>
    <row r="54" ht="42" customHeight="1" s="184" spans="1:25">
      <c r="A54" s="224">
        <f>IF(COUNTA(B54:K54,S54:T54,V54:Y54)&gt;0,ROW()-3,"")</f>
        <v/>
      </c>
      <c r="B54" t="n" s="218"/>
      <c r="C54" t="n" s="218"/>
      <c r="D54" t="n" s="225"/>
      <c r="E54" t="n" s="218"/>
      <c r="F54" t="n" s="218"/>
      <c r="G54" t="n" s="226"/>
      <c r="H54" t="n" s="219"/>
      <c r="I54" t="n" s="219"/>
      <c r="J54" t="n" s="225"/>
      <c r="K54" t="n" s="225"/>
      <c r="L54" t="n" s="227"/>
      <c r="M54" t="n" s="227"/>
      <c r="N54" t="n" s="227"/>
      <c r="O54" t="n" s="227"/>
      <c r="P54" t="n" s="227"/>
      <c r="Q54" t="n" s="227"/>
      <c r="R54" t="n" s="190"/>
      <c r="S54" t="n" s="218"/>
      <c r="T54" t="n" s="218"/>
      <c r="U54" t="n" s="99"/>
      <c r="V54" t="n" s="219"/>
      <c r="W54" t="n" s="219"/>
      <c r="X54" t="n" s="219"/>
      <c r="Y54" t="n" s="219"/>
    </row>
    <row r="55" ht="42" customHeight="1" s="184" spans="1:25">
      <c r="A55" s="224">
        <f>IF(COUNTA(B55:K55,S55:T55,V55:Y55)&gt;0,ROW()-3,"")</f>
        <v/>
      </c>
      <c r="B55" t="n" s="218"/>
      <c r="C55" t="n" s="218"/>
      <c r="D55" t="n" s="225"/>
      <c r="E55" t="n" s="218"/>
      <c r="F55" t="n" s="218"/>
      <c r="G55" t="n" s="226"/>
      <c r="H55" t="n" s="219"/>
      <c r="I55" t="n" s="219"/>
      <c r="J55" t="n" s="225"/>
      <c r="K55" t="n" s="225"/>
      <c r="L55" t="n" s="227"/>
      <c r="M55" t="n" s="227"/>
      <c r="N55" t="n" s="227"/>
      <c r="O55" t="n" s="227"/>
      <c r="P55" t="n" s="227"/>
      <c r="Q55" t="n" s="227"/>
      <c r="R55" t="n" s="190"/>
      <c r="S55" t="n" s="218"/>
      <c r="T55" t="n" s="218"/>
      <c r="U55" t="n" s="99"/>
      <c r="V55" t="n" s="219"/>
      <c r="W55" t="n" s="219"/>
      <c r="X55" t="n" s="219"/>
      <c r="Y55" t="n" s="219"/>
    </row>
    <row r="56" ht="42" customHeight="1" s="184" spans="1:25">
      <c r="A56" s="224">
        <f>IF(COUNTA(B56:K56,S56:T56,V56:Y56)&gt;0,ROW()-3,"")</f>
        <v/>
      </c>
      <c r="B56" t="n" s="218"/>
      <c r="C56" t="n" s="218"/>
      <c r="D56" t="n" s="225"/>
      <c r="E56" t="n" s="218"/>
      <c r="F56" t="n" s="218"/>
      <c r="G56" t="n" s="226"/>
      <c r="H56" t="n" s="219"/>
      <c r="I56" t="n" s="219"/>
      <c r="J56" t="n" s="225"/>
      <c r="K56" t="n" s="225"/>
      <c r="L56" t="n" s="227"/>
      <c r="M56" t="n" s="227"/>
      <c r="N56" t="n" s="227"/>
      <c r="O56" t="n" s="227"/>
      <c r="P56" t="n" s="227"/>
      <c r="Q56" t="n" s="227"/>
      <c r="R56" t="n" s="190"/>
      <c r="S56" t="n" s="218"/>
      <c r="T56" t="n" s="218"/>
      <c r="U56" t="n" s="99"/>
      <c r="V56" t="n" s="219"/>
      <c r="W56" t="n" s="219"/>
      <c r="X56" t="n" s="219"/>
      <c r="Y56" t="n" s="219"/>
    </row>
    <row r="57" ht="42" customHeight="1" s="184" spans="1:25">
      <c r="A57" s="224">
        <f>IF(COUNTA(B57:K57,S57:T57,V57:Y57)&gt;0,ROW()-3,"")</f>
        <v/>
      </c>
      <c r="B57" t="n" s="218"/>
      <c r="C57" t="n" s="218"/>
      <c r="D57" t="n" s="225"/>
      <c r="E57" t="n" s="218"/>
      <c r="F57" t="n" s="218"/>
      <c r="G57" t="n" s="226"/>
      <c r="H57" t="n" s="219"/>
      <c r="I57" t="n" s="219"/>
      <c r="J57" t="n" s="225"/>
      <c r="K57" t="n" s="225"/>
      <c r="L57" t="n" s="227"/>
      <c r="M57" t="n" s="227"/>
      <c r="N57" t="n" s="227"/>
      <c r="O57" t="n" s="227"/>
      <c r="P57" t="n" s="227"/>
      <c r="Q57" t="n" s="227"/>
      <c r="R57" t="n" s="190"/>
      <c r="S57" t="n" s="218"/>
      <c r="T57" t="n" s="218"/>
      <c r="U57" t="n" s="99"/>
      <c r="V57" t="n" s="219"/>
      <c r="W57" t="n" s="219"/>
      <c r="X57" t="n" s="219"/>
      <c r="Y57" t="n" s="219"/>
    </row>
    <row r="58" ht="42" customHeight="1" s="184" spans="1:25">
      <c r="A58" s="224">
        <f>IF(COUNTA(B58:K58,S58:T58,V58:Y58)&gt;0,ROW()-3,"")</f>
        <v/>
      </c>
      <c r="B58" t="n" s="218"/>
      <c r="C58" t="n" s="218"/>
      <c r="D58" t="n" s="225"/>
      <c r="E58" t="n" s="218"/>
      <c r="F58" t="n" s="218"/>
      <c r="G58" t="n" s="226"/>
      <c r="H58" t="n" s="219"/>
      <c r="I58" t="n" s="219"/>
      <c r="J58" t="n" s="225"/>
      <c r="K58" t="n" s="225"/>
      <c r="L58" t="n" s="227"/>
      <c r="M58" t="n" s="227"/>
      <c r="N58" t="n" s="227"/>
      <c r="O58" t="n" s="227"/>
      <c r="P58" t="n" s="227"/>
      <c r="Q58" t="n" s="227"/>
      <c r="R58" t="n" s="190"/>
      <c r="S58" t="n" s="218"/>
      <c r="T58" t="n" s="218"/>
      <c r="U58" t="n" s="99"/>
      <c r="V58" t="n" s="219"/>
      <c r="W58" t="n" s="219"/>
      <c r="X58" t="n" s="219"/>
      <c r="Y58" t="n" s="219"/>
    </row>
    <row r="59" ht="42" customHeight="1" s="184" spans="1:25">
      <c r="A59" s="224">
        <f>IF(COUNTA(B59:K59,S59:T59,V59:Y59)&gt;0,ROW()-3,"")</f>
        <v/>
      </c>
      <c r="B59" t="n" s="218"/>
      <c r="C59" t="n" s="218"/>
      <c r="D59" t="n" s="225"/>
      <c r="E59" t="n" s="218"/>
      <c r="F59" t="n" s="218"/>
      <c r="G59" t="n" s="226"/>
      <c r="H59" t="n" s="219"/>
      <c r="I59" t="n" s="219"/>
      <c r="J59" t="n" s="225"/>
      <c r="K59" t="n" s="225"/>
      <c r="L59" t="n" s="227"/>
      <c r="M59" t="n" s="227"/>
      <c r="N59" t="n" s="227"/>
      <c r="O59" t="n" s="227"/>
      <c r="P59" t="n" s="227"/>
      <c r="Q59" t="n" s="227"/>
      <c r="R59" t="n" s="190"/>
      <c r="S59" t="n" s="218"/>
      <c r="T59" t="n" s="218"/>
      <c r="U59" t="n" s="99"/>
      <c r="V59" t="n" s="219"/>
      <c r="W59" t="n" s="219"/>
      <c r="X59" t="n" s="219"/>
      <c r="Y59" t="n" s="219"/>
    </row>
    <row r="60" ht="42" customHeight="1" s="184" spans="1:25">
      <c r="A60" s="224">
        <f>IF(COUNTA(B60:K60,S60:T60,V60:Y60)&gt;0,ROW()-3,"")</f>
        <v/>
      </c>
      <c r="B60" t="n" s="218"/>
      <c r="C60" t="n" s="218"/>
      <c r="D60" t="n" s="225"/>
      <c r="E60" t="n" s="218"/>
      <c r="F60" t="n" s="218"/>
      <c r="G60" t="n" s="226"/>
      <c r="H60" t="n" s="219"/>
      <c r="I60" t="n" s="219"/>
      <c r="J60" t="n" s="225"/>
      <c r="K60" t="n" s="225"/>
      <c r="L60" t="n" s="227"/>
      <c r="M60" t="n" s="227"/>
      <c r="N60" t="n" s="227"/>
      <c r="O60" t="n" s="227"/>
      <c r="P60" t="n" s="227"/>
      <c r="Q60" t="n" s="227"/>
      <c r="R60" t="n" s="190"/>
      <c r="S60" t="n" s="218"/>
      <c r="T60" t="n" s="218"/>
      <c r="U60" t="n" s="99"/>
      <c r="V60" t="n" s="219"/>
      <c r="W60" t="n" s="219"/>
      <c r="X60" t="n" s="219"/>
      <c r="Y60" t="n" s="219"/>
    </row>
    <row r="61" ht="42" customHeight="1" s="184" spans="1:25">
      <c r="A61" s="224">
        <f>IF(COUNTA(B61:K61,S61:T61,V61:Y61)&gt;0,ROW()-3,"")</f>
        <v/>
      </c>
      <c r="B61" t="n" s="218"/>
      <c r="C61" t="n" s="218"/>
      <c r="D61" t="n" s="225"/>
      <c r="E61" t="n" s="218"/>
      <c r="F61" t="n" s="218"/>
      <c r="G61" t="n" s="226"/>
      <c r="H61" t="n" s="219"/>
      <c r="I61" t="n" s="219"/>
      <c r="J61" t="n" s="225"/>
      <c r="K61" t="n" s="225"/>
      <c r="L61" t="n" s="227"/>
      <c r="M61" t="n" s="227"/>
      <c r="N61" t="n" s="227"/>
      <c r="O61" t="n" s="227"/>
      <c r="P61" t="n" s="227"/>
      <c r="Q61" t="n" s="227"/>
      <c r="R61" t="n" s="190"/>
      <c r="S61" t="n" s="218"/>
      <c r="T61" t="n" s="218"/>
      <c r="U61" t="n" s="99"/>
      <c r="V61" t="n" s="219"/>
      <c r="W61" t="n" s="219"/>
      <c r="X61" t="n" s="219"/>
      <c r="Y61" t="n" s="219"/>
    </row>
    <row r="62" ht="42" customHeight="1" s="184" spans="1:25">
      <c r="A62" s="224">
        <f>IF(COUNTA(B62:K62,S62:T62,V62:Y62)&gt;0,ROW()-3,"")</f>
        <v/>
      </c>
      <c r="B62" t="n" s="218"/>
      <c r="C62" t="n" s="218"/>
      <c r="D62" t="n" s="225"/>
      <c r="E62" t="n" s="218"/>
      <c r="F62" t="n" s="218"/>
      <c r="G62" t="n" s="226"/>
      <c r="H62" t="n" s="219"/>
      <c r="I62" t="n" s="219"/>
      <c r="J62" t="n" s="225"/>
      <c r="K62" t="n" s="225"/>
      <c r="L62" t="n" s="227"/>
      <c r="M62" t="n" s="227"/>
      <c r="N62" t="n" s="227"/>
      <c r="O62" t="n" s="227"/>
      <c r="P62" t="n" s="227"/>
      <c r="Q62" t="n" s="227"/>
      <c r="R62" t="n" s="190"/>
      <c r="S62" t="n" s="218"/>
      <c r="T62" t="n" s="218"/>
      <c r="U62" t="n" s="99"/>
      <c r="V62" t="n" s="219"/>
      <c r="W62" t="n" s="219"/>
      <c r="X62" t="n" s="219"/>
      <c r="Y62" t="n" s="219"/>
    </row>
    <row r="63" ht="42" customHeight="1" s="184" spans="1:25">
      <c r="A63" s="224">
        <f>IF(COUNTA(B63:K63,S63:T63,V63:Y63)&gt;0,ROW()-3,"")</f>
        <v/>
      </c>
      <c r="B63" t="n" s="218"/>
      <c r="C63" t="n" s="218"/>
      <c r="D63" t="n" s="225"/>
      <c r="E63" t="n" s="218"/>
      <c r="F63" t="n" s="218"/>
      <c r="G63" t="n" s="226"/>
      <c r="H63" t="n" s="219"/>
      <c r="I63" t="n" s="219"/>
      <c r="J63" t="n" s="225"/>
      <c r="K63" t="n" s="225"/>
      <c r="L63" t="n" s="227"/>
      <c r="M63" t="n" s="227"/>
      <c r="N63" t="n" s="227"/>
      <c r="O63" t="n" s="227"/>
      <c r="P63" t="n" s="227"/>
      <c r="Q63" t="n" s="227"/>
      <c r="R63" t="n" s="190"/>
      <c r="S63" t="n" s="218"/>
      <c r="T63" t="n" s="218"/>
      <c r="U63" t="n" s="99"/>
      <c r="V63" t="n" s="219"/>
      <c r="W63" t="n" s="219"/>
      <c r="X63" t="n" s="219"/>
      <c r="Y63" t="n" s="219"/>
    </row>
    <row r="64" ht="42" customHeight="1" s="184" spans="1:25">
      <c r="A64" s="224">
        <f>IF(COUNTA(B64:K64,S64:T64,V64:Y64)&gt;0,ROW()-3,"")</f>
        <v/>
      </c>
      <c r="B64" t="n" s="218"/>
      <c r="C64" t="n" s="218"/>
      <c r="D64" t="n" s="225"/>
      <c r="E64" t="n" s="218"/>
      <c r="F64" t="n" s="218"/>
      <c r="G64" t="n" s="226"/>
      <c r="H64" t="n" s="219"/>
      <c r="I64" t="n" s="219"/>
      <c r="J64" t="n" s="225"/>
      <c r="K64" t="n" s="225"/>
      <c r="L64" t="n" s="227"/>
      <c r="M64" t="n" s="227"/>
      <c r="N64" t="n" s="227"/>
      <c r="O64" t="n" s="227"/>
      <c r="P64" t="n" s="227"/>
      <c r="Q64" t="n" s="227"/>
      <c r="R64" t="n" s="190"/>
      <c r="S64" t="n" s="218"/>
      <c r="T64" t="n" s="218"/>
      <c r="U64" t="n" s="99"/>
      <c r="V64" t="n" s="219"/>
      <c r="W64" t="n" s="219"/>
      <c r="X64" t="n" s="219"/>
      <c r="Y64" t="n" s="219"/>
    </row>
    <row r="65" ht="42" customHeight="1" s="184" spans="1:25">
      <c r="A65" s="224">
        <f>IF(COUNTA(B65:K65,S65:T65,V65:Y65)&gt;0,ROW()-3,"")</f>
        <v/>
      </c>
      <c r="B65" t="n" s="218"/>
      <c r="C65" t="n" s="218"/>
      <c r="D65" t="n" s="225"/>
      <c r="E65" t="n" s="218"/>
      <c r="F65" t="n" s="218"/>
      <c r="G65" t="n" s="226"/>
      <c r="H65" t="n" s="219"/>
      <c r="I65" t="n" s="219"/>
      <c r="J65" t="n" s="225"/>
      <c r="K65" t="n" s="225"/>
      <c r="L65" t="n" s="227"/>
      <c r="M65" t="n" s="227"/>
      <c r="N65" t="n" s="227"/>
      <c r="O65" t="n" s="227"/>
      <c r="P65" t="n" s="227"/>
      <c r="Q65" t="n" s="227"/>
      <c r="R65" t="n" s="190"/>
      <c r="S65" t="n" s="218"/>
      <c r="T65" t="n" s="218"/>
      <c r="U65" t="n" s="99"/>
      <c r="V65" t="n" s="219"/>
      <c r="W65" t="n" s="219"/>
      <c r="X65" t="n" s="219"/>
      <c r="Y65" t="n" s="219"/>
    </row>
    <row r="66" ht="42" customHeight="1" s="184" spans="1:25">
      <c r="A66" s="224">
        <f>IF(COUNTA(B66:K66,S66:T66,V66:Y66)&gt;0,ROW()-3,"")</f>
        <v/>
      </c>
      <c r="B66" t="n" s="218"/>
      <c r="C66" t="n" s="218"/>
      <c r="D66" t="n" s="225"/>
      <c r="E66" t="n" s="218"/>
      <c r="F66" t="n" s="218"/>
      <c r="G66" t="n" s="226"/>
      <c r="H66" t="n" s="219"/>
      <c r="I66" t="n" s="219"/>
      <c r="J66" t="n" s="225"/>
      <c r="K66" t="n" s="225"/>
      <c r="L66" t="n" s="227"/>
      <c r="M66" t="n" s="227"/>
      <c r="N66" t="n" s="227"/>
      <c r="O66" t="n" s="227"/>
      <c r="P66" t="n" s="227"/>
      <c r="Q66" t="n" s="227"/>
      <c r="R66" t="n" s="190"/>
      <c r="S66" t="n" s="218"/>
      <c r="T66" t="n" s="218"/>
      <c r="U66" t="n" s="99"/>
      <c r="V66" t="n" s="219"/>
      <c r="W66" t="n" s="219"/>
      <c r="X66" t="n" s="219"/>
      <c r="Y66" t="n" s="219"/>
    </row>
    <row r="67" ht="42" customHeight="1" s="184" spans="1:25">
      <c r="A67" s="224">
        <f>IF(COUNTA(B67:K67,S67:T67,V67:Y67)&gt;0,ROW()-3,"")</f>
        <v/>
      </c>
      <c r="B67" t="n" s="218"/>
      <c r="C67" t="n" s="218"/>
      <c r="D67" t="n" s="225"/>
      <c r="E67" t="n" s="218"/>
      <c r="F67" t="n" s="218"/>
      <c r="G67" t="n" s="226"/>
      <c r="H67" t="n" s="219"/>
      <c r="I67" t="n" s="219"/>
      <c r="J67" t="n" s="225"/>
      <c r="K67" t="n" s="225"/>
      <c r="L67" t="n" s="227"/>
      <c r="M67" t="n" s="227"/>
      <c r="N67" t="n" s="227"/>
      <c r="O67" t="n" s="227"/>
      <c r="P67" t="n" s="227"/>
      <c r="Q67" t="n" s="227"/>
      <c r="R67" t="n" s="190"/>
      <c r="S67" t="n" s="218"/>
      <c r="T67" t="n" s="218"/>
      <c r="U67" t="n" s="99"/>
      <c r="V67" t="n" s="219"/>
      <c r="W67" t="n" s="219"/>
      <c r="X67" t="n" s="219"/>
      <c r="Y67" t="n" s="219"/>
    </row>
    <row r="68" ht="42" customHeight="1" s="184" spans="1:25">
      <c r="A68" s="224">
        <f>IF(COUNTA(B68:K68,S68:T68,V68:Y68)&gt;0,ROW()-3,"")</f>
        <v/>
      </c>
      <c r="B68" t="n" s="218"/>
      <c r="C68" t="n" s="218"/>
      <c r="D68" t="n" s="225"/>
      <c r="E68" t="n" s="218"/>
      <c r="F68" t="n" s="218"/>
      <c r="G68" t="n" s="226"/>
      <c r="H68" t="n" s="219"/>
      <c r="I68" t="n" s="219"/>
      <c r="J68" t="n" s="225"/>
      <c r="K68" t="n" s="225"/>
      <c r="L68" t="n" s="227"/>
      <c r="M68" t="n" s="227"/>
      <c r="N68" t="n" s="227"/>
      <c r="O68" t="n" s="227"/>
      <c r="P68" t="n" s="227"/>
      <c r="Q68" t="n" s="227"/>
      <c r="R68" t="n" s="190"/>
      <c r="S68" t="n" s="218"/>
      <c r="T68" t="n" s="218"/>
      <c r="U68" t="n" s="99"/>
      <c r="V68" t="n" s="219"/>
      <c r="W68" t="n" s="219"/>
      <c r="X68" t="n" s="219"/>
      <c r="Y68" t="n" s="219"/>
    </row>
    <row r="69" ht="42" customHeight="1" s="184" spans="1:25">
      <c r="A69" s="224">
        <f>IF(COUNTA(B69:K69,S69:T69,V69:Y69)&gt;0,ROW()-3,"")</f>
        <v/>
      </c>
      <c r="B69" t="n" s="218"/>
      <c r="C69" t="n" s="218"/>
      <c r="D69" t="n" s="225"/>
      <c r="E69" t="n" s="218"/>
      <c r="F69" t="n" s="218"/>
      <c r="G69" t="n" s="226"/>
      <c r="H69" t="n" s="219"/>
      <c r="I69" t="n" s="219"/>
      <c r="J69" t="n" s="225"/>
      <c r="K69" t="n" s="225"/>
      <c r="L69" t="n" s="227"/>
      <c r="M69" t="n" s="227"/>
      <c r="N69" t="n" s="227"/>
      <c r="O69" t="n" s="227"/>
      <c r="P69" t="n" s="227"/>
      <c r="Q69" t="n" s="227"/>
      <c r="R69" t="n" s="190"/>
      <c r="S69" t="n" s="218"/>
      <c r="T69" t="n" s="218"/>
      <c r="U69" t="n" s="99"/>
      <c r="V69" t="n" s="219"/>
      <c r="W69" t="n" s="219"/>
      <c r="X69" t="n" s="219"/>
      <c r="Y69" t="n" s="219"/>
    </row>
    <row r="70" ht="42" customHeight="1" s="184" spans="1:25">
      <c r="A70" s="224">
        <f>IF(COUNTA(B70:K70,S70:T70,V70:Y70)&gt;0,ROW()-3,"")</f>
        <v/>
      </c>
      <c r="B70" t="n" s="218"/>
      <c r="C70" t="n" s="218"/>
      <c r="D70" t="n" s="225"/>
      <c r="E70" t="n" s="218"/>
      <c r="F70" t="n" s="218"/>
      <c r="G70" t="n" s="226"/>
      <c r="H70" t="n" s="219"/>
      <c r="I70" t="n" s="219"/>
      <c r="J70" t="n" s="225"/>
      <c r="K70" t="n" s="225"/>
      <c r="L70" t="n" s="227"/>
      <c r="M70" t="n" s="227"/>
      <c r="N70" t="n" s="227"/>
      <c r="O70" t="n" s="227"/>
      <c r="P70" t="n" s="227"/>
      <c r="Q70" t="n" s="227"/>
      <c r="R70" t="n" s="190"/>
      <c r="S70" t="n" s="218"/>
      <c r="T70" t="n" s="218"/>
      <c r="U70" t="n" s="99"/>
      <c r="V70" t="n" s="219"/>
      <c r="W70" t="n" s="219"/>
      <c r="X70" t="n" s="219"/>
      <c r="Y70" t="n" s="219"/>
    </row>
    <row r="71" ht="42" customHeight="1" s="184" spans="1:25">
      <c r="A71" s="224">
        <f>IF(COUNTA(B71:K71,S71:T71,V71:Y71)&gt;0,ROW()-3,"")</f>
        <v/>
      </c>
      <c r="B71" t="n" s="218"/>
      <c r="C71" t="n" s="218"/>
      <c r="D71" t="n" s="225"/>
      <c r="E71" t="n" s="218"/>
      <c r="F71" t="n" s="218"/>
      <c r="G71" t="n" s="226"/>
      <c r="H71" t="n" s="219"/>
      <c r="I71" t="n" s="219"/>
      <c r="J71" t="n" s="225"/>
      <c r="K71" t="n" s="225"/>
      <c r="L71" t="n" s="227"/>
      <c r="M71" t="n" s="227"/>
      <c r="N71" t="n" s="227"/>
      <c r="O71" t="n" s="227"/>
      <c r="P71" t="n" s="227"/>
      <c r="Q71" t="n" s="227"/>
      <c r="R71" t="n" s="190"/>
      <c r="S71" t="n" s="218"/>
      <c r="T71" t="n" s="218"/>
      <c r="U71" t="n" s="99"/>
      <c r="V71" t="n" s="219"/>
      <c r="W71" t="n" s="219"/>
      <c r="X71" t="n" s="219"/>
      <c r="Y71" t="n" s="219"/>
    </row>
    <row r="72" ht="42" customHeight="1" s="184" spans="1:25">
      <c r="A72" s="224">
        <f>IF(COUNTA(B72:K72,S72:T72,V72:Y72)&gt;0,ROW()-3,"")</f>
        <v/>
      </c>
      <c r="B72" t="n" s="218"/>
      <c r="C72" t="n" s="218"/>
      <c r="D72" t="n" s="225"/>
      <c r="E72" t="n" s="218"/>
      <c r="F72" t="n" s="218"/>
      <c r="G72" t="n" s="226"/>
      <c r="H72" t="n" s="219"/>
      <c r="I72" t="n" s="219"/>
      <c r="J72" t="n" s="225"/>
      <c r="K72" t="n" s="225"/>
      <c r="L72" t="n" s="227"/>
      <c r="M72" t="n" s="227"/>
      <c r="N72" t="n" s="227"/>
      <c r="O72" t="n" s="227"/>
      <c r="P72" t="n" s="227"/>
      <c r="Q72" t="n" s="227"/>
      <c r="R72" t="n" s="190"/>
      <c r="S72" t="n" s="218"/>
      <c r="T72" t="n" s="218"/>
      <c r="U72" t="n" s="99"/>
      <c r="V72" t="n" s="219"/>
      <c r="W72" t="n" s="219"/>
      <c r="X72" t="n" s="219"/>
      <c r="Y72" t="n" s="219"/>
    </row>
    <row r="73" ht="42" customHeight="1" s="184" spans="1:25">
      <c r="A73" s="224">
        <f>IF(COUNTA(B73:K73,S73:T73,V73:Y73)&gt;0,ROW()-3,"")</f>
        <v/>
      </c>
      <c r="B73" t="n" s="218"/>
      <c r="C73" t="n" s="218"/>
      <c r="D73" t="n" s="225"/>
      <c r="E73" t="n" s="218"/>
      <c r="F73" t="n" s="218"/>
      <c r="G73" t="n" s="226"/>
      <c r="H73" t="n" s="219"/>
      <c r="I73" t="n" s="219"/>
      <c r="J73" t="n" s="225"/>
      <c r="K73" t="n" s="225"/>
      <c r="L73" t="n" s="227"/>
      <c r="M73" t="n" s="227"/>
      <c r="N73" t="n" s="227"/>
      <c r="O73" t="n" s="227"/>
      <c r="P73" t="n" s="227"/>
      <c r="Q73" t="n" s="227"/>
      <c r="R73" t="n" s="190"/>
      <c r="S73" t="n" s="218"/>
      <c r="T73" t="n" s="218"/>
      <c r="U73" t="n" s="99"/>
      <c r="V73" t="n" s="219"/>
      <c r="W73" t="n" s="219"/>
      <c r="X73" t="n" s="219"/>
      <c r="Y73" t="n" s="219"/>
    </row>
    <row r="74" ht="42" customHeight="1" s="184" spans="1:25">
      <c r="A74" s="224">
        <f>IF(COUNTA(B74:K74,S74:T74,V74:Y74)&gt;0,ROW()-3,"")</f>
        <v/>
      </c>
      <c r="B74" t="n" s="218"/>
      <c r="C74" t="n" s="218"/>
      <c r="D74" t="n" s="225"/>
      <c r="E74" t="n" s="218"/>
      <c r="F74" t="n" s="218"/>
      <c r="G74" t="n" s="226"/>
      <c r="H74" t="n" s="219"/>
      <c r="I74" t="n" s="219"/>
      <c r="J74" t="n" s="225"/>
      <c r="K74" t="n" s="225"/>
      <c r="L74" t="n" s="227"/>
      <c r="M74" t="n" s="227"/>
      <c r="N74" t="n" s="227"/>
      <c r="O74" t="n" s="227"/>
      <c r="P74" t="n" s="227"/>
      <c r="Q74" t="n" s="227"/>
      <c r="R74" t="n" s="190"/>
      <c r="S74" t="n" s="218"/>
      <c r="T74" t="n" s="218"/>
      <c r="U74" t="n" s="99"/>
      <c r="V74" t="n" s="219"/>
      <c r="W74" t="n" s="219"/>
      <c r="X74" t="n" s="219"/>
      <c r="Y74" t="n" s="219"/>
    </row>
    <row r="75" ht="42" customHeight="1" s="184" spans="1:25">
      <c r="A75" s="224">
        <f>IF(COUNTA(B75:K75,S75:T75,V75:Y75)&gt;0,ROW()-3,"")</f>
        <v/>
      </c>
      <c r="B75" t="n" s="218"/>
      <c r="C75" t="n" s="218"/>
      <c r="D75" t="n" s="225"/>
      <c r="E75" t="n" s="218"/>
      <c r="F75" t="n" s="218"/>
      <c r="G75" t="n" s="226"/>
      <c r="H75" t="n" s="219"/>
      <c r="I75" t="n" s="219"/>
      <c r="J75" t="n" s="225"/>
      <c r="K75" t="n" s="225"/>
      <c r="L75" t="n" s="227"/>
      <c r="M75" t="n" s="227"/>
      <c r="N75" t="n" s="227"/>
      <c r="O75" t="n" s="227"/>
      <c r="P75" t="n" s="227"/>
      <c r="Q75" t="n" s="227"/>
      <c r="R75" t="n" s="190"/>
      <c r="S75" t="n" s="218"/>
      <c r="T75" t="n" s="218"/>
      <c r="U75" t="n" s="99"/>
      <c r="V75" t="n" s="219"/>
      <c r="W75" t="n" s="219"/>
      <c r="X75" t="n" s="219"/>
      <c r="Y75" t="n" s="219"/>
    </row>
    <row r="76" ht="42" customHeight="1" s="184" spans="1:25">
      <c r="A76" s="224">
        <f>IF(COUNTA(B76:K76,S76:T76,V76:Y76)&gt;0,ROW()-3,"")</f>
        <v/>
      </c>
      <c r="B76" t="n" s="218"/>
      <c r="C76" t="n" s="218"/>
      <c r="D76" t="n" s="225"/>
      <c r="E76" t="n" s="218"/>
      <c r="F76" t="n" s="218"/>
      <c r="G76" t="n" s="226"/>
      <c r="H76" t="n" s="219"/>
      <c r="I76" t="n" s="219"/>
      <c r="J76" t="n" s="225"/>
      <c r="K76" t="n" s="225"/>
      <c r="L76" t="n" s="227"/>
      <c r="M76" t="n" s="227"/>
      <c r="N76" t="n" s="227"/>
      <c r="O76" t="n" s="227"/>
      <c r="P76" t="n" s="227"/>
      <c r="Q76" t="n" s="227"/>
      <c r="R76" t="n" s="190"/>
      <c r="S76" t="n" s="218"/>
      <c r="T76" t="n" s="218"/>
      <c r="U76" t="n" s="99"/>
      <c r="V76" t="n" s="219"/>
      <c r="W76" t="n" s="219"/>
      <c r="X76" t="n" s="219"/>
      <c r="Y76" t="n" s="219"/>
    </row>
    <row r="77" ht="42" customHeight="1" s="184" spans="1:25">
      <c r="A77" s="224">
        <f>IF(COUNTA(B77:K77,S77:T77,V77:Y77)&gt;0,ROW()-3,"")</f>
        <v/>
      </c>
      <c r="B77" t="n" s="218"/>
      <c r="C77" t="n" s="218"/>
      <c r="D77" t="n" s="225"/>
      <c r="E77" t="n" s="218"/>
      <c r="F77" t="n" s="218"/>
      <c r="G77" t="n" s="226"/>
      <c r="H77" t="n" s="219"/>
      <c r="I77" t="n" s="219"/>
      <c r="J77" t="n" s="225"/>
      <c r="K77" t="n" s="225"/>
      <c r="L77" t="n" s="227"/>
      <c r="M77" t="n" s="227"/>
      <c r="N77" t="n" s="227"/>
      <c r="O77" t="n" s="227"/>
      <c r="P77" t="n" s="227"/>
      <c r="Q77" t="n" s="227"/>
      <c r="R77" t="n" s="190"/>
      <c r="S77" t="n" s="218"/>
      <c r="T77" t="n" s="218"/>
      <c r="U77" t="n" s="99"/>
      <c r="V77" t="n" s="219"/>
      <c r="W77" t="n" s="219"/>
      <c r="X77" t="n" s="219"/>
      <c r="Y77" t="n" s="219"/>
    </row>
    <row r="78" ht="42" customHeight="1" s="184" spans="1:25">
      <c r="A78" s="224">
        <f>IF(COUNTA(B78:K78,S78:T78,V78:Y78)&gt;0,ROW()-3,"")</f>
        <v/>
      </c>
      <c r="B78" t="n" s="218"/>
      <c r="C78" t="n" s="218"/>
      <c r="D78" t="n" s="225"/>
      <c r="E78" t="n" s="218"/>
      <c r="F78" t="n" s="218"/>
      <c r="G78" t="n" s="226"/>
      <c r="H78" t="n" s="219"/>
      <c r="I78" t="n" s="219"/>
      <c r="J78" t="n" s="225"/>
      <c r="K78" t="n" s="225"/>
      <c r="L78" t="n" s="227"/>
      <c r="M78" t="n" s="227"/>
      <c r="N78" t="n" s="227"/>
      <c r="O78" t="n" s="227"/>
      <c r="P78" t="n" s="227"/>
      <c r="Q78" t="n" s="227"/>
      <c r="R78" t="n" s="190"/>
      <c r="S78" t="n" s="218"/>
      <c r="T78" t="n" s="218"/>
      <c r="U78" t="n" s="99"/>
      <c r="V78" t="n" s="219"/>
      <c r="W78" t="n" s="219"/>
      <c r="X78" t="n" s="219"/>
      <c r="Y78" t="n" s="219"/>
    </row>
    <row r="79" ht="42" customHeight="1" s="184" spans="1:25">
      <c r="A79" s="224">
        <f>IF(COUNTA(B79:K79,S79:T79,V79:Y79)&gt;0,ROW()-3,"")</f>
        <v/>
      </c>
      <c r="B79" t="n" s="218"/>
      <c r="C79" t="n" s="218"/>
      <c r="D79" t="n" s="225"/>
      <c r="E79" t="n" s="218"/>
      <c r="F79" t="n" s="218"/>
      <c r="G79" t="n" s="226"/>
      <c r="H79" t="n" s="219"/>
      <c r="I79" t="n" s="219"/>
      <c r="J79" t="n" s="225"/>
      <c r="K79" t="n" s="225"/>
      <c r="L79" t="n" s="227"/>
      <c r="M79" t="n" s="227"/>
      <c r="N79" t="n" s="227"/>
      <c r="O79" t="n" s="227"/>
      <c r="P79" t="n" s="227"/>
      <c r="Q79" t="n" s="227"/>
      <c r="R79" t="n" s="190"/>
      <c r="S79" t="n" s="218"/>
      <c r="T79" t="n" s="218"/>
      <c r="U79" t="n" s="99"/>
      <c r="V79" t="n" s="219"/>
      <c r="W79" t="n" s="219"/>
      <c r="X79" t="n" s="219"/>
      <c r="Y79" t="n" s="219"/>
    </row>
    <row r="80" ht="42" customHeight="1" s="184" spans="1:25">
      <c r="A80" s="224">
        <f>IF(COUNTA(B80:K80,S80:T80,V80:Y80)&gt;0,ROW()-3,"")</f>
        <v/>
      </c>
      <c r="B80" t="n" s="218"/>
      <c r="C80" t="n" s="218"/>
      <c r="D80" t="n" s="225"/>
      <c r="E80" t="n" s="218"/>
      <c r="F80" t="n" s="218"/>
      <c r="G80" t="n" s="226"/>
      <c r="H80" t="n" s="219"/>
      <c r="I80" t="n" s="219"/>
      <c r="J80" t="n" s="225"/>
      <c r="K80" t="n" s="225"/>
      <c r="L80" t="n" s="227"/>
      <c r="M80" t="n" s="227"/>
      <c r="N80" t="n" s="227"/>
      <c r="O80" t="n" s="227"/>
      <c r="P80" t="n" s="227"/>
      <c r="Q80" t="n" s="227"/>
      <c r="R80" t="n" s="190"/>
      <c r="S80" t="n" s="218"/>
      <c r="T80" t="n" s="218"/>
      <c r="U80" t="n" s="99"/>
      <c r="V80" t="n" s="219"/>
      <c r="W80" t="n" s="219"/>
      <c r="X80" t="n" s="219"/>
      <c r="Y80" t="n" s="219"/>
    </row>
    <row r="81" ht="42" customHeight="1" s="184" spans="1:25">
      <c r="A81" s="224">
        <f>IF(COUNTA(B81:K81,S81:T81,V81:Y81)&gt;0,ROW()-3,"")</f>
        <v/>
      </c>
      <c r="B81" t="n" s="218"/>
      <c r="C81" t="n" s="218"/>
      <c r="D81" t="n" s="225"/>
      <c r="E81" t="n" s="218"/>
      <c r="F81" t="n" s="218"/>
      <c r="G81" t="n" s="226"/>
      <c r="H81" t="n" s="219"/>
      <c r="I81" t="n" s="219"/>
      <c r="J81" t="n" s="225"/>
      <c r="K81" t="n" s="225"/>
      <c r="L81" t="n" s="227"/>
      <c r="M81" t="n" s="227"/>
      <c r="N81" t="n" s="227"/>
      <c r="O81" t="n" s="227"/>
      <c r="P81" t="n" s="227"/>
      <c r="Q81" t="n" s="227"/>
      <c r="R81" t="n" s="190"/>
      <c r="S81" t="n" s="218"/>
      <c r="T81" t="n" s="218"/>
      <c r="U81" t="n" s="99"/>
      <c r="V81" t="n" s="219"/>
      <c r="W81" t="n" s="219"/>
      <c r="X81" t="n" s="219"/>
      <c r="Y81" t="n" s="219"/>
    </row>
    <row r="82" ht="42" customHeight="1" s="184" spans="1:25">
      <c r="A82" s="224">
        <f>IF(COUNTA(B82:K82,S82:T82,V82:Y82)&gt;0,ROW()-3,"")</f>
        <v/>
      </c>
      <c r="B82" t="n" s="218"/>
      <c r="C82" t="n" s="218"/>
      <c r="D82" t="n" s="225"/>
      <c r="E82" t="n" s="218"/>
      <c r="F82" t="n" s="218"/>
      <c r="G82" t="n" s="226"/>
      <c r="H82" t="n" s="219"/>
      <c r="I82" t="n" s="219"/>
      <c r="J82" t="n" s="225"/>
      <c r="K82" t="n" s="225"/>
      <c r="L82" t="n" s="227"/>
      <c r="M82" t="n" s="227"/>
      <c r="N82" t="n" s="227"/>
      <c r="O82" t="n" s="227"/>
      <c r="P82" t="n" s="227"/>
      <c r="Q82" t="n" s="227"/>
      <c r="R82" t="n" s="190"/>
      <c r="S82" t="n" s="218"/>
      <c r="T82" t="n" s="218"/>
      <c r="U82" t="n" s="99"/>
      <c r="V82" t="n" s="219"/>
      <c r="W82" t="n" s="219"/>
      <c r="X82" t="n" s="219"/>
      <c r="Y82" t="n" s="219"/>
    </row>
    <row r="83" ht="42" customHeight="1" s="184" spans="1:25">
      <c r="A83" s="224">
        <f>IF(COUNTA(B83:K83,S83:T83,V83:Y83)&gt;0,ROW()-3,"")</f>
        <v/>
      </c>
      <c r="B83" t="n" s="218"/>
      <c r="C83" t="n" s="218"/>
      <c r="D83" t="n" s="225"/>
      <c r="E83" t="n" s="218"/>
      <c r="F83" t="n" s="218"/>
      <c r="G83" t="n" s="226"/>
      <c r="H83" t="n" s="219"/>
      <c r="I83" t="n" s="219"/>
      <c r="J83" t="n" s="225"/>
      <c r="K83" t="n" s="225"/>
      <c r="L83" t="n" s="227"/>
      <c r="M83" t="n" s="227"/>
      <c r="N83" t="n" s="227"/>
      <c r="O83" t="n" s="227"/>
      <c r="P83" t="n" s="227"/>
      <c r="Q83" t="n" s="227"/>
      <c r="R83" t="n" s="190"/>
      <c r="S83" t="n" s="218"/>
      <c r="T83" t="n" s="218"/>
      <c r="U83" t="n" s="99"/>
      <c r="V83" t="n" s="219"/>
      <c r="W83" t="n" s="219"/>
      <c r="X83" t="n" s="219"/>
      <c r="Y83" t="n" s="219"/>
    </row>
    <row r="84" ht="42" customHeight="1" s="184" spans="1:25">
      <c r="A84" s="224">
        <f>IF(COUNTA(B84:K84,S84:T84,V84:Y84)&gt;0,ROW()-3,"")</f>
        <v/>
      </c>
      <c r="B84" t="n" s="218"/>
      <c r="C84" t="n" s="218"/>
      <c r="D84" t="n" s="225"/>
      <c r="E84" t="n" s="218"/>
      <c r="F84" t="n" s="218"/>
      <c r="G84" t="n" s="226"/>
      <c r="H84" t="n" s="219"/>
      <c r="I84" t="n" s="219"/>
      <c r="J84" t="n" s="225"/>
      <c r="K84" t="n" s="225"/>
      <c r="L84" t="n" s="227"/>
      <c r="M84" t="n" s="227"/>
      <c r="N84" t="n" s="227"/>
      <c r="O84" t="n" s="227"/>
      <c r="P84" t="n" s="227"/>
      <c r="Q84" t="n" s="227"/>
      <c r="R84" t="n" s="190"/>
      <c r="S84" t="n" s="218"/>
      <c r="T84" t="n" s="218"/>
      <c r="U84" t="n" s="99"/>
      <c r="V84" t="n" s="219"/>
      <c r="W84" t="n" s="219"/>
      <c r="X84" t="n" s="219"/>
      <c r="Y84" t="n" s="219"/>
    </row>
    <row r="85" ht="42" customHeight="1" s="184" spans="1:25">
      <c r="A85" s="224">
        <f>IF(COUNTA(B85:K85,S85:T85,V85:Y85)&gt;0,ROW()-3,"")</f>
        <v/>
      </c>
      <c r="B85" t="n" s="218"/>
      <c r="C85" t="n" s="218"/>
      <c r="D85" t="n" s="225"/>
      <c r="E85" t="n" s="218"/>
      <c r="F85" t="n" s="218"/>
      <c r="G85" t="n" s="226"/>
      <c r="H85" t="n" s="219"/>
      <c r="I85" t="n" s="219"/>
      <c r="J85" t="n" s="225"/>
      <c r="K85" t="n" s="225"/>
      <c r="L85" t="n" s="227"/>
      <c r="M85" t="n" s="227"/>
      <c r="N85" t="n" s="227"/>
      <c r="O85" t="n" s="227"/>
      <c r="P85" t="n" s="227"/>
      <c r="Q85" t="n" s="227"/>
      <c r="R85" t="n" s="190"/>
      <c r="S85" t="n" s="218"/>
      <c r="T85" t="n" s="218"/>
      <c r="U85" t="n" s="99"/>
      <c r="V85" t="n" s="219"/>
      <c r="W85" t="n" s="219"/>
      <c r="X85" t="n" s="219"/>
      <c r="Y85" t="n" s="219"/>
    </row>
    <row r="86" ht="42" customHeight="1" s="184" spans="1:25">
      <c r="A86" s="224">
        <f>IF(COUNTA(B86:K86,S86:T86,V86:Y86)&gt;0,ROW()-3,"")</f>
        <v/>
      </c>
      <c r="B86" t="n" s="218"/>
      <c r="C86" t="n" s="218"/>
      <c r="D86" t="n" s="225"/>
      <c r="E86" t="n" s="218"/>
      <c r="F86" t="n" s="218"/>
      <c r="G86" t="n" s="226"/>
      <c r="H86" t="n" s="219"/>
      <c r="I86" t="n" s="219"/>
      <c r="J86" t="n" s="225"/>
      <c r="K86" t="n" s="225"/>
      <c r="L86" t="n" s="227"/>
      <c r="M86" t="n" s="227"/>
      <c r="N86" t="n" s="227"/>
      <c r="O86" t="n" s="227"/>
      <c r="P86" t="n" s="227"/>
      <c r="Q86" t="n" s="227"/>
      <c r="R86" t="n" s="190"/>
      <c r="S86" t="n" s="218"/>
      <c r="T86" t="n" s="218"/>
      <c r="U86" t="n" s="99"/>
      <c r="V86" t="n" s="219"/>
      <c r="W86" t="n" s="219"/>
      <c r="X86" t="n" s="219"/>
      <c r="Y86" t="n" s="219"/>
    </row>
    <row r="87" ht="42" customHeight="1" s="184" spans="1:25">
      <c r="A87" s="224">
        <f>IF(COUNTA(B87:K87,S87:T87,V87:Y87)&gt;0,ROW()-3,"")</f>
        <v/>
      </c>
      <c r="B87" t="n" s="218"/>
      <c r="C87" t="n" s="218"/>
      <c r="D87" t="n" s="225"/>
      <c r="E87" t="n" s="218"/>
      <c r="F87" t="n" s="218"/>
      <c r="G87" t="n" s="226"/>
      <c r="H87" t="n" s="219"/>
      <c r="I87" t="n" s="219"/>
      <c r="J87" t="n" s="225"/>
      <c r="K87" t="n" s="225"/>
      <c r="L87" t="n" s="227"/>
      <c r="M87" t="n" s="227"/>
      <c r="N87" t="n" s="227"/>
      <c r="O87" t="n" s="227"/>
      <c r="P87" t="n" s="227"/>
      <c r="Q87" t="n" s="227"/>
      <c r="R87" t="n" s="190"/>
      <c r="S87" t="n" s="218"/>
      <c r="T87" t="n" s="218"/>
      <c r="U87" t="n" s="99"/>
      <c r="V87" t="n" s="219"/>
      <c r="W87" t="n" s="219"/>
      <c r="X87" t="n" s="219"/>
      <c r="Y87" t="n" s="219"/>
    </row>
    <row r="88" ht="42" customHeight="1" s="184" spans="1:25">
      <c r="A88" s="224">
        <f>IF(COUNTA(B88:K88,S88:T88,V88:Y88)&gt;0,ROW()-3,"")</f>
        <v/>
      </c>
      <c r="B88" t="n" s="218"/>
      <c r="C88" t="n" s="218"/>
      <c r="D88" t="n" s="225"/>
      <c r="E88" t="n" s="218"/>
      <c r="F88" t="n" s="218"/>
      <c r="G88" t="n" s="226"/>
      <c r="H88" t="n" s="219"/>
      <c r="I88" t="n" s="219"/>
      <c r="J88" t="n" s="225"/>
      <c r="K88" t="n" s="225"/>
      <c r="L88" t="n" s="227"/>
      <c r="M88" t="n" s="227"/>
      <c r="N88" t="n" s="227"/>
      <c r="O88" t="n" s="227"/>
      <c r="P88" t="n" s="227"/>
      <c r="Q88" t="n" s="227"/>
      <c r="R88" t="n" s="190"/>
      <c r="S88" t="n" s="218"/>
      <c r="T88" t="n" s="218"/>
      <c r="U88" t="n" s="99"/>
      <c r="V88" t="n" s="219"/>
      <c r="W88" t="n" s="219"/>
      <c r="X88" t="n" s="219"/>
      <c r="Y88" t="n" s="219"/>
    </row>
    <row r="89" ht="42" customHeight="1" s="184" spans="1:25">
      <c r="A89" s="224">
        <f>IF(COUNTA(B89:K89,S89:T89,V89:Y89)&gt;0,ROW()-3,"")</f>
        <v/>
      </c>
      <c r="B89" t="n" s="218"/>
      <c r="C89" t="n" s="218"/>
      <c r="D89" t="n" s="225"/>
      <c r="E89" t="n" s="218"/>
      <c r="F89" t="n" s="218"/>
      <c r="G89" t="n" s="226"/>
      <c r="H89" t="n" s="219"/>
      <c r="I89" t="n" s="219"/>
      <c r="J89" t="n" s="225"/>
      <c r="K89" t="n" s="225"/>
      <c r="L89" t="n" s="227"/>
      <c r="M89" t="n" s="227"/>
      <c r="N89" t="n" s="227"/>
      <c r="O89" t="n" s="227"/>
      <c r="P89" t="n" s="227"/>
      <c r="Q89" t="n" s="227"/>
      <c r="R89" t="n" s="190"/>
      <c r="S89" t="n" s="218"/>
      <c r="T89" t="n" s="218"/>
      <c r="U89" t="n" s="99"/>
      <c r="V89" t="n" s="219"/>
      <c r="W89" t="n" s="219"/>
      <c r="X89" t="n" s="219"/>
      <c r="Y89" t="n" s="219"/>
    </row>
    <row r="90" ht="42" customHeight="1" s="184" spans="1:25">
      <c r="A90" s="224">
        <f>IF(COUNTA(B90:K90,S90:T90,V90:Y90)&gt;0,ROW()-3,"")</f>
        <v/>
      </c>
      <c r="B90" t="n" s="218"/>
      <c r="C90" t="n" s="218"/>
      <c r="D90" t="n" s="225"/>
      <c r="E90" t="n" s="218"/>
      <c r="F90" t="n" s="218"/>
      <c r="G90" t="n" s="226"/>
      <c r="H90" t="n" s="219"/>
      <c r="I90" t="n" s="219"/>
      <c r="J90" t="n" s="225"/>
      <c r="K90" t="n" s="225"/>
      <c r="L90" t="n" s="227"/>
      <c r="M90" t="n" s="227"/>
      <c r="N90" t="n" s="227"/>
      <c r="O90" t="n" s="227"/>
      <c r="P90" t="n" s="227"/>
      <c r="Q90" t="n" s="227"/>
      <c r="R90" t="n" s="190"/>
      <c r="S90" t="n" s="218"/>
      <c r="T90" t="n" s="218"/>
      <c r="U90" t="n" s="99"/>
      <c r="V90" t="n" s="219"/>
      <c r="W90" t="n" s="219"/>
      <c r="X90" t="n" s="219"/>
      <c r="Y90" t="n" s="219"/>
    </row>
    <row r="91" ht="42" customHeight="1" s="184" spans="1:25">
      <c r="A91" s="224">
        <f>IF(COUNTA(B91:K91,S91:T91,V91:Y91)&gt;0,ROW()-3,"")</f>
        <v/>
      </c>
      <c r="B91" t="n" s="218"/>
      <c r="C91" t="n" s="218"/>
      <c r="D91" t="n" s="225"/>
      <c r="E91" t="n" s="218"/>
      <c r="F91" t="n" s="218"/>
      <c r="G91" t="n" s="226"/>
      <c r="H91" t="n" s="219"/>
      <c r="I91" t="n" s="219"/>
      <c r="J91" t="n" s="225"/>
      <c r="K91" t="n" s="225"/>
      <c r="L91" t="n" s="227"/>
      <c r="M91" t="n" s="227"/>
      <c r="N91" t="n" s="227"/>
      <c r="O91" t="n" s="227"/>
      <c r="P91" t="n" s="227"/>
      <c r="Q91" t="n" s="227"/>
      <c r="R91" t="n" s="190"/>
      <c r="S91" t="n" s="218"/>
      <c r="T91" t="n" s="218"/>
      <c r="U91" t="n" s="99"/>
      <c r="V91" t="n" s="219"/>
      <c r="W91" t="n" s="219"/>
      <c r="X91" t="n" s="219"/>
      <c r="Y91" t="n" s="219"/>
    </row>
    <row r="92" ht="42" customHeight="1" s="184" spans="1:25">
      <c r="A92" s="224">
        <f>IF(COUNTA(B92:K92,S92:T92,V92:Y92)&gt;0,ROW()-3,"")</f>
        <v/>
      </c>
      <c r="B92" t="n" s="218"/>
      <c r="C92" t="n" s="218"/>
      <c r="D92" t="n" s="225"/>
      <c r="E92" t="n" s="218"/>
      <c r="F92" t="n" s="218"/>
      <c r="G92" t="n" s="226"/>
      <c r="H92" t="n" s="219"/>
      <c r="I92" t="n" s="219"/>
      <c r="J92" t="n" s="225"/>
      <c r="K92" t="n" s="225"/>
      <c r="L92" t="n" s="227"/>
      <c r="M92" t="n" s="227"/>
      <c r="N92" t="n" s="227"/>
      <c r="O92" t="n" s="227"/>
      <c r="P92" t="n" s="227"/>
      <c r="Q92" t="n" s="227"/>
      <c r="R92" t="n" s="190"/>
      <c r="S92" t="n" s="218"/>
      <c r="T92" t="n" s="218"/>
      <c r="U92" t="n" s="99"/>
      <c r="V92" t="n" s="219"/>
      <c r="W92" t="n" s="219"/>
      <c r="X92" t="n" s="219"/>
      <c r="Y92" t="n" s="219"/>
    </row>
    <row r="93" ht="42" customHeight="1" s="184" spans="1:25">
      <c r="A93" s="224">
        <f>IF(COUNTA(B93:K93,S93:T93,V93:Y93)&gt;0,ROW()-3,"")</f>
        <v/>
      </c>
      <c r="B93" t="n" s="218"/>
      <c r="C93" t="n" s="218"/>
      <c r="D93" t="n" s="225"/>
      <c r="E93" t="n" s="218"/>
      <c r="F93" t="n" s="218"/>
      <c r="G93" t="n" s="226"/>
      <c r="H93" t="n" s="219"/>
      <c r="I93" t="n" s="219"/>
      <c r="J93" t="n" s="225"/>
      <c r="K93" t="n" s="225"/>
      <c r="L93" t="n" s="227"/>
      <c r="M93" t="n" s="227"/>
      <c r="N93" t="n" s="227"/>
      <c r="O93" t="n" s="227"/>
      <c r="P93" t="n" s="227"/>
      <c r="Q93" t="n" s="227"/>
      <c r="R93" t="n" s="190"/>
      <c r="S93" t="n" s="218"/>
      <c r="T93" t="n" s="218"/>
      <c r="U93" t="n" s="99"/>
      <c r="V93" t="n" s="219"/>
      <c r="W93" t="n" s="219"/>
      <c r="X93" t="n" s="219"/>
      <c r="Y93" t="n" s="219"/>
    </row>
    <row r="94" ht="42" customHeight="1" s="184" spans="1:25">
      <c r="A94" s="224">
        <f>IF(COUNTA(B94:K94,S94:T94,V94:Y94)&gt;0,ROW()-3,"")</f>
        <v/>
      </c>
      <c r="B94" t="n" s="218"/>
      <c r="C94" t="n" s="218"/>
      <c r="D94" t="n" s="225"/>
      <c r="E94" t="n" s="218"/>
      <c r="F94" t="n" s="218"/>
      <c r="G94" t="n" s="226"/>
      <c r="H94" t="n" s="219"/>
      <c r="I94" t="n" s="219"/>
      <c r="J94" t="n" s="225"/>
      <c r="K94" t="n" s="225"/>
      <c r="L94" t="n" s="227"/>
      <c r="M94" t="n" s="227"/>
      <c r="N94" t="n" s="227"/>
      <c r="O94" t="n" s="227"/>
      <c r="P94" t="n" s="227"/>
      <c r="Q94" t="n" s="227"/>
      <c r="R94" t="n" s="190"/>
      <c r="S94" t="n" s="218"/>
      <c r="T94" t="n" s="218"/>
      <c r="U94" t="n" s="99"/>
      <c r="V94" t="n" s="219"/>
      <c r="W94" t="n" s="219"/>
      <c r="X94" t="n" s="219"/>
      <c r="Y94" t="n" s="219"/>
    </row>
    <row r="95" ht="42" customHeight="1" s="184" spans="1:25">
      <c r="A95" s="224">
        <f>IF(COUNTA(B95:K95,S95:T95,V95:Y95)&gt;0,ROW()-3,"")</f>
        <v/>
      </c>
      <c r="B95" t="n" s="218"/>
      <c r="C95" t="n" s="218"/>
      <c r="D95" t="n" s="225"/>
      <c r="E95" t="n" s="218"/>
      <c r="F95" t="n" s="218"/>
      <c r="G95" t="n" s="226"/>
      <c r="H95" t="n" s="219"/>
      <c r="I95" t="n" s="219"/>
      <c r="J95" t="n" s="225"/>
      <c r="K95" t="n" s="225"/>
      <c r="L95" t="n" s="227"/>
      <c r="M95" t="n" s="227"/>
      <c r="N95" t="n" s="227"/>
      <c r="O95" t="n" s="227"/>
      <c r="P95" t="n" s="227"/>
      <c r="Q95" t="n" s="227"/>
      <c r="R95" t="n" s="190"/>
      <c r="S95" t="n" s="218"/>
      <c r="T95" t="n" s="218"/>
      <c r="U95" t="n" s="99"/>
      <c r="V95" t="n" s="219"/>
      <c r="W95" t="n" s="219"/>
      <c r="X95" t="n" s="219"/>
      <c r="Y95" t="n" s="219"/>
    </row>
    <row r="96" ht="42" customHeight="1" s="184" spans="1:25">
      <c r="A96" s="224">
        <f>IF(COUNTA(B96:K96,S96:T96,V96:Y96)&gt;0,ROW()-3,"")</f>
        <v/>
      </c>
      <c r="B96" t="n" s="218"/>
      <c r="C96" t="n" s="218"/>
      <c r="D96" t="n" s="225"/>
      <c r="E96" t="n" s="218"/>
      <c r="F96" t="n" s="218"/>
      <c r="G96" t="n" s="226"/>
      <c r="H96" t="n" s="219"/>
      <c r="I96" t="n" s="219"/>
      <c r="J96" t="n" s="225"/>
      <c r="K96" t="n" s="225"/>
      <c r="L96" t="n" s="227"/>
      <c r="M96" t="n" s="227"/>
      <c r="N96" t="n" s="227"/>
      <c r="O96" t="n" s="227"/>
      <c r="P96" t="n" s="227"/>
      <c r="Q96" t="n" s="227"/>
      <c r="R96" t="n" s="190"/>
      <c r="S96" t="n" s="218"/>
      <c r="T96" t="n" s="218"/>
      <c r="U96" t="n" s="99"/>
      <c r="V96" t="n" s="219"/>
      <c r="W96" t="n" s="219"/>
      <c r="X96" t="n" s="219"/>
      <c r="Y96" t="n" s="219"/>
    </row>
    <row r="97" ht="42" customHeight="1" s="184" spans="1:25">
      <c r="A97" s="224">
        <f>IF(COUNTA(B97:K97,S97:T97,V97:Y97)&gt;0,ROW()-3,"")</f>
        <v/>
      </c>
      <c r="B97" t="n" s="218"/>
      <c r="C97" t="n" s="218"/>
      <c r="D97" t="n" s="225"/>
      <c r="E97" t="n" s="218"/>
      <c r="F97" t="n" s="218"/>
      <c r="G97" t="n" s="226"/>
      <c r="H97" t="n" s="219"/>
      <c r="I97" t="n" s="219"/>
      <c r="J97" t="n" s="225"/>
      <c r="K97" t="n" s="225"/>
      <c r="L97" t="n" s="227"/>
      <c r="M97" t="n" s="227"/>
      <c r="N97" t="n" s="227"/>
      <c r="O97" t="n" s="227"/>
      <c r="P97" t="n" s="227"/>
      <c r="Q97" t="n" s="227"/>
      <c r="R97" t="n" s="190"/>
      <c r="S97" t="n" s="218"/>
      <c r="T97" t="n" s="218"/>
      <c r="U97" t="n" s="99"/>
      <c r="V97" t="n" s="219"/>
      <c r="W97" t="n" s="219"/>
      <c r="X97" t="n" s="219"/>
      <c r="Y97" t="n" s="219"/>
    </row>
    <row r="98" ht="42" customHeight="1" s="184" spans="1:25">
      <c r="A98" s="224">
        <f>IF(COUNTA(B98:K98,S98:T98,V98:Y98)&gt;0,ROW()-3,"")</f>
        <v/>
      </c>
      <c r="B98" t="n" s="218"/>
      <c r="C98" t="n" s="218"/>
      <c r="D98" t="n" s="225"/>
      <c r="E98" t="n" s="218"/>
      <c r="F98" t="n" s="218"/>
      <c r="G98" t="n" s="226"/>
      <c r="H98" t="n" s="219"/>
      <c r="I98" t="n" s="219"/>
      <c r="J98" t="n" s="225"/>
      <c r="K98" t="n" s="225"/>
      <c r="L98" t="n" s="227"/>
      <c r="M98" t="n" s="227"/>
      <c r="N98" t="n" s="227"/>
      <c r="O98" t="n" s="227"/>
      <c r="P98" t="n" s="227"/>
      <c r="Q98" t="n" s="227"/>
      <c r="R98" t="n" s="190"/>
      <c r="S98" t="n" s="218"/>
      <c r="T98" t="n" s="218"/>
      <c r="U98" t="n" s="99"/>
      <c r="V98" t="n" s="219"/>
      <c r="W98" t="n" s="219"/>
      <c r="X98" t="n" s="219"/>
      <c r="Y98" t="n" s="219"/>
    </row>
    <row r="99" ht="42" customHeight="1" s="184" spans="1:25">
      <c r="A99" s="224">
        <f>IF(COUNTA(B99:K99,S99:T99,V99:Y99)&gt;0,ROW()-3,"")</f>
        <v/>
      </c>
      <c r="B99" t="n" s="218"/>
      <c r="C99" t="n" s="218"/>
      <c r="D99" t="n" s="225"/>
      <c r="E99" t="n" s="218"/>
      <c r="F99" t="n" s="218"/>
      <c r="G99" t="n" s="226"/>
      <c r="H99" t="n" s="219"/>
      <c r="I99" t="n" s="219"/>
      <c r="J99" t="n" s="225"/>
      <c r="K99" t="n" s="225"/>
      <c r="L99" t="n" s="227"/>
      <c r="M99" t="n" s="227"/>
      <c r="N99" t="n" s="227"/>
      <c r="O99" t="n" s="227"/>
      <c r="P99" t="n" s="227"/>
      <c r="Q99" t="n" s="227"/>
      <c r="R99" t="n" s="190"/>
      <c r="S99" t="n" s="218"/>
      <c r="T99" t="n" s="218"/>
      <c r="U99" t="n" s="99"/>
      <c r="V99" t="n" s="219"/>
      <c r="W99" t="n" s="219"/>
      <c r="X99" t="n" s="219"/>
      <c r="Y99" t="n" s="219"/>
    </row>
    <row r="100" ht="42" customHeight="1" s="184" spans="1:25">
      <c r="A100" s="224">
        <f>IF(COUNTA(B100:K100,S100:T100,V100:Y100)&gt;0,ROW()-3,"")</f>
        <v/>
      </c>
      <c r="B100" t="n" s="218"/>
      <c r="C100" t="n" s="218"/>
      <c r="D100" t="n" s="225"/>
      <c r="E100" t="n" s="218"/>
      <c r="F100" t="n" s="218"/>
      <c r="G100" t="n" s="226"/>
      <c r="H100" t="n" s="219"/>
      <c r="I100" t="n" s="219"/>
      <c r="J100" t="n" s="225"/>
      <c r="K100" t="n" s="225"/>
      <c r="L100" t="n" s="227"/>
      <c r="M100" t="n" s="227"/>
      <c r="N100" t="n" s="227"/>
      <c r="O100" t="n" s="227"/>
      <c r="P100" t="n" s="227"/>
      <c r="Q100" t="n" s="227"/>
      <c r="R100" t="n" s="190"/>
      <c r="S100" t="n" s="218"/>
      <c r="T100" t="n" s="218"/>
      <c r="U100" t="n" s="99"/>
      <c r="V100" t="n" s="219"/>
      <c r="W100" t="n" s="219"/>
      <c r="X100" t="n" s="219"/>
      <c r="Y100" t="n" s="219"/>
    </row>
    <row r="101" ht="42" customHeight="1" s="184" spans="1:25">
      <c r="A101" s="224">
        <f>IF(COUNTA(B101:K101,S101:T101,V101:Y101)&gt;0,ROW()-3,"")</f>
        <v/>
      </c>
      <c r="B101" t="n" s="218"/>
      <c r="C101" t="n" s="218"/>
      <c r="D101" t="n" s="225"/>
      <c r="E101" t="n" s="218"/>
      <c r="F101" t="n" s="218"/>
      <c r="G101" t="n" s="226"/>
      <c r="H101" t="n" s="219"/>
      <c r="I101" t="n" s="219"/>
      <c r="J101" t="n" s="225"/>
      <c r="K101" t="n" s="225"/>
      <c r="L101" t="n" s="227"/>
      <c r="M101" t="n" s="227"/>
      <c r="N101" t="n" s="227"/>
      <c r="O101" t="n" s="227"/>
      <c r="P101" t="n" s="227"/>
      <c r="Q101" t="n" s="227"/>
      <c r="R101" t="n" s="190"/>
      <c r="S101" t="n" s="218"/>
      <c r="T101" t="n" s="218"/>
      <c r="U101" t="n" s="99"/>
      <c r="V101" t="n" s="219"/>
      <c r="W101" t="n" s="219"/>
      <c r="X101" t="n" s="219"/>
      <c r="Y101" t="n" s="219"/>
    </row>
    <row r="102" ht="42" customHeight="1" s="184" spans="1:25">
      <c r="A102" s="224">
        <f>IF(COUNTA(B102:K102,S102:T102,V102:Y102)&gt;0,ROW()-3,"")</f>
        <v/>
      </c>
      <c r="B102" t="n" s="218"/>
      <c r="C102" t="n" s="218"/>
      <c r="D102" t="n" s="225"/>
      <c r="E102" t="n" s="218"/>
      <c r="F102" t="n" s="218"/>
      <c r="G102" t="n" s="226"/>
      <c r="H102" t="n" s="219"/>
      <c r="I102" t="n" s="219"/>
      <c r="J102" t="n" s="225"/>
      <c r="K102" t="n" s="225"/>
      <c r="L102" t="n" s="227"/>
      <c r="M102" t="n" s="227"/>
      <c r="N102" t="n" s="227"/>
      <c r="O102" t="n" s="227"/>
      <c r="P102" t="n" s="227"/>
      <c r="Q102" t="n" s="227"/>
      <c r="R102" t="n" s="190"/>
      <c r="S102" t="n" s="218"/>
      <c r="T102" t="n" s="218"/>
      <c r="U102" t="n" s="99"/>
      <c r="V102" t="n" s="219"/>
      <c r="W102" t="n" s="219"/>
      <c r="X102" t="n" s="219"/>
      <c r="Y102" t="n" s="219"/>
    </row>
    <row r="103" ht="42" customHeight="1" s="184" spans="1:25">
      <c r="A103" s="224">
        <f>IF(COUNTA(B103:K103,S103:T103,V103:Y103)&gt;0,ROW()-3,"")</f>
        <v/>
      </c>
      <c r="B103" t="n" s="218"/>
      <c r="C103" t="n" s="218"/>
      <c r="D103" t="n" s="225"/>
      <c r="E103" t="n" s="218"/>
      <c r="F103" t="n" s="218"/>
      <c r="G103" t="n" s="226"/>
      <c r="H103" t="n" s="219"/>
      <c r="I103" t="n" s="219"/>
      <c r="J103" t="n" s="225"/>
      <c r="K103" t="n" s="225"/>
      <c r="L103" t="n" s="227"/>
      <c r="M103" t="n" s="227"/>
      <c r="N103" t="n" s="227"/>
      <c r="O103" t="n" s="227"/>
      <c r="P103" t="n" s="227"/>
      <c r="Q103" t="n" s="227"/>
      <c r="R103" t="n" s="190"/>
      <c r="S103" t="n" s="218"/>
      <c r="T103" t="n" s="218"/>
      <c r="U103" t="n" s="99"/>
      <c r="V103" t="n" s="219"/>
      <c r="W103" t="n" s="219"/>
      <c r="X103" t="n" s="219"/>
      <c r="Y103" t="n" s="219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T1:U1"/>
    <mergeCell ref="F2:K2"/>
    <mergeCell ref="R1:S1"/>
    <mergeCell ref="A1:Q1"/>
    <mergeCell ref="S2:U2"/>
    <mergeCell ref="L2:Q2"/>
  </mergeCells>
  <dataValidations count="11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EV_TRANSFORMER_CATEGORY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OrEqual">
      <formula1>0</formula1>
    </dataValidation>
    <dataValidation sqref="K4:K103" showDropDown="0" showInputMessage="0" showErrorMessage="1" allowBlank="1" type="decimal" errorStyle="stop" operator="greaterThanOrEqual">
      <formula1>0</formula1>
    </dataValidation>
    <dataValidation sqref="H4:H103" showDropDown="0" showInputMessage="1" showErrorMessage="1" allowBlank="1" type="list" errorStyle="stop" errorTitle="标准条件" error="请选择与设备实际结构一致的标准条件；不得手选损耗组。" promptTitle="标准条件" prompt="仅填写适用的实际铁心、联结、热等级或新能源用途。">
      <formula1>INDIRECT("EV_TR_COND_"&amp;SUBSTITUTE(INDEX(EV_TRANSFORMER_CATEGORY_IDS,MATCH($F4,EV_TRANSFORMER_CATEGORY,0)),"-","_"))</formula1>
    </dataValidation>
    <dataValidation type="decimal" operator="greaterThan" allowBlank="1" showErrorMessage="1" sqref="I4:I103">
      <formula1>0</formula1>
    </dataValidation>
    <dataValidation type="decimal" operator="greaterThan" allowBlank="1" showErrorMessage="1" sqref="V4:V103">
      <formula1>0</formula1>
    </dataValidation>
    <dataValidation type="decimal" operator="greaterThan" allowBlank="1" showErrorMessage="1" sqref="W4:W103">
      <formula1>0</formula1>
    </dataValidation>
    <dataValidation type="decimal" operator="greaterThan" allowBlank="1" showErrorMessage="1" sqref="X4:X103">
      <formula1>0</formula1>
    </dataValidation>
    <dataValidation type="decimal" operator="greaterThan" allowBlank="1" showErrorMessage="1" sqref="Y4:Y103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4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电动机 - 《电动机能效限定值及能效等级（低压/高压/永磁同步）》（GB 18613-2020；GB 30254-2024；GB 30253-2024）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SUM(TblMotor[数量])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额定电压
(kV)</t>
        </is>
      </c>
      <c r="H3" s="55" t="inlineStr">
        <is>
          <t>额定频率
(Hz)</t>
        </is>
      </c>
      <c r="I3" s="45" t="inlineStr">
        <is>
          <t>冷却方式</t>
        </is>
      </c>
      <c r="J3" s="55" t="inlineStr">
        <is>
          <t>额定功率
(kW)</t>
        </is>
      </c>
      <c r="K3" s="45" t="inlineStr">
        <is>
          <t>极数
(极)</t>
        </is>
      </c>
      <c r="L3" s="55" t="inlineStr">
        <is>
          <t>额定转速
(r/min)</t>
        </is>
      </c>
      <c r="M3" s="55" t="inlineStr">
        <is>
          <t>效率
(%)</t>
        </is>
      </c>
      <c r="N3" s="63" t="inlineStr">
        <is>
          <t>1级对应效率指标
(%)</t>
        </is>
      </c>
      <c r="O3" s="63" t="inlineStr">
        <is>
          <t>2级对应效率指标
(%)</t>
        </is>
      </c>
      <c r="P3" s="63" t="inlineStr">
        <is>
          <t>3级对应效率指标
(%)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IF(COUNTA(B4,C4,D4,E4,F4,G4,H4,I4,J4,K4,L4,M4,R4,S4)&gt;0,ROW()-3,"")</f>
        <v/>
      </c>
      <c r="B4" s="176" t="n"/>
      <c r="C4" s="176" t="n"/>
      <c r="D4" s="228" t="n"/>
      <c r="E4" s="176" t="n"/>
      <c r="F4" s="218" t="n"/>
      <c r="G4" s="218" t="n"/>
      <c r="H4" s="176" t="n"/>
      <c r="I4" s="218" t="n"/>
      <c r="J4" s="229" t="n"/>
      <c r="K4" s="181" t="n"/>
      <c r="L4" s="229" t="n"/>
      <c r="M4" s="229" t="n"/>
      <c r="N4" s="227" t="n"/>
      <c r="O4" s="227" t="n"/>
      <c r="P4" s="227" t="n"/>
      <c r="Q4" s="81" t="n"/>
      <c r="R4" s="180" t="n"/>
      <c r="S4" s="180" t="n"/>
      <c r="T4" s="99">
        <f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f>
        <v/>
      </c>
    </row>
    <row r="5" ht="42" customHeight="1" s="184">
      <c r="A5" s="224">
        <f>IF(COUNTA(B5,C5,D5,E5,F5,G5,H5,I5,J5,K5,L5,M5,R5,S5)&gt;0,ROW()-3,"")</f>
        <v/>
      </c>
      <c r="B5" s="176" t="n"/>
      <c r="C5" s="176" t="n"/>
      <c r="D5" s="228" t="n"/>
      <c r="E5" s="176" t="n"/>
      <c r="F5" s="218" t="n"/>
      <c r="G5" s="218" t="n"/>
      <c r="H5" s="176" t="n"/>
      <c r="I5" s="218" t="n"/>
      <c r="J5" s="229" t="n"/>
      <c r="K5" s="181" t="n"/>
      <c r="L5" s="229" t="n"/>
      <c r="M5" s="229" t="n"/>
      <c r="N5" s="227" t="n"/>
      <c r="O5" s="227" t="n"/>
      <c r="P5" s="227" t="n"/>
      <c r="Q5" s="81" t="n"/>
      <c r="R5" s="180" t="n"/>
      <c r="S5" s="180" t="n"/>
      <c r="T5" s="99">
        <f>IF(COUNTA(B5,C5,D5,E5,F5,G5,H5,I5,J5,K5,L5,M5,R5,S5)&gt;0,TEXTJOIN("；",TRUE,IF(B5="","缺少设备名称",""),IF(AND(ISTEXT(B5),OR(B5&lt;&gt;TRIM(B5),ISNUMBER(SEARCH("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",E5)))),"安装位置含首尾空格或全角空格",""),IF(F5="","缺少设备类别",""),IF(F5="","",IF(COUNTIF(EV_MOTOR_CATEGORY,F5)=0,"设备类别不在标准枚举中","")),IF(AND(ISTEXT(F5),OR(F5&lt;&gt;TRIM(F5),ISNUMBER(SEARCH("　",F5)))),"设备类别含首尾空格或全角空格",""),IF(G5="","缺少额定电压",""),IF(G5="","",IF(COUNTIF(EV_MOTOR_VOLTAGE,G5)=0,"额定电压不在标准枚举中","")),IF(AND(ISTEXT(G5),OR(G5&lt;&gt;TRIM(G5),ISNUMBER(SEARCH("　",G5)))),"额定电压含首尾空格或全角空格",""),IF(H5="","缺少额定频率",""),IF(AND(ISTEXT(H5),OR(H5&lt;&gt;TRIM(H5),ISNUMBER(SEARCH("　",H5)))),"额定频率含首尾空格或全角空格",""),IF(I5="","",IF(COUNTIF(EV_COOLING_MOTOR_HV,I5)=0,"冷却方式不在标准枚举中","")),IF(AND(ISTEXT(I5),OR(I5&lt;&gt;TRIM(I5),ISNUMBER(SEARCH("　",I5)))),"冷却方式含首尾空格或全角空格",""),IF(J5="","缺少额定功率",""),IF(J5="","",IF(NOT(ISNUMBER(J5)),"额定功率应为数值",IF(J5&lt;=0,"额定功率应大于0",""))),IF(K5="","缺少极数",""),IF(K5="","",IF(COUNTIF(EV_POLES_PMSM,K5)=0,"极数不在标准枚举中","")),IF(L5="","缺少额定转速",""),IF(L5="","",IF(NOT(ISNUMBER(L5)),"额定转速应为数值",IF(L5&lt;=0,"额定转速应大于0",""))),IF(M5="","缺少效率",""),IF(M5="","",IF(NOT(ISNUMBER(M5)),"效率应为数值",IF(OR(M5&lt;1,M5&gt;100),"效率应为1～100的百分数本值",""))),IF(R5="","缺少铭牌照片",""),IF(AND(ISTEXT(S5),OR(S5&lt;&gt;TRIM(S5),ISNUMBER(SEARCH("　",S5)))),"填表备注含首尾空格或全角空格",""),IF(AND(OR(F5="高压三相笼型异步电动机",F5="异步起动三相永磁同步电动机",F5="变频调速永磁同步电动机"),OR(G5="3（3.3）",G5="6",G5="10"),I5=""),"高压电动机缺少冷却方式",""),IF(AND(F5="电梯用永磁同步电动机",L5=""),"电梯用永磁同步电动机缺少额定转速","")),"")</f>
        <v/>
      </c>
    </row>
    <row r="6" ht="42" customHeight="1" s="184">
      <c r="A6" s="224">
        <f>IF(COUNTA(B6,C6,D6,E6,F6,G6,H6,I6,J6,K6,L6,M6,R6,S6)&gt;0,ROW()-3,"")</f>
        <v/>
      </c>
      <c r="B6" s="176" t="n"/>
      <c r="C6" s="176" t="n"/>
      <c r="D6" s="228" t="n"/>
      <c r="E6" s="176" t="n"/>
      <c r="F6" s="218" t="n"/>
      <c r="G6" s="218" t="n"/>
      <c r="H6" s="176" t="n"/>
      <c r="I6" s="218" t="n"/>
      <c r="J6" s="229" t="n"/>
      <c r="K6" s="181" t="n"/>
      <c r="L6" s="229" t="n"/>
      <c r="M6" s="229" t="n"/>
      <c r="N6" s="227" t="n"/>
      <c r="O6" s="227" t="n"/>
      <c r="P6" s="227" t="n"/>
      <c r="Q6" s="81" t="n"/>
      <c r="R6" s="180" t="n"/>
      <c r="S6" s="180" t="n"/>
      <c r="T6" s="99">
        <f>IF(COUNTA(B6,C6,D6,E6,F6,G6,H6,I6,J6,K6,L6,M6,R6,S6)&gt;0,TEXTJOIN("；",TRUE,IF(B6="","缺少设备名称",""),IF(AND(ISTEXT(B6),OR(B6&lt;&gt;TRIM(B6),ISNUMBER(SEARCH("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",E6)))),"安装位置含首尾空格或全角空格",""),IF(F6="","缺少设备类别",""),IF(F6="","",IF(COUNTIF(EV_MOTOR_CATEGORY,F6)=0,"设备类别不在标准枚举中","")),IF(AND(ISTEXT(F6),OR(F6&lt;&gt;TRIM(F6),ISNUMBER(SEARCH("　",F6)))),"设备类别含首尾空格或全角空格",""),IF(G6="","缺少额定电压",""),IF(G6="","",IF(COUNTIF(EV_MOTOR_VOLTAGE,G6)=0,"额定电压不在标准枚举中","")),IF(AND(ISTEXT(G6),OR(G6&lt;&gt;TRIM(G6),ISNUMBER(SEARCH("　",G6)))),"额定电压含首尾空格或全角空格",""),IF(H6="","缺少额定频率",""),IF(AND(ISTEXT(H6),OR(H6&lt;&gt;TRIM(H6),ISNUMBER(SEARCH("　",H6)))),"额定频率含首尾空格或全角空格",""),IF(I6="","",IF(COUNTIF(EV_COOLING_MOTOR_HV,I6)=0,"冷却方式不在标准枚举中","")),IF(AND(ISTEXT(I6),OR(I6&lt;&gt;TRIM(I6),ISNUMBER(SEARCH("　",I6)))),"冷却方式含首尾空格或全角空格",""),IF(J6="","缺少额定功率",""),IF(J6="","",IF(NOT(ISNUMBER(J6)),"额定功率应为数值",IF(J6&lt;=0,"额定功率应大于0",""))),IF(K6="","缺少极数",""),IF(K6="","",IF(COUNTIF(EV_POLES_PMSM,K6)=0,"极数不在标准枚举中","")),IF(L6="","缺少额定转速",""),IF(L6="","",IF(NOT(ISNUMBER(L6)),"额定转速应为数值",IF(L6&lt;=0,"额定转速应大于0",""))),IF(M6="","缺少效率",""),IF(M6="","",IF(NOT(ISNUMBER(M6)),"效率应为数值",IF(OR(M6&lt;1,M6&gt;100),"效率应为1～100的百分数本值",""))),IF(R6="","缺少铭牌照片",""),IF(AND(ISTEXT(S6),OR(S6&lt;&gt;TRIM(S6),ISNUMBER(SEARCH("　",S6)))),"填表备注含首尾空格或全角空格",""),IF(AND(OR(F6="高压三相笼型异步电动机",F6="异步起动三相永磁同步电动机",F6="变频调速永磁同步电动机"),OR(G6="3（3.3）",G6="6",G6="10"),I6=""),"高压电动机缺少冷却方式",""),IF(AND(F6="电梯用永磁同步电动机",L6=""),"电梯用永磁同步电动机缺少额定转速","")),"")</f>
        <v/>
      </c>
    </row>
    <row r="7" ht="42" customHeight="1" s="184">
      <c r="A7" s="224">
        <f>IF(COUNTA(B7,C7,D7,E7,F7,G7,H7,I7,J7,K7,L7,M7,R7,S7)&gt;0,ROW()-3,"")</f>
        <v/>
      </c>
      <c r="B7" s="176" t="n"/>
      <c r="C7" s="176" t="n"/>
      <c r="D7" s="228" t="n"/>
      <c r="E7" s="176" t="n"/>
      <c r="F7" s="218" t="n"/>
      <c r="G7" s="218" t="n"/>
      <c r="H7" s="176" t="n"/>
      <c r="I7" s="218" t="n"/>
      <c r="J7" s="229" t="n"/>
      <c r="K7" s="181" t="n"/>
      <c r="L7" s="229" t="n"/>
      <c r="M7" s="229" t="n"/>
      <c r="N7" s="227" t="n"/>
      <c r="O7" s="227" t="n"/>
      <c r="P7" s="227" t="n"/>
      <c r="Q7" s="81" t="n"/>
      <c r="R7" s="180" t="n"/>
      <c r="S7" s="180" t="n"/>
      <c r="T7" s="99">
        <f>IF(COUNTA(B7,C7,D7,E7,F7,G7,H7,I7,J7,K7,L7,M7,R7,S7)&gt;0,TEXTJOIN("；",TRUE,IF(B7="","缺少设备名称",""),IF(AND(ISTEXT(B7),OR(B7&lt;&gt;TRIM(B7),ISNUMBER(SEARCH("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",E7)))),"安装位置含首尾空格或全角空格",""),IF(F7="","缺少设备类别",""),IF(F7="","",IF(COUNTIF(EV_MOTOR_CATEGORY,F7)=0,"设备类别不在标准枚举中","")),IF(AND(ISTEXT(F7),OR(F7&lt;&gt;TRIM(F7),ISNUMBER(SEARCH("　",F7)))),"设备类别含首尾空格或全角空格",""),IF(G7="","缺少额定电压",""),IF(G7="","",IF(COUNTIF(EV_MOTOR_VOLTAGE,G7)=0,"额定电压不在标准枚举中","")),IF(AND(ISTEXT(G7),OR(G7&lt;&gt;TRIM(G7),ISNUMBER(SEARCH("　",G7)))),"额定电压含首尾空格或全角空格",""),IF(H7="","缺少额定频率",""),IF(AND(ISTEXT(H7),OR(H7&lt;&gt;TRIM(H7),ISNUMBER(SEARCH("　",H7)))),"额定频率含首尾空格或全角空格",""),IF(I7="","",IF(COUNTIF(EV_COOLING_MOTOR_HV,I7)=0,"冷却方式不在标准枚举中","")),IF(AND(ISTEXT(I7),OR(I7&lt;&gt;TRIM(I7),ISNUMBER(SEARCH("　",I7)))),"冷却方式含首尾空格或全角空格",""),IF(J7="","缺少额定功率",""),IF(J7="","",IF(NOT(ISNUMBER(J7)),"额定功率应为数值",IF(J7&lt;=0,"额定功率应大于0",""))),IF(K7="","缺少极数",""),IF(K7="","",IF(COUNTIF(EV_POLES_PMSM,K7)=0,"极数不在标准枚举中","")),IF(L7="","缺少额定转速",""),IF(L7="","",IF(NOT(ISNUMBER(L7)),"额定转速应为数值",IF(L7&lt;=0,"额定转速应大于0",""))),IF(M7="","缺少效率",""),IF(M7="","",IF(NOT(ISNUMBER(M7)),"效率应为数值",IF(OR(M7&lt;1,M7&gt;100),"效率应为1～100的百分数本值",""))),IF(R7="","缺少铭牌照片",""),IF(AND(ISTEXT(S7),OR(S7&lt;&gt;TRIM(S7),ISNUMBER(SEARCH("　",S7)))),"填表备注含首尾空格或全角空格",""),IF(AND(OR(F7="高压三相笼型异步电动机",F7="异步起动三相永磁同步电动机",F7="变频调速永磁同步电动机"),OR(G7="3（3.3）",G7="6",G7="10"),I7=""),"高压电动机缺少冷却方式",""),IF(AND(F7="电梯用永磁同步电动机",L7=""),"电梯用永磁同步电动机缺少额定转速","")),"")</f>
        <v/>
      </c>
    </row>
    <row r="8" ht="42" customHeight="1" s="184">
      <c r="A8" s="224">
        <f>IF(COUNTA(B8,C8,D8,E8,F8,G8,H8,I8,J8,K8,L8,M8,R8,S8)&gt;0,ROW()-3,"")</f>
        <v/>
      </c>
      <c r="B8" s="176" t="n"/>
      <c r="C8" s="176" t="n"/>
      <c r="D8" s="228" t="n"/>
      <c r="E8" s="176" t="n"/>
      <c r="F8" s="218" t="n"/>
      <c r="G8" s="218" t="n"/>
      <c r="H8" s="176" t="n"/>
      <c r="I8" s="218" t="n"/>
      <c r="J8" s="229" t="n"/>
      <c r="K8" s="181" t="n"/>
      <c r="L8" s="229" t="n"/>
      <c r="M8" s="229" t="n"/>
      <c r="N8" s="227" t="n"/>
      <c r="O8" s="227" t="n"/>
      <c r="P8" s="227" t="n"/>
      <c r="Q8" s="81" t="n"/>
      <c r="R8" s="180" t="n"/>
      <c r="S8" s="180" t="n"/>
      <c r="T8" s="99">
        <f>IF(COUNTA(B8,C8,D8,E8,F8,G8,H8,I8,J8,K8,L8,M8,R8,S8)&gt;0,TEXTJOIN("；",TRUE,IF(B8="","缺少设备名称",""),IF(AND(ISTEXT(B8),OR(B8&lt;&gt;TRIM(B8),ISNUMBER(SEARCH("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",E8)))),"安装位置含首尾空格或全角空格",""),IF(F8="","缺少设备类别",""),IF(F8="","",IF(COUNTIF(EV_MOTOR_CATEGORY,F8)=0,"设备类别不在标准枚举中","")),IF(AND(ISTEXT(F8),OR(F8&lt;&gt;TRIM(F8),ISNUMBER(SEARCH("　",F8)))),"设备类别含首尾空格或全角空格",""),IF(G8="","缺少额定电压",""),IF(G8="","",IF(COUNTIF(EV_MOTOR_VOLTAGE,G8)=0,"额定电压不在标准枚举中","")),IF(AND(ISTEXT(G8),OR(G8&lt;&gt;TRIM(G8),ISNUMBER(SEARCH("　",G8)))),"额定电压含首尾空格或全角空格",""),IF(H8="","缺少额定频率",""),IF(AND(ISTEXT(H8),OR(H8&lt;&gt;TRIM(H8),ISNUMBER(SEARCH("　",H8)))),"额定频率含首尾空格或全角空格",""),IF(I8="","",IF(COUNTIF(EV_COOLING_MOTOR_HV,I8)=0,"冷却方式不在标准枚举中","")),IF(AND(ISTEXT(I8),OR(I8&lt;&gt;TRIM(I8),ISNUMBER(SEARCH("　",I8)))),"冷却方式含首尾空格或全角空格",""),IF(J8="","缺少额定功率",""),IF(J8="","",IF(NOT(ISNUMBER(J8)),"额定功率应为数值",IF(J8&lt;=0,"额定功率应大于0",""))),IF(K8="","缺少极数",""),IF(K8="","",IF(COUNTIF(EV_POLES_PMSM,K8)=0,"极数不在标准枚举中","")),IF(L8="","缺少额定转速",""),IF(L8="","",IF(NOT(ISNUMBER(L8)),"额定转速应为数值",IF(L8&lt;=0,"额定转速应大于0",""))),IF(M8="","缺少效率",""),IF(M8="","",IF(NOT(ISNUMBER(M8)),"效率应为数值",IF(OR(M8&lt;1,M8&gt;100),"效率应为1～100的百分数本值",""))),IF(R8="","缺少铭牌照片",""),IF(AND(ISTEXT(S8),OR(S8&lt;&gt;TRIM(S8),ISNUMBER(SEARCH("　",S8)))),"填表备注含首尾空格或全角空格",""),IF(AND(OR(F8="高压三相笼型异步电动机",F8="异步起动三相永磁同步电动机",F8="变频调速永磁同步电动机"),OR(G8="3（3.3）",G8="6",G8="10"),I8=""),"高压电动机缺少冷却方式",""),IF(AND(F8="电梯用永磁同步电动机",L8=""),"电梯用永磁同步电动机缺少额定转速","")),"")</f>
        <v/>
      </c>
    </row>
    <row r="9" ht="42" customHeight="1" s="184">
      <c r="A9" s="224">
        <f>IF(COUNTA(B9,C9,D9,E9,F9,G9,H9,I9,J9,K9,L9,M9,R9,S9)&gt;0,ROW()-3,"")</f>
        <v/>
      </c>
      <c r="B9" s="176" t="n"/>
      <c r="C9" s="176" t="n"/>
      <c r="D9" s="228" t="n"/>
      <c r="E9" s="176" t="n"/>
      <c r="F9" s="218" t="n"/>
      <c r="G9" s="218" t="n"/>
      <c r="H9" s="176" t="n"/>
      <c r="I9" s="218" t="n"/>
      <c r="J9" s="229" t="n"/>
      <c r="K9" s="181" t="n"/>
      <c r="L9" s="229" t="n"/>
      <c r="M9" s="229" t="n"/>
      <c r="N9" s="227" t="n"/>
      <c r="O9" s="227" t="n"/>
      <c r="P9" s="227" t="n"/>
      <c r="Q9" s="81" t="n"/>
      <c r="R9" s="180" t="n"/>
      <c r="S9" s="180" t="n"/>
      <c r="T9" s="99">
        <f>IF(COUNTA(B9,C9,D9,E9,F9,G9,H9,I9,J9,K9,L9,M9,R9,S9)&gt;0,TEXTJOIN("；",TRUE,IF(B9="","缺少设备名称",""),IF(AND(ISTEXT(B9),OR(B9&lt;&gt;TRIM(B9),ISNUMBER(SEARCH("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",E9)))),"安装位置含首尾空格或全角空格",""),IF(F9="","缺少设备类别",""),IF(F9="","",IF(COUNTIF(EV_MOTOR_CATEGORY,F9)=0,"设备类别不在标准枚举中","")),IF(AND(ISTEXT(F9),OR(F9&lt;&gt;TRIM(F9),ISNUMBER(SEARCH("　",F9)))),"设备类别含首尾空格或全角空格",""),IF(G9="","缺少额定电压",""),IF(G9="","",IF(COUNTIF(EV_MOTOR_VOLTAGE,G9)=0,"额定电压不在标准枚举中","")),IF(AND(ISTEXT(G9),OR(G9&lt;&gt;TRIM(G9),ISNUMBER(SEARCH("　",G9)))),"额定电压含首尾空格或全角空格",""),IF(H9="","缺少额定频率",""),IF(AND(ISTEXT(H9),OR(H9&lt;&gt;TRIM(H9),ISNUMBER(SEARCH("　",H9)))),"额定频率含首尾空格或全角空格",""),IF(I9="","",IF(COUNTIF(EV_COOLING_MOTOR_HV,I9)=0,"冷却方式不在标准枚举中","")),IF(AND(ISTEXT(I9),OR(I9&lt;&gt;TRIM(I9),ISNUMBER(SEARCH("　",I9)))),"冷却方式含首尾空格或全角空格",""),IF(J9="","缺少额定功率",""),IF(J9="","",IF(NOT(ISNUMBER(J9)),"额定功率应为数值",IF(J9&lt;=0,"额定功率应大于0",""))),IF(K9="","缺少极数",""),IF(K9="","",IF(COUNTIF(EV_POLES_PMSM,K9)=0,"极数不在标准枚举中","")),IF(L9="","缺少额定转速",""),IF(L9="","",IF(NOT(ISNUMBER(L9)),"额定转速应为数值",IF(L9&lt;=0,"额定转速应大于0",""))),IF(M9="","缺少效率",""),IF(M9="","",IF(NOT(ISNUMBER(M9)),"效率应为数值",IF(OR(M9&lt;1,M9&gt;100),"效率应为1～100的百分数本值",""))),IF(R9="","缺少铭牌照片",""),IF(AND(ISTEXT(S9),OR(S9&lt;&gt;TRIM(S9),ISNUMBER(SEARCH("　",S9)))),"填表备注含首尾空格或全角空格",""),IF(AND(OR(F9="高压三相笼型异步电动机",F9="异步起动三相永磁同步电动机",F9="变频调速永磁同步电动机"),OR(G9="3（3.3）",G9="6",G9="10"),I9=""),"高压电动机缺少冷却方式",""),IF(AND(F9="电梯用永磁同步电动机",L9=""),"电梯用永磁同步电动机缺少额定转速","")),"")</f>
        <v/>
      </c>
    </row>
    <row r="10" ht="42" customHeight="1" s="184">
      <c r="A10" s="224">
        <f>IF(COUNTA(B10,C10,D10,E10,F10,G10,H10,I10,J10,K10,L10,M10,R10,S10)&gt;0,ROW()-3,"")</f>
        <v/>
      </c>
      <c r="B10" s="176" t="n"/>
      <c r="C10" s="176" t="n"/>
      <c r="D10" s="228" t="n"/>
      <c r="E10" s="176" t="n"/>
      <c r="F10" s="218" t="n"/>
      <c r="G10" s="218" t="n"/>
      <c r="H10" s="176" t="n"/>
      <c r="I10" s="218" t="n"/>
      <c r="J10" s="229" t="n"/>
      <c r="K10" s="181" t="n"/>
      <c r="L10" s="229" t="n"/>
      <c r="M10" s="229" t="n"/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IF(COUNTA(B10,C10,D10,E10,F10,G10,H10,I10,J10,K10,L10,M10,R10,S10)&gt;0,TEXTJOIN("；",TRUE,IF(B10="","缺少设备名称",""),IF(AND(ISTEXT(B10),OR(B10&lt;&gt;TRIM(B10),ISNUMBER(SEARCH("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",E10)))),"安装位置含首尾空格或全角空格",""),IF(F10="","缺少设备类别",""),IF(F10="","",IF(COUNTIF(EV_MOTOR_CATEGORY,F10)=0,"设备类别不在标准枚举中","")),IF(AND(ISTEXT(F10),OR(F10&lt;&gt;TRIM(F10),ISNUMBER(SEARCH("　",F10)))),"设备类别含首尾空格或全角空格",""),IF(G10="","缺少额定电压",""),IF(G10="","",IF(COUNTIF(EV_MOTOR_VOLTAGE,G10)=0,"额定电压不在标准枚举中","")),IF(AND(ISTEXT(G10),OR(G10&lt;&gt;TRIM(G10),ISNUMBER(SEARCH("　",G10)))),"额定电压含首尾空格或全角空格",""),IF(H10="","缺少额定频率",""),IF(AND(ISTEXT(H10),OR(H10&lt;&gt;TRIM(H10),ISNUMBER(SEARCH("　",H10)))),"额定频率含首尾空格或全角空格",""),IF(I10="","",IF(COUNTIF(EV_COOLING_MOTOR_HV,I10)=0,"冷却方式不在标准枚举中","")),IF(AND(ISTEXT(I10),OR(I10&lt;&gt;TRIM(I10),ISNUMBER(SEARCH("　",I10)))),"冷却方式含首尾空格或全角空格",""),IF(J10="","缺少额定功率",""),IF(J10="","",IF(NOT(ISNUMBER(J10)),"额定功率应为数值",IF(J10&lt;=0,"额定功率应大于0",""))),IF(K10="","缺少极数",""),IF(K10="","",IF(COUNTIF(EV_POLES_PMSM,K10)=0,"极数不在标准枚举中","")),IF(L10="","缺少额定转速",""),IF(L10="","",IF(NOT(ISNUMBER(L10)),"额定转速应为数值",IF(L10&lt;=0,"额定转速应大于0",""))),IF(M10="","缺少效率",""),IF(M10="","",IF(NOT(ISNUMBER(M10)),"效率应为数值",IF(OR(M10&lt;1,M10&gt;100),"效率应为1～100的百分数本值",""))),IF(R10="","缺少铭牌照片",""),IF(AND(ISTEXT(S10),OR(S10&lt;&gt;TRIM(S10),ISNUMBER(SEARCH("　",S10)))),"填表备注含首尾空格或全角空格",""),IF(AND(OR(F10="高压三相笼型异步电动机",F10="异步起动三相永磁同步电动机",F10="变频调速永磁同步电动机"),OR(G10="3（3.3）",G10="6",G10="10"),I10=""),"高压电动机缺少冷却方式",""),IF(AND(F10="电梯用永磁同步电动机",L10=""),"电梯用永磁同步电动机缺少额定转速","")),"")</f>
        <v/>
      </c>
    </row>
    <row r="11" ht="42" customHeight="1" s="184">
      <c r="A11" s="224">
        <f>IF(COUNTA(B11,C11,D11,E11,F11,G11,H11,I11,J11,K11,L11,M11,R11,S11)&gt;0,ROW()-3,"")</f>
        <v/>
      </c>
      <c r="B11" s="176" t="n"/>
      <c r="C11" s="176" t="n"/>
      <c r="D11" s="228" t="n"/>
      <c r="E11" s="176" t="n"/>
      <c r="F11" s="218" t="n"/>
      <c r="G11" s="218" t="n"/>
      <c r="H11" s="176" t="n"/>
      <c r="I11" s="218" t="n"/>
      <c r="J11" s="229" t="n"/>
      <c r="K11" s="181" t="n"/>
      <c r="L11" s="229" t="n"/>
      <c r="M11" s="229" t="n"/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IF(COUNTA(B11,C11,D11,E11,F11,G11,H11,I11,J11,K11,L11,M11,R11,S11)&gt;0,TEXTJOIN("；",TRUE,IF(B11="","缺少设备名称",""),IF(AND(ISTEXT(B11),OR(B11&lt;&gt;TRIM(B11),ISNUMBER(SEARCH("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",E11)))),"安装位置含首尾空格或全角空格",""),IF(F11="","缺少设备类别",""),IF(F11="","",IF(COUNTIF(EV_MOTOR_CATEGORY,F11)=0,"设备类别不在标准枚举中","")),IF(AND(ISTEXT(F11),OR(F11&lt;&gt;TRIM(F11),ISNUMBER(SEARCH("　",F11)))),"设备类别含首尾空格或全角空格",""),IF(G11="","缺少额定电压",""),IF(G11="","",IF(COUNTIF(EV_MOTOR_VOLTAGE,G11)=0,"额定电压不在标准枚举中","")),IF(AND(ISTEXT(G11),OR(G11&lt;&gt;TRIM(G11),ISNUMBER(SEARCH("　",G11)))),"额定电压含首尾空格或全角空格",""),IF(H11="","缺少额定频率",""),IF(AND(ISTEXT(H11),OR(H11&lt;&gt;TRIM(H11),ISNUMBER(SEARCH("　",H11)))),"额定频率含首尾空格或全角空格",""),IF(I11="","",IF(COUNTIF(EV_COOLING_MOTOR_HV,I11)=0,"冷却方式不在标准枚举中","")),IF(AND(ISTEXT(I11),OR(I11&lt;&gt;TRIM(I11),ISNUMBER(SEARCH("　",I11)))),"冷却方式含首尾空格或全角空格",""),IF(J11="","缺少额定功率",""),IF(J11="","",IF(NOT(ISNUMBER(J11)),"额定功率应为数值",IF(J11&lt;=0,"额定功率应大于0",""))),IF(K11="","缺少极数",""),IF(K11="","",IF(COUNTIF(EV_POLES_PMSM,K11)=0,"极数不在标准枚举中","")),IF(L11="","缺少额定转速",""),IF(L11="","",IF(NOT(ISNUMBER(L11)),"额定转速应为数值",IF(L11&lt;=0,"额定转速应大于0",""))),IF(M11="","缺少效率",""),IF(M11="","",IF(NOT(ISNUMBER(M11)),"效率应为数值",IF(OR(M11&lt;1,M11&gt;100),"效率应为1～100的百分数本值",""))),IF(R11="","缺少铭牌照片",""),IF(AND(ISTEXT(S11),OR(S11&lt;&gt;TRIM(S11),ISNUMBER(SEARCH("　",S11)))),"填表备注含首尾空格或全角空格",""),IF(AND(OR(F11="高压三相笼型异步电动机",F11="异步起动三相永磁同步电动机",F11="变频调速永磁同步电动机"),OR(G11="3（3.3）",G11="6",G11="10"),I11=""),"高压电动机缺少冷却方式",""),IF(AND(F11="电梯用永磁同步电动机",L11=""),"电梯用永磁同步电动机缺少额定转速","")),"")</f>
        <v/>
      </c>
    </row>
    <row r="12" ht="42" customHeight="1" s="184">
      <c r="A12" s="224">
        <f>IF(COUNTA(B12,C12,D12,E12,F12,G12,H12,I12,J12,K12,L12,M12,R12,S12)&gt;0,ROW()-3,"")</f>
        <v/>
      </c>
      <c r="B12" s="176" t="n"/>
      <c r="C12" s="176" t="n"/>
      <c r="D12" s="228" t="n"/>
      <c r="E12" s="176" t="n"/>
      <c r="F12" s="218" t="n"/>
      <c r="G12" s="218" t="n"/>
      <c r="H12" s="176" t="n"/>
      <c r="I12" s="218" t="n"/>
      <c r="J12" s="229" t="n"/>
      <c r="K12" s="181" t="n"/>
      <c r="L12" s="229" t="n"/>
      <c r="M12" s="229" t="n"/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IF(COUNTA(B12,C12,D12,E12,F12,G12,H12,I12,J12,K12,L12,M12,R12,S12)&gt;0,TEXTJOIN("；",TRUE,IF(B12="","缺少设备名称",""),IF(AND(ISTEXT(B12),OR(B12&lt;&gt;TRIM(B12),ISNUMBER(SEARCH("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",E12)))),"安装位置含首尾空格或全角空格",""),IF(F12="","缺少设备类别",""),IF(F12="","",IF(COUNTIF(EV_MOTOR_CATEGORY,F12)=0,"设备类别不在标准枚举中","")),IF(AND(ISTEXT(F12),OR(F12&lt;&gt;TRIM(F12),ISNUMBER(SEARCH("　",F12)))),"设备类别含首尾空格或全角空格",""),IF(G12="","缺少额定电压",""),IF(G12="","",IF(COUNTIF(EV_MOTOR_VOLTAGE,G12)=0,"额定电压不在标准枚举中","")),IF(AND(ISTEXT(G12),OR(G12&lt;&gt;TRIM(G12),ISNUMBER(SEARCH("　",G12)))),"额定电压含首尾空格或全角空格",""),IF(H12="","缺少额定频率",""),IF(AND(ISTEXT(H12),OR(H12&lt;&gt;TRIM(H12),ISNUMBER(SEARCH("　",H12)))),"额定频率含首尾空格或全角空格",""),IF(I12="","",IF(COUNTIF(EV_COOLING_MOTOR_HV,I12)=0,"冷却方式不在标准枚举中","")),IF(AND(ISTEXT(I12),OR(I12&lt;&gt;TRIM(I12),ISNUMBER(SEARCH("　",I12)))),"冷却方式含首尾空格或全角空格",""),IF(J12="","缺少额定功率",""),IF(J12="","",IF(NOT(ISNUMBER(J12)),"额定功率应为数值",IF(J12&lt;=0,"额定功率应大于0",""))),IF(K12="","缺少极数",""),IF(K12="","",IF(COUNTIF(EV_POLES_PMSM,K12)=0,"极数不在标准枚举中","")),IF(L12="","缺少额定转速",""),IF(L12="","",IF(NOT(ISNUMBER(L12)),"额定转速应为数值",IF(L12&lt;=0,"额定转速应大于0",""))),IF(M12="","缺少效率",""),IF(M12="","",IF(NOT(ISNUMBER(M12)),"效率应为数值",IF(OR(M12&lt;1,M12&gt;100),"效率应为1～100的百分数本值",""))),IF(R12="","缺少铭牌照片",""),IF(AND(ISTEXT(S12),OR(S12&lt;&gt;TRIM(S12),ISNUMBER(SEARCH("　",S12)))),"填表备注含首尾空格或全角空格",""),IF(AND(OR(F12="高压三相笼型异步电动机",F12="异步起动三相永磁同步电动机",F12="变频调速永磁同步电动机"),OR(G12="3（3.3）",G12="6",G12="10"),I12=""),"高压电动机缺少冷却方式",""),IF(AND(F12="电梯用永磁同步电动机",L12=""),"电梯用永磁同步电动机缺少额定转速","")),"")</f>
        <v/>
      </c>
    </row>
    <row r="13" ht="42" customHeight="1" s="184">
      <c r="A13" s="224">
        <f>IF(COUNTA(B13,C13,D13,E13,F13,G13,H13,I13,J13,K13,L13,M13,R13,S13)&gt;0,ROW()-3,"")</f>
        <v/>
      </c>
      <c r="B13" s="176" t="n"/>
      <c r="C13" s="176" t="n"/>
      <c r="D13" s="228" t="n"/>
      <c r="E13" s="176" t="n"/>
      <c r="F13" s="218" t="n"/>
      <c r="G13" s="218" t="n"/>
      <c r="H13" s="176" t="n"/>
      <c r="I13" s="218" t="n"/>
      <c r="J13" s="229" t="n"/>
      <c r="K13" s="181" t="n"/>
      <c r="L13" s="229" t="n"/>
      <c r="M13" s="229" t="n"/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IF(COUNTA(B13,C13,D13,E13,F13,G13,H13,I13,J13,K13,L13,M13,R13,S13)&gt;0,TEXTJOIN("；",TRUE,IF(B13="","缺少设备名称",""),IF(AND(ISTEXT(B13),OR(B13&lt;&gt;TRIM(B13),ISNUMBER(SEARCH("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",E13)))),"安装位置含首尾空格或全角空格",""),IF(F13="","缺少设备类别",""),IF(F13="","",IF(COUNTIF(EV_MOTOR_CATEGORY,F13)=0,"设备类别不在标准枚举中","")),IF(AND(ISTEXT(F13),OR(F13&lt;&gt;TRIM(F13),ISNUMBER(SEARCH("　",F13)))),"设备类别含首尾空格或全角空格",""),IF(G13="","缺少额定电压",""),IF(G13="","",IF(COUNTIF(EV_MOTOR_VOLTAGE,G13)=0,"额定电压不在标准枚举中","")),IF(AND(ISTEXT(G13),OR(G13&lt;&gt;TRIM(G13),ISNUMBER(SEARCH("　",G13)))),"额定电压含首尾空格或全角空格",""),IF(H13="","缺少额定频率",""),IF(AND(ISTEXT(H13),OR(H13&lt;&gt;TRIM(H13),ISNUMBER(SEARCH("　",H13)))),"额定频率含首尾空格或全角空格",""),IF(I13="","",IF(COUNTIF(EV_COOLING_MOTOR_HV,I13)=0,"冷却方式不在标准枚举中","")),IF(AND(ISTEXT(I13),OR(I13&lt;&gt;TRIM(I13),ISNUMBER(SEARCH("　",I13)))),"冷却方式含首尾空格或全角空格",""),IF(J13="","缺少额定功率",""),IF(J13="","",IF(NOT(ISNUMBER(J13)),"额定功率应为数值",IF(J13&lt;=0,"额定功率应大于0",""))),IF(K13="","缺少极数",""),IF(K13="","",IF(COUNTIF(EV_POLES_PMSM,K13)=0,"极数不在标准枚举中","")),IF(L13="","缺少额定转速",""),IF(L13="","",IF(NOT(ISNUMBER(L13)),"额定转速应为数值",IF(L13&lt;=0,"额定转速应大于0",""))),IF(M13="","缺少效率",""),IF(M13="","",IF(NOT(ISNUMBER(M13)),"效率应为数值",IF(OR(M13&lt;1,M13&gt;100),"效率应为1～100的百分数本值",""))),IF(R13="","缺少铭牌照片",""),IF(AND(ISTEXT(S13),OR(S13&lt;&gt;TRIM(S13),ISNUMBER(SEARCH("　",S13)))),"填表备注含首尾空格或全角空格",""),IF(AND(OR(F13="高压三相笼型异步电动机",F13="异步起动三相永磁同步电动机",F13="变频调速永磁同步电动机"),OR(G13="3（3.3）",G13="6",G13="10"),I13=""),"高压电动机缺少冷却方式",""),IF(AND(F13="电梯用永磁同步电动机",L13=""),"电梯用永磁同步电动机缺少额定转速","")),"")</f>
        <v/>
      </c>
    </row>
    <row r="14" ht="42" customHeight="1" s="184">
      <c r="A14" s="224">
        <f>IF(COUNTA(B14,C14,D14,E14,F14,G14,H14,I14,J14,K14,L14,M14,R14,S14)&gt;0,ROW()-3,"")</f>
        <v/>
      </c>
      <c r="B14" s="176" t="n"/>
      <c r="C14" s="176" t="n"/>
      <c r="D14" s="228" t="n"/>
      <c r="E14" s="176" t="n"/>
      <c r="F14" s="218" t="n"/>
      <c r="G14" s="218" t="n"/>
      <c r="H14" s="176" t="n"/>
      <c r="I14" s="218" t="n"/>
      <c r="J14" s="229" t="n"/>
      <c r="K14" s="181" t="n"/>
      <c r="L14" s="229" t="n"/>
      <c r="M14" s="229" t="n"/>
      <c r="N14" s="227" t="n"/>
      <c r="O14" s="227" t="n"/>
      <c r="P14" s="227" t="n"/>
      <c r="Q14" s="81" t="n"/>
      <c r="R14" s="180" t="n"/>
      <c r="S14" s="180" t="n"/>
      <c r="T14" s="99">
        <f>IF(COUNTA(B14,C14,D14,E14,F14,G14,H14,I14,J14,K14,L14,M14,R14,S14)&gt;0,TEXTJOIN("；",TRUE,IF(B14="","缺少设备名称",""),IF(AND(ISTEXT(B14),OR(B14&lt;&gt;TRIM(B14),ISNUMBER(SEARCH("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",E14)))),"安装位置含首尾空格或全角空格",""),IF(F14="","缺少设备类别",""),IF(F14="","",IF(COUNTIF(EV_MOTOR_CATEGORY,F14)=0,"设备类别不在标准枚举中","")),IF(AND(ISTEXT(F14),OR(F14&lt;&gt;TRIM(F14),ISNUMBER(SEARCH("　",F14)))),"设备类别含首尾空格或全角空格",""),IF(G14="","缺少额定电压",""),IF(G14="","",IF(COUNTIF(EV_MOTOR_VOLTAGE,G14)=0,"额定电压不在标准枚举中","")),IF(AND(ISTEXT(G14),OR(G14&lt;&gt;TRIM(G14),ISNUMBER(SEARCH("　",G14)))),"额定电压含首尾空格或全角空格",""),IF(H14="","缺少额定频率",""),IF(AND(ISTEXT(H14),OR(H14&lt;&gt;TRIM(H14),ISNUMBER(SEARCH("　",H14)))),"额定频率含首尾空格或全角空格",""),IF(I14="","",IF(COUNTIF(EV_COOLING_MOTOR_HV,I14)=0,"冷却方式不在标准枚举中","")),IF(AND(ISTEXT(I14),OR(I14&lt;&gt;TRIM(I14),ISNUMBER(SEARCH("　",I14)))),"冷却方式含首尾空格或全角空格",""),IF(J14="","缺少额定功率",""),IF(J14="","",IF(NOT(ISNUMBER(J14)),"额定功率应为数值",IF(J14&lt;=0,"额定功率应大于0",""))),IF(K14="","缺少极数",""),IF(K14="","",IF(COUNTIF(EV_POLES_PMSM,K14)=0,"极数不在标准枚举中","")),IF(L14="","缺少额定转速",""),IF(L14="","",IF(NOT(ISNUMBER(L14)),"额定转速应为数值",IF(L14&lt;=0,"额定转速应大于0",""))),IF(M14="","缺少效率",""),IF(M14="","",IF(NOT(ISNUMBER(M14)),"效率应为数值",IF(OR(M14&lt;1,M14&gt;100),"效率应为1～100的百分数本值",""))),IF(R14="","缺少铭牌照片",""),IF(AND(ISTEXT(S14),OR(S14&lt;&gt;TRIM(S14),ISNUMBER(SEARCH("　",S14)))),"填表备注含首尾空格或全角空格",""),IF(AND(OR(F14="高压三相笼型异步电动机",F14="异步起动三相永磁同步电动机",F14="变频调速永磁同步电动机"),OR(G14="3（3.3）",G14="6",G14="10"),I14=""),"高压电动机缺少冷却方式",""),IF(AND(F14="电梯用永磁同步电动机",L14=""),"电梯用永磁同步电动机缺少额定转速","")),"")</f>
        <v/>
      </c>
    </row>
    <row r="15" ht="42" customHeight="1" s="184">
      <c r="A15" s="224">
        <f>IF(COUNTA(B15,C15,D15,E15,F15,G15,H15,I15,J15,K15,L15,M15,R15,S15)&gt;0,ROW()-3,"")</f>
        <v/>
      </c>
      <c r="B15" s="176" t="n"/>
      <c r="C15" s="176" t="n"/>
      <c r="D15" s="228" t="n"/>
      <c r="E15" s="176" t="n"/>
      <c r="F15" s="218" t="n"/>
      <c r="G15" s="218" t="n"/>
      <c r="H15" s="176" t="n"/>
      <c r="I15" s="218" t="n"/>
      <c r="J15" s="229" t="n"/>
      <c r="K15" s="181" t="n"/>
      <c r="L15" s="229" t="n"/>
      <c r="M15" s="229" t="n"/>
      <c r="N15" s="227" t="n"/>
      <c r="O15" s="227" t="n"/>
      <c r="P15" s="227" t="n"/>
      <c r="Q15" s="81" t="n"/>
      <c r="R15" s="180" t="n"/>
      <c r="S15" s="180" t="n"/>
      <c r="T15" s="99">
        <f>IF(COUNTA(B15,C15,D15,E15,F15,G15,H15,I15,J15,K15,L15,M15,R15,S15)&gt;0,TEXTJOIN("；",TRUE,IF(B15="","缺少设备名称",""),IF(AND(ISTEXT(B15),OR(B15&lt;&gt;TRIM(B15),ISNUMBER(SEARCH("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",E15)))),"安装位置含首尾空格或全角空格",""),IF(F15="","缺少设备类别",""),IF(F15="","",IF(COUNTIF(EV_MOTOR_CATEGORY,F15)=0,"设备类别不在标准枚举中","")),IF(AND(ISTEXT(F15),OR(F15&lt;&gt;TRIM(F15),ISNUMBER(SEARCH("　",F15)))),"设备类别含首尾空格或全角空格",""),IF(G15="","缺少额定电压",""),IF(G15="","",IF(COUNTIF(EV_MOTOR_VOLTAGE,G15)=0,"额定电压不在标准枚举中","")),IF(AND(ISTEXT(G15),OR(G15&lt;&gt;TRIM(G15),ISNUMBER(SEARCH("　",G15)))),"额定电压含首尾空格或全角空格",""),IF(H15="","缺少额定频率",""),IF(AND(ISTEXT(H15),OR(H15&lt;&gt;TRIM(H15),ISNUMBER(SEARCH("　",H15)))),"额定频率含首尾空格或全角空格",""),IF(I15="","",IF(COUNTIF(EV_COOLING_MOTOR_HV,I15)=0,"冷却方式不在标准枚举中","")),IF(AND(ISTEXT(I15),OR(I15&lt;&gt;TRIM(I15),ISNUMBER(SEARCH("　",I15)))),"冷却方式含首尾空格或全角空格",""),IF(J15="","缺少额定功率",""),IF(J15="","",IF(NOT(ISNUMBER(J15)),"额定功率应为数值",IF(J15&lt;=0,"额定功率应大于0",""))),IF(K15="","缺少极数",""),IF(K15="","",IF(COUNTIF(EV_POLES_PMSM,K15)=0,"极数不在标准枚举中","")),IF(L15="","缺少额定转速",""),IF(L15="","",IF(NOT(ISNUMBER(L15)),"额定转速应为数值",IF(L15&lt;=0,"额定转速应大于0",""))),IF(M15="","缺少效率",""),IF(M15="","",IF(NOT(ISNUMBER(M15)),"效率应为数值",IF(OR(M15&lt;1,M15&gt;100),"效率应为1～100的百分数本值",""))),IF(R15="","缺少铭牌照片",""),IF(AND(ISTEXT(S15),OR(S15&lt;&gt;TRIM(S15),ISNUMBER(SEARCH("　",S15)))),"填表备注含首尾空格或全角空格",""),IF(AND(OR(F15="高压三相笼型异步电动机",F15="异步起动三相永磁同步电动机",F15="变频调速永磁同步电动机"),OR(G15="3（3.3）",G15="6",G15="10"),I15=""),"高压电动机缺少冷却方式",""),IF(AND(F15="电梯用永磁同步电动机",L15=""),"电梯用永磁同步电动机缺少额定转速","")),"")</f>
        <v/>
      </c>
    </row>
    <row r="16" ht="42" customHeight="1" s="184">
      <c r="A16" s="224">
        <f>IF(COUNTA(B16,C16,D16,E16,F16,G16,H16,I16,J16,K16,L16,M16,R16,S16)&gt;0,ROW()-3,"")</f>
        <v/>
      </c>
      <c r="B16" s="176" t="n"/>
      <c r="C16" s="176" t="n"/>
      <c r="D16" s="228" t="n"/>
      <c r="E16" s="176" t="n"/>
      <c r="F16" s="218" t="n"/>
      <c r="G16" s="218" t="n"/>
      <c r="H16" s="176" t="n"/>
      <c r="I16" s="218" t="n"/>
      <c r="J16" s="229" t="n"/>
      <c r="K16" s="181" t="n"/>
      <c r="L16" s="229" t="n"/>
      <c r="M16" s="229" t="n"/>
      <c r="N16" s="227" t="n"/>
      <c r="O16" s="227" t="n"/>
      <c r="P16" s="227" t="n"/>
      <c r="Q16" s="81" t="n"/>
      <c r="R16" s="180" t="n"/>
      <c r="S16" s="180" t="n"/>
      <c r="T16" s="99">
        <f>IF(COUNTA(B16,C16,D16,E16,F16,G16,H16,I16,J16,K16,L16,M16,R16,S16)&gt;0,TEXTJOIN("；",TRUE,IF(B16="","缺少设备名称",""),IF(AND(ISTEXT(B16),OR(B16&lt;&gt;TRIM(B16),ISNUMBER(SEARCH("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",E16)))),"安装位置含首尾空格或全角空格",""),IF(F16="","缺少设备类别",""),IF(F16="","",IF(COUNTIF(EV_MOTOR_CATEGORY,F16)=0,"设备类别不在标准枚举中","")),IF(AND(ISTEXT(F16),OR(F16&lt;&gt;TRIM(F16),ISNUMBER(SEARCH("　",F16)))),"设备类别含首尾空格或全角空格",""),IF(G16="","缺少额定电压",""),IF(G16="","",IF(COUNTIF(EV_MOTOR_VOLTAGE,G16)=0,"额定电压不在标准枚举中","")),IF(AND(ISTEXT(G16),OR(G16&lt;&gt;TRIM(G16),ISNUMBER(SEARCH("　",G16)))),"额定电压含首尾空格或全角空格",""),IF(H16="","缺少额定频率",""),IF(AND(ISTEXT(H16),OR(H16&lt;&gt;TRIM(H16),ISNUMBER(SEARCH("　",H16)))),"额定频率含首尾空格或全角空格",""),IF(I16="","",IF(COUNTIF(EV_COOLING_MOTOR_HV,I16)=0,"冷却方式不在标准枚举中","")),IF(AND(ISTEXT(I16),OR(I16&lt;&gt;TRIM(I16),ISNUMBER(SEARCH("　",I16)))),"冷却方式含首尾空格或全角空格",""),IF(J16="","缺少额定功率",""),IF(J16="","",IF(NOT(ISNUMBER(J16)),"额定功率应为数值",IF(J16&lt;=0,"额定功率应大于0",""))),IF(K16="","缺少极数",""),IF(K16="","",IF(COUNTIF(EV_POLES_PMSM,K16)=0,"极数不在标准枚举中","")),IF(L16="","缺少额定转速",""),IF(L16="","",IF(NOT(ISNUMBER(L16)),"额定转速应为数值",IF(L16&lt;=0,"额定转速应大于0",""))),IF(M16="","缺少效率",""),IF(M16="","",IF(NOT(ISNUMBER(M16)),"效率应为数值",IF(OR(M16&lt;1,M16&gt;100),"效率应为1～100的百分数本值",""))),IF(R16="","缺少铭牌照片",""),IF(AND(ISTEXT(S16),OR(S16&lt;&gt;TRIM(S16),ISNUMBER(SEARCH("　",S16)))),"填表备注含首尾空格或全角空格",""),IF(AND(OR(F16="高压三相笼型异步电动机",F16="异步起动三相永磁同步电动机",F16="变频调速永磁同步电动机"),OR(G16="3（3.3）",G16="6",G16="10"),I16=""),"高压电动机缺少冷却方式",""),IF(AND(F16="电梯用永磁同步电动机",L16=""),"电梯用永磁同步电动机缺少额定转速","")),"")</f>
        <v/>
      </c>
    </row>
    <row r="17" ht="42" customHeight="1" s="184">
      <c r="A17" s="224">
        <f>IF(COUNTA(B17,C17,D17,E17,F17,G17,H17,I17,J17,K17,L17,M17,R17,S17)&gt;0,ROW()-3,"")</f>
        <v/>
      </c>
      <c r="B17" s="176" t="n"/>
      <c r="C17" s="176" t="n"/>
      <c r="D17" s="228" t="n"/>
      <c r="E17" s="176" t="n"/>
      <c r="F17" s="218" t="n"/>
      <c r="G17" s="218" t="n"/>
      <c r="H17" s="176" t="n"/>
      <c r="I17" s="218" t="n"/>
      <c r="J17" s="229" t="n"/>
      <c r="K17" s="181" t="n"/>
      <c r="L17" s="229" t="n"/>
      <c r="M17" s="229" t="n"/>
      <c r="N17" s="227" t="n"/>
      <c r="O17" s="227" t="n"/>
      <c r="P17" s="227" t="n"/>
      <c r="Q17" s="81" t="n"/>
      <c r="R17" s="180" t="n"/>
      <c r="S17" s="180" t="n"/>
      <c r="T17" s="99">
        <f>IF(COUNTA(B17,C17,D17,E17,F17,G17,H17,I17,J17,K17,L17,M17,R17,S17)&gt;0,TEXTJOIN("；",TRUE,IF(B17="","缺少设备名称",""),IF(AND(ISTEXT(B17),OR(B17&lt;&gt;TRIM(B17),ISNUMBER(SEARCH("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",E17)))),"安装位置含首尾空格或全角空格",""),IF(F17="","缺少设备类别",""),IF(F17="","",IF(COUNTIF(EV_MOTOR_CATEGORY,F17)=0,"设备类别不在标准枚举中","")),IF(AND(ISTEXT(F17),OR(F17&lt;&gt;TRIM(F17),ISNUMBER(SEARCH("　",F17)))),"设备类别含首尾空格或全角空格",""),IF(G17="","缺少额定电压",""),IF(G17="","",IF(COUNTIF(EV_MOTOR_VOLTAGE,G17)=0,"额定电压不在标准枚举中","")),IF(AND(ISTEXT(G17),OR(G17&lt;&gt;TRIM(G17),ISNUMBER(SEARCH("　",G17)))),"额定电压含首尾空格或全角空格",""),IF(H17="","缺少额定频率",""),IF(AND(ISTEXT(H17),OR(H17&lt;&gt;TRIM(H17),ISNUMBER(SEARCH("　",H17)))),"额定频率含首尾空格或全角空格",""),IF(I17="","",IF(COUNTIF(EV_COOLING_MOTOR_HV,I17)=0,"冷却方式不在标准枚举中","")),IF(AND(ISTEXT(I17),OR(I17&lt;&gt;TRIM(I17),ISNUMBER(SEARCH("　",I17)))),"冷却方式含首尾空格或全角空格",""),IF(J17="","缺少额定功率",""),IF(J17="","",IF(NOT(ISNUMBER(J17)),"额定功率应为数值",IF(J17&lt;=0,"额定功率应大于0",""))),IF(K17="","缺少极数",""),IF(K17="","",IF(COUNTIF(EV_POLES_PMSM,K17)=0,"极数不在标准枚举中","")),IF(L17="","缺少额定转速",""),IF(L17="","",IF(NOT(ISNUMBER(L17)),"额定转速应为数值",IF(L17&lt;=0,"额定转速应大于0",""))),IF(M17="","缺少效率",""),IF(M17="","",IF(NOT(ISNUMBER(M17)),"效率应为数值",IF(OR(M17&lt;1,M17&gt;100),"效率应为1～100的百分数本值",""))),IF(R17="","缺少铭牌照片",""),IF(AND(ISTEXT(S17),OR(S17&lt;&gt;TRIM(S17),ISNUMBER(SEARCH("　",S17)))),"填表备注含首尾空格或全角空格",""),IF(AND(OR(F17="高压三相笼型异步电动机",F17="异步起动三相永磁同步电动机",F17="变频调速永磁同步电动机"),OR(G17="3（3.3）",G17="6",G17="10"),I17=""),"高压电动机缺少冷却方式",""),IF(AND(F17="电梯用永磁同步电动机",L17=""),"电梯用永磁同步电动机缺少额定转速","")),"")</f>
        <v/>
      </c>
    </row>
    <row r="18" ht="42" customHeight="1" s="184">
      <c r="A18" s="224">
        <f>IF(COUNTA(B18,C18,D18,E18,F18,G18,H18,I18,J18,K18,L18,M18,R18,S18)&gt;0,ROW()-3,"")</f>
        <v/>
      </c>
      <c r="B18" s="176" t="n"/>
      <c r="C18" s="176" t="n"/>
      <c r="D18" s="228" t="n"/>
      <c r="E18" s="176" t="n"/>
      <c r="F18" s="218" t="n"/>
      <c r="G18" s="218" t="n"/>
      <c r="H18" s="176" t="n"/>
      <c r="I18" s="218" t="n"/>
      <c r="J18" s="229" t="n"/>
      <c r="K18" s="181" t="n"/>
      <c r="L18" s="229" t="n"/>
      <c r="M18" s="229" t="n"/>
      <c r="N18" s="227" t="n"/>
      <c r="O18" s="227" t="n"/>
      <c r="P18" s="227" t="n"/>
      <c r="Q18" s="81" t="n"/>
      <c r="R18" s="180" t="n"/>
      <c r="S18" s="180" t="n"/>
      <c r="T18" s="99">
        <f>IF(COUNTA(B18,C18,D18,E18,F18,G18,H18,I18,J18,K18,L18,M18,R18,S18)&gt;0,TEXTJOIN("；",TRUE,IF(B18="","缺少设备名称",""),IF(AND(ISTEXT(B18),OR(B18&lt;&gt;TRIM(B18),ISNUMBER(SEARCH("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",E18)))),"安装位置含首尾空格或全角空格",""),IF(F18="","缺少设备类别",""),IF(F18="","",IF(COUNTIF(EV_MOTOR_CATEGORY,F18)=0,"设备类别不在标准枚举中","")),IF(AND(ISTEXT(F18),OR(F18&lt;&gt;TRIM(F18),ISNUMBER(SEARCH("　",F18)))),"设备类别含首尾空格或全角空格",""),IF(G18="","缺少额定电压",""),IF(G18="","",IF(COUNTIF(EV_MOTOR_VOLTAGE,G18)=0,"额定电压不在标准枚举中","")),IF(AND(ISTEXT(G18),OR(G18&lt;&gt;TRIM(G18),ISNUMBER(SEARCH("　",G18)))),"额定电压含首尾空格或全角空格",""),IF(H18="","缺少额定频率",""),IF(AND(ISTEXT(H18),OR(H18&lt;&gt;TRIM(H18),ISNUMBER(SEARCH("　",H18)))),"额定频率含首尾空格或全角空格",""),IF(I18="","",IF(COUNTIF(EV_COOLING_MOTOR_HV,I18)=0,"冷却方式不在标准枚举中","")),IF(AND(ISTEXT(I18),OR(I18&lt;&gt;TRIM(I18),ISNUMBER(SEARCH("　",I18)))),"冷却方式含首尾空格或全角空格",""),IF(J18="","缺少额定功率",""),IF(J18="","",IF(NOT(ISNUMBER(J18)),"额定功率应为数值",IF(J18&lt;=0,"额定功率应大于0",""))),IF(K18="","缺少极数",""),IF(K18="","",IF(COUNTIF(EV_POLES_PMSM,K18)=0,"极数不在标准枚举中","")),IF(L18="","缺少额定转速",""),IF(L18="","",IF(NOT(ISNUMBER(L18)),"额定转速应为数值",IF(L18&lt;=0,"额定转速应大于0",""))),IF(M18="","缺少效率",""),IF(M18="","",IF(NOT(ISNUMBER(M18)),"效率应为数值",IF(OR(M18&lt;1,M18&gt;100),"效率应为1～100的百分数本值",""))),IF(R18="","缺少铭牌照片",""),IF(AND(ISTEXT(S18),OR(S18&lt;&gt;TRIM(S18),ISNUMBER(SEARCH("　",S18)))),"填表备注含首尾空格或全角空格",""),IF(AND(OR(F18="高压三相笼型异步电动机",F18="异步起动三相永磁同步电动机",F18="变频调速永磁同步电动机"),OR(G18="3（3.3）",G18="6",G18="10"),I18=""),"高压电动机缺少冷却方式",""),IF(AND(F18="电梯用永磁同步电动机",L18=""),"电梯用永磁同步电动机缺少额定转速","")),"")</f>
        <v/>
      </c>
    </row>
    <row r="19" ht="42" customHeight="1" s="184">
      <c r="A19" s="224">
        <f>IF(COUNTA(B19,C19,D19,E19,F19,G19,H19,I19,J19,K19,L19,M19,R19,S19)&gt;0,ROW()-3,"")</f>
        <v/>
      </c>
      <c r="B19" s="176" t="n"/>
      <c r="C19" s="176" t="n"/>
      <c r="D19" s="228" t="n"/>
      <c r="E19" s="176" t="n"/>
      <c r="F19" s="218" t="n"/>
      <c r="G19" s="218" t="n"/>
      <c r="H19" s="176" t="n"/>
      <c r="I19" s="218" t="n"/>
      <c r="J19" s="229" t="n"/>
      <c r="K19" s="181" t="n"/>
      <c r="L19" s="229" t="n"/>
      <c r="M19" s="229" t="n"/>
      <c r="N19" s="227" t="n"/>
      <c r="O19" s="227" t="n"/>
      <c r="P19" s="227" t="n"/>
      <c r="Q19" s="81" t="n"/>
      <c r="R19" s="180" t="n"/>
      <c r="S19" s="180" t="n"/>
      <c r="T19" s="99">
        <f>IF(COUNTA(B19,C19,D19,E19,F19,G19,H19,I19,J19,K19,L19,M19,R19,S19)&gt;0,TEXTJOIN("；",TRUE,IF(B19="","缺少设备名称",""),IF(AND(ISTEXT(B19),OR(B19&lt;&gt;TRIM(B19),ISNUMBER(SEARCH("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",E19)))),"安装位置含首尾空格或全角空格",""),IF(F19="","缺少设备类别",""),IF(F19="","",IF(COUNTIF(EV_MOTOR_CATEGORY,F19)=0,"设备类别不在标准枚举中","")),IF(AND(ISTEXT(F19),OR(F19&lt;&gt;TRIM(F19),ISNUMBER(SEARCH("　",F19)))),"设备类别含首尾空格或全角空格",""),IF(G19="","缺少额定电压",""),IF(G19="","",IF(COUNTIF(EV_MOTOR_VOLTAGE,G19)=0,"额定电压不在标准枚举中","")),IF(AND(ISTEXT(G19),OR(G19&lt;&gt;TRIM(G19),ISNUMBER(SEARCH("　",G19)))),"额定电压含首尾空格或全角空格",""),IF(H19="","缺少额定频率",""),IF(AND(ISTEXT(H19),OR(H19&lt;&gt;TRIM(H19),ISNUMBER(SEARCH("　",H19)))),"额定频率含首尾空格或全角空格",""),IF(I19="","",IF(COUNTIF(EV_COOLING_MOTOR_HV,I19)=0,"冷却方式不在标准枚举中","")),IF(AND(ISTEXT(I19),OR(I19&lt;&gt;TRIM(I19),ISNUMBER(SEARCH("　",I19)))),"冷却方式含首尾空格或全角空格",""),IF(J19="","缺少额定功率",""),IF(J19="","",IF(NOT(ISNUMBER(J19)),"额定功率应为数值",IF(J19&lt;=0,"额定功率应大于0",""))),IF(K19="","缺少极数",""),IF(K19="","",IF(COUNTIF(EV_POLES_PMSM,K19)=0,"极数不在标准枚举中","")),IF(L19="","缺少额定转速",""),IF(L19="","",IF(NOT(ISNUMBER(L19)),"额定转速应为数值",IF(L19&lt;=0,"额定转速应大于0",""))),IF(M19="","缺少效率",""),IF(M19="","",IF(NOT(ISNUMBER(M19)),"效率应为数值",IF(OR(M19&lt;1,M19&gt;100),"效率应为1～100的百分数本值",""))),IF(R19="","缺少铭牌照片",""),IF(AND(ISTEXT(S19),OR(S19&lt;&gt;TRIM(S19),ISNUMBER(SEARCH("　",S19)))),"填表备注含首尾空格或全角空格",""),IF(AND(OR(F19="高压三相笼型异步电动机",F19="异步起动三相永磁同步电动机",F19="变频调速永磁同步电动机"),OR(G19="3（3.3）",G19="6",G19="10"),I19=""),"高压电动机缺少冷却方式",""),IF(AND(F19="电梯用永磁同步电动机",L19=""),"电梯用永磁同步电动机缺少额定转速","")),"")</f>
        <v/>
      </c>
    </row>
    <row r="20" ht="42" customHeight="1" s="184">
      <c r="A20" s="224">
        <f>IF(COUNTA(B20,C20,D20,E20,F20,G20,H20,I20,J20,K20,L20,M20,R20,S20)&gt;0,ROW()-3,"")</f>
        <v/>
      </c>
      <c r="B20" s="176" t="n"/>
      <c r="C20" s="176" t="n"/>
      <c r="D20" s="228" t="n"/>
      <c r="E20" s="176" t="n"/>
      <c r="F20" s="218" t="n"/>
      <c r="G20" s="218" t="n"/>
      <c r="H20" s="176" t="n"/>
      <c r="I20" s="218" t="n"/>
      <c r="J20" s="229" t="n"/>
      <c r="K20" s="181" t="n"/>
      <c r="L20" s="229" t="n"/>
      <c r="M20" s="229" t="n"/>
      <c r="N20" s="227" t="n"/>
      <c r="O20" s="227" t="n"/>
      <c r="P20" s="227" t="n"/>
      <c r="Q20" s="81" t="n"/>
      <c r="R20" s="180" t="n"/>
      <c r="S20" s="180" t="n"/>
      <c r="T20" s="99">
        <f>IF(COUNTA(B20,C20,D20,E20,F20,G20,H20,I20,J20,K20,L20,M20,R20,S20)&gt;0,TEXTJOIN("；",TRUE,IF(B20="","缺少设备名称",""),IF(AND(ISTEXT(B20),OR(B20&lt;&gt;TRIM(B20),ISNUMBER(SEARCH("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",E20)))),"安装位置含首尾空格或全角空格",""),IF(F20="","缺少设备类别",""),IF(F20="","",IF(COUNTIF(EV_MOTOR_CATEGORY,F20)=0,"设备类别不在标准枚举中","")),IF(AND(ISTEXT(F20),OR(F20&lt;&gt;TRIM(F20),ISNUMBER(SEARCH("　",F20)))),"设备类别含首尾空格或全角空格",""),IF(G20="","缺少额定电压",""),IF(G20="","",IF(COUNTIF(EV_MOTOR_VOLTAGE,G20)=0,"额定电压不在标准枚举中","")),IF(AND(ISTEXT(G20),OR(G20&lt;&gt;TRIM(G20),ISNUMBER(SEARCH("　",G20)))),"额定电压含首尾空格或全角空格",""),IF(H20="","缺少额定频率",""),IF(AND(ISTEXT(H20),OR(H20&lt;&gt;TRIM(H20),ISNUMBER(SEARCH("　",H20)))),"额定频率含首尾空格或全角空格",""),IF(I20="","",IF(COUNTIF(EV_COOLING_MOTOR_HV,I20)=0,"冷却方式不在标准枚举中","")),IF(AND(ISTEXT(I20),OR(I20&lt;&gt;TRIM(I20),ISNUMBER(SEARCH("　",I20)))),"冷却方式含首尾空格或全角空格",""),IF(J20="","缺少额定功率",""),IF(J20="","",IF(NOT(ISNUMBER(J20)),"额定功率应为数值",IF(J20&lt;=0,"额定功率应大于0",""))),IF(K20="","缺少极数",""),IF(K20="","",IF(COUNTIF(EV_POLES_PMSM,K20)=0,"极数不在标准枚举中","")),IF(L20="","缺少额定转速",""),IF(L20="","",IF(NOT(ISNUMBER(L20)),"额定转速应为数值",IF(L20&lt;=0,"额定转速应大于0",""))),IF(M20="","缺少效率",""),IF(M20="","",IF(NOT(ISNUMBER(M20)),"效率应为数值",IF(OR(M20&lt;1,M20&gt;100),"效率应为1～100的百分数本值",""))),IF(R20="","缺少铭牌照片",""),IF(AND(ISTEXT(S20),OR(S20&lt;&gt;TRIM(S20),ISNUMBER(SEARCH("　",S20)))),"填表备注含首尾空格或全角空格",""),IF(AND(OR(F20="高压三相笼型异步电动机",F20="异步起动三相永磁同步电动机",F20="变频调速永磁同步电动机"),OR(G20="3（3.3）",G20="6",G20="10"),I20=""),"高压电动机缺少冷却方式",""),IF(AND(F20="电梯用永磁同步电动机",L20=""),"电梯用永磁同步电动机缺少额定转速","")),"")</f>
        <v/>
      </c>
    </row>
    <row r="21" ht="42" customHeight="1" s="184">
      <c r="A21" s="224">
        <f>IF(COUNTA(B21,C21,D21,E21,F21,G21,H21,I21,J21,K21,L21,M21,R21,S21)&gt;0,ROW()-3,"")</f>
        <v/>
      </c>
      <c r="B21" s="176" t="n"/>
      <c r="C21" s="176" t="n"/>
      <c r="D21" s="228" t="n"/>
      <c r="E21" s="176" t="n"/>
      <c r="F21" s="218" t="n"/>
      <c r="G21" s="218" t="n"/>
      <c r="H21" s="176" t="n"/>
      <c r="I21" s="218" t="n"/>
      <c r="J21" s="229" t="n"/>
      <c r="K21" s="181" t="n"/>
      <c r="L21" s="229" t="n"/>
      <c r="M21" s="229" t="n"/>
      <c r="N21" s="227" t="n"/>
      <c r="O21" s="227" t="n"/>
      <c r="P21" s="227" t="n"/>
      <c r="Q21" s="81" t="n"/>
      <c r="R21" s="180" t="n"/>
      <c r="S21" s="180" t="n"/>
      <c r="T21" s="99">
        <f>IF(COUNTA(B21,C21,D21,E21,F21,G21,H21,I21,J21,K21,L21,M21,R21,S21)&gt;0,TEXTJOIN("；",TRUE,IF(B21="","缺少设备名称",""),IF(AND(ISTEXT(B21),OR(B21&lt;&gt;TRIM(B21),ISNUMBER(SEARCH("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",E21)))),"安装位置含首尾空格或全角空格",""),IF(F21="","缺少设备类别",""),IF(F21="","",IF(COUNTIF(EV_MOTOR_CATEGORY,F21)=0,"设备类别不在标准枚举中","")),IF(AND(ISTEXT(F21),OR(F21&lt;&gt;TRIM(F21),ISNUMBER(SEARCH("　",F21)))),"设备类别含首尾空格或全角空格",""),IF(G21="","缺少额定电压",""),IF(G21="","",IF(COUNTIF(EV_MOTOR_VOLTAGE,G21)=0,"额定电压不在标准枚举中","")),IF(AND(ISTEXT(G21),OR(G21&lt;&gt;TRIM(G21),ISNUMBER(SEARCH("　",G21)))),"额定电压含首尾空格或全角空格",""),IF(H21="","缺少额定频率",""),IF(AND(ISTEXT(H21),OR(H21&lt;&gt;TRIM(H21),ISNUMBER(SEARCH("　",H21)))),"额定频率含首尾空格或全角空格",""),IF(I21="","",IF(COUNTIF(EV_COOLING_MOTOR_HV,I21)=0,"冷却方式不在标准枚举中","")),IF(AND(ISTEXT(I21),OR(I21&lt;&gt;TRIM(I21),ISNUMBER(SEARCH("　",I21)))),"冷却方式含首尾空格或全角空格",""),IF(J21="","缺少额定功率",""),IF(J21="","",IF(NOT(ISNUMBER(J21)),"额定功率应为数值",IF(J21&lt;=0,"额定功率应大于0",""))),IF(K21="","缺少极数",""),IF(K21="","",IF(COUNTIF(EV_POLES_PMSM,K21)=0,"极数不在标准枚举中","")),IF(L21="","缺少额定转速",""),IF(L21="","",IF(NOT(ISNUMBER(L21)),"额定转速应为数值",IF(L21&lt;=0,"额定转速应大于0",""))),IF(M21="","缺少效率",""),IF(M21="","",IF(NOT(ISNUMBER(M21)),"效率应为数值",IF(OR(M21&lt;1,M21&gt;100),"效率应为1～100的百分数本值",""))),IF(R21="","缺少铭牌照片",""),IF(AND(ISTEXT(S21),OR(S21&lt;&gt;TRIM(S21),ISNUMBER(SEARCH("　",S21)))),"填表备注含首尾空格或全角空格",""),IF(AND(OR(F21="高压三相笼型异步电动机",F21="异步起动三相永磁同步电动机",F21="变频调速永磁同步电动机"),OR(G21="3（3.3）",G21="6",G21="10"),I21=""),"高压电动机缺少冷却方式",""),IF(AND(F21="电梯用永磁同步电动机",L21=""),"电梯用永磁同步电动机缺少额定转速","")),"")</f>
        <v/>
      </c>
    </row>
    <row r="22" ht="42" customHeight="1" s="184">
      <c r="A22" s="224">
        <f>IF(COUNTA(B22,C22,D22,E22,F22,G22,H22,I22,J22,K22,L22,M22,R22,S22)&gt;0,ROW()-3,"")</f>
        <v/>
      </c>
      <c r="B22" s="176" t="n"/>
      <c r="C22" s="176" t="n"/>
      <c r="D22" s="228" t="n"/>
      <c r="E22" s="176" t="n"/>
      <c r="F22" s="218" t="n"/>
      <c r="G22" s="218" t="n"/>
      <c r="H22" s="176" t="n"/>
      <c r="I22" s="218" t="n"/>
      <c r="J22" s="229" t="n"/>
      <c r="K22" s="181" t="n"/>
      <c r="L22" s="229" t="n"/>
      <c r="M22" s="229" t="n"/>
      <c r="N22" s="227" t="n"/>
      <c r="O22" s="227" t="n"/>
      <c r="P22" s="227" t="n"/>
      <c r="Q22" s="81" t="n"/>
      <c r="R22" s="180" t="n"/>
      <c r="S22" s="180" t="n"/>
      <c r="T22" s="99">
        <f>IF(COUNTA(B22,C22,D22,E22,F22,G22,H22,I22,J22,K22,L22,M22,R22,S22)&gt;0,TEXTJOIN("；",TRUE,IF(B22="","缺少设备名称",""),IF(AND(ISTEXT(B22),OR(B22&lt;&gt;TRIM(B22),ISNUMBER(SEARCH("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",E22)))),"安装位置含首尾空格或全角空格",""),IF(F22="","缺少设备类别",""),IF(F22="","",IF(COUNTIF(EV_MOTOR_CATEGORY,F22)=0,"设备类别不在标准枚举中","")),IF(AND(ISTEXT(F22),OR(F22&lt;&gt;TRIM(F22),ISNUMBER(SEARCH("　",F22)))),"设备类别含首尾空格或全角空格",""),IF(G22="","缺少额定电压",""),IF(G22="","",IF(COUNTIF(EV_MOTOR_VOLTAGE,G22)=0,"额定电压不在标准枚举中","")),IF(AND(ISTEXT(G22),OR(G22&lt;&gt;TRIM(G22),ISNUMBER(SEARCH("　",G22)))),"额定电压含首尾空格或全角空格",""),IF(H22="","缺少额定频率",""),IF(AND(ISTEXT(H22),OR(H22&lt;&gt;TRIM(H22),ISNUMBER(SEARCH("　",H22)))),"额定频率含首尾空格或全角空格",""),IF(I22="","",IF(COUNTIF(EV_COOLING_MOTOR_HV,I22)=0,"冷却方式不在标准枚举中","")),IF(AND(ISTEXT(I22),OR(I22&lt;&gt;TRIM(I22),ISNUMBER(SEARCH("　",I22)))),"冷却方式含首尾空格或全角空格",""),IF(J22="","缺少额定功率",""),IF(J22="","",IF(NOT(ISNUMBER(J22)),"额定功率应为数值",IF(J22&lt;=0,"额定功率应大于0",""))),IF(K22="","缺少极数",""),IF(K22="","",IF(COUNTIF(EV_POLES_PMSM,K22)=0,"极数不在标准枚举中","")),IF(L22="","缺少额定转速",""),IF(L22="","",IF(NOT(ISNUMBER(L22)),"额定转速应为数值",IF(L22&lt;=0,"额定转速应大于0",""))),IF(M22="","缺少效率",""),IF(M22="","",IF(NOT(ISNUMBER(M22)),"效率应为数值",IF(OR(M22&lt;1,M22&gt;100),"效率应为1～100的百分数本值",""))),IF(R22="","缺少铭牌照片",""),IF(AND(ISTEXT(S22),OR(S22&lt;&gt;TRIM(S22),ISNUMBER(SEARCH("　",S22)))),"填表备注含首尾空格或全角空格",""),IF(AND(OR(F22="高压三相笼型异步电动机",F22="异步起动三相永磁同步电动机",F22="变频调速永磁同步电动机"),OR(G22="3（3.3）",G22="6",G22="10"),I22=""),"高压电动机缺少冷却方式",""),IF(AND(F22="电梯用永磁同步电动机",L22=""),"电梯用永磁同步电动机缺少额定转速","")),"")</f>
        <v/>
      </c>
    </row>
    <row r="23" ht="42" customHeight="1" s="184">
      <c r="A23" s="224">
        <f>IF(COUNTA(B23,C23,D23,E23,F23,G23,H23,I23,J23,K23,L23,M23,R23,S23)&gt;0,ROW()-3,"")</f>
        <v/>
      </c>
      <c r="B23" s="176" t="n"/>
      <c r="C23" s="176" t="n"/>
      <c r="D23" s="228" t="n"/>
      <c r="E23" s="176" t="n"/>
      <c r="F23" s="218" t="n"/>
      <c r="G23" s="218" t="n"/>
      <c r="H23" s="176" t="n"/>
      <c r="I23" s="218" t="n"/>
      <c r="J23" s="229" t="n"/>
      <c r="K23" s="181" t="n"/>
      <c r="L23" s="229" t="n"/>
      <c r="M23" s="229" t="n"/>
      <c r="N23" s="227" t="n"/>
      <c r="O23" s="227" t="n"/>
      <c r="P23" s="227" t="n"/>
      <c r="Q23" s="81" t="n"/>
      <c r="R23" s="180" t="n"/>
      <c r="S23" s="180" t="n"/>
      <c r="T23" s="99">
        <f>IF(COUNTA(B23,C23,D23,E23,F23,G23,H23,I23,J23,K23,L23,M23,R23,S23)&gt;0,TEXTJOIN("；",TRUE,IF(B23="","缺少设备名称",""),IF(AND(ISTEXT(B23),OR(B23&lt;&gt;TRIM(B23),ISNUMBER(SEARCH("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",E23)))),"安装位置含首尾空格或全角空格",""),IF(F23="","缺少设备类别",""),IF(F23="","",IF(COUNTIF(EV_MOTOR_CATEGORY,F23)=0,"设备类别不在标准枚举中","")),IF(AND(ISTEXT(F23),OR(F23&lt;&gt;TRIM(F23),ISNUMBER(SEARCH("　",F23)))),"设备类别含首尾空格或全角空格",""),IF(G23="","缺少额定电压",""),IF(G23="","",IF(COUNTIF(EV_MOTOR_VOLTAGE,G23)=0,"额定电压不在标准枚举中","")),IF(AND(ISTEXT(G23),OR(G23&lt;&gt;TRIM(G23),ISNUMBER(SEARCH("　",G23)))),"额定电压含首尾空格或全角空格",""),IF(H23="","缺少额定频率",""),IF(AND(ISTEXT(H23),OR(H23&lt;&gt;TRIM(H23),ISNUMBER(SEARCH("　",H23)))),"额定频率含首尾空格或全角空格",""),IF(I23="","",IF(COUNTIF(EV_COOLING_MOTOR_HV,I23)=0,"冷却方式不在标准枚举中","")),IF(AND(ISTEXT(I23),OR(I23&lt;&gt;TRIM(I23),ISNUMBER(SEARCH("　",I23)))),"冷却方式含首尾空格或全角空格",""),IF(J23="","缺少额定功率",""),IF(J23="","",IF(NOT(ISNUMBER(J23)),"额定功率应为数值",IF(J23&lt;=0,"额定功率应大于0",""))),IF(K23="","缺少极数",""),IF(K23="","",IF(COUNTIF(EV_POLES_PMSM,K23)=0,"极数不在标准枚举中","")),IF(L23="","缺少额定转速",""),IF(L23="","",IF(NOT(ISNUMBER(L23)),"额定转速应为数值",IF(L23&lt;=0,"额定转速应大于0",""))),IF(M23="","缺少效率",""),IF(M23="","",IF(NOT(ISNUMBER(M23)),"效率应为数值",IF(OR(M23&lt;1,M23&gt;100),"效率应为1～100的百分数本值",""))),IF(R23="","缺少铭牌照片",""),IF(AND(ISTEXT(S23),OR(S23&lt;&gt;TRIM(S23),ISNUMBER(SEARCH("　",S23)))),"填表备注含首尾空格或全角空格",""),IF(AND(OR(F23="高压三相笼型异步电动机",F23="异步起动三相永磁同步电动机",F23="变频调速永磁同步电动机"),OR(G23="3（3.3）",G23="6",G23="10"),I23=""),"高压电动机缺少冷却方式",""),IF(AND(F23="电梯用永磁同步电动机",L23=""),"电梯用永磁同步电动机缺少额定转速","")),"")</f>
        <v/>
      </c>
    </row>
    <row r="24" ht="42" customHeight="1" s="184">
      <c r="A24" s="224">
        <f>IF(COUNTA(B24,C24,D24,E24,F24,G24,H24,I24,J24,K24,L24,M24,R24,S24)&gt;0,ROW()-3,"")</f>
        <v/>
      </c>
      <c r="B24" s="176" t="n"/>
      <c r="C24" s="176" t="n"/>
      <c r="D24" s="228" t="n"/>
      <c r="E24" s="176" t="n"/>
      <c r="F24" s="218" t="n"/>
      <c r="G24" s="218" t="n"/>
      <c r="H24" s="176" t="n"/>
      <c r="I24" s="218" t="n"/>
      <c r="J24" s="229" t="n"/>
      <c r="K24" s="181" t="n"/>
      <c r="L24" s="229" t="n"/>
      <c r="M24" s="229" t="n"/>
      <c r="N24" s="227" t="n"/>
      <c r="O24" s="227" t="n"/>
      <c r="P24" s="227" t="n"/>
      <c r="Q24" s="81" t="n"/>
      <c r="R24" s="180" t="n"/>
      <c r="S24" s="180" t="n"/>
      <c r="T24" s="99">
        <f>IF(COUNTA(B24,C24,D24,E24,F24,G24,H24,I24,J24,K24,L24,M24,R24,S24)&gt;0,TEXTJOIN("；",TRUE,IF(B24="","缺少设备名称",""),IF(AND(ISTEXT(B24),OR(B24&lt;&gt;TRIM(B24),ISNUMBER(SEARCH("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",E24)))),"安装位置含首尾空格或全角空格",""),IF(F24="","缺少设备类别",""),IF(F24="","",IF(COUNTIF(EV_MOTOR_CATEGORY,F24)=0,"设备类别不在标准枚举中","")),IF(AND(ISTEXT(F24),OR(F24&lt;&gt;TRIM(F24),ISNUMBER(SEARCH("　",F24)))),"设备类别含首尾空格或全角空格",""),IF(G24="","缺少额定电压",""),IF(G24="","",IF(COUNTIF(EV_MOTOR_VOLTAGE,G24)=0,"额定电压不在标准枚举中","")),IF(AND(ISTEXT(G24),OR(G24&lt;&gt;TRIM(G24),ISNUMBER(SEARCH("　",G24)))),"额定电压含首尾空格或全角空格",""),IF(H24="","缺少额定频率",""),IF(AND(ISTEXT(H24),OR(H24&lt;&gt;TRIM(H24),ISNUMBER(SEARCH("　",H24)))),"额定频率含首尾空格或全角空格",""),IF(I24="","",IF(COUNTIF(EV_COOLING_MOTOR_HV,I24)=0,"冷却方式不在标准枚举中","")),IF(AND(ISTEXT(I24),OR(I24&lt;&gt;TRIM(I24),ISNUMBER(SEARCH("　",I24)))),"冷却方式含首尾空格或全角空格",""),IF(J24="","缺少额定功率",""),IF(J24="","",IF(NOT(ISNUMBER(J24)),"额定功率应为数值",IF(J24&lt;=0,"额定功率应大于0",""))),IF(K24="","缺少极数",""),IF(K24="","",IF(COUNTIF(EV_POLES_PMSM,K24)=0,"极数不在标准枚举中","")),IF(L24="","缺少额定转速",""),IF(L24="","",IF(NOT(ISNUMBER(L24)),"额定转速应为数值",IF(L24&lt;=0,"额定转速应大于0",""))),IF(M24="","缺少效率",""),IF(M24="","",IF(NOT(ISNUMBER(M24)),"效率应为数值",IF(OR(M24&lt;1,M24&gt;100),"效率应为1～100的百分数本值",""))),IF(R24="","缺少铭牌照片",""),IF(AND(ISTEXT(S24),OR(S24&lt;&gt;TRIM(S24),ISNUMBER(SEARCH("　",S24)))),"填表备注含首尾空格或全角空格",""),IF(AND(OR(F24="高压三相笼型异步电动机",F24="异步起动三相永磁同步电动机",F24="变频调速永磁同步电动机"),OR(G24="3（3.3）",G24="6",G24="10"),I24=""),"高压电动机缺少冷却方式",""),IF(AND(F24="电梯用永磁同步电动机",L24=""),"电梯用永磁同步电动机缺少额定转速","")),"")</f>
        <v/>
      </c>
    </row>
    <row r="25" ht="42" customHeight="1" s="184">
      <c r="A25" s="224">
        <f>IF(COUNTA(B25,C25,D25,E25,F25,G25,H25,I25,J25,K25,L25,M25,R25,S25)&gt;0,ROW()-3,"")</f>
        <v/>
      </c>
      <c r="B25" s="176" t="n"/>
      <c r="C25" s="176" t="n"/>
      <c r="D25" s="228" t="n"/>
      <c r="E25" s="176" t="n"/>
      <c r="F25" s="218" t="n"/>
      <c r="G25" s="218" t="n"/>
      <c r="H25" s="176" t="n"/>
      <c r="I25" s="218" t="n"/>
      <c r="J25" s="229" t="n"/>
      <c r="K25" s="181" t="n"/>
      <c r="L25" s="229" t="n"/>
      <c r="M25" s="229" t="n"/>
      <c r="N25" s="227" t="n"/>
      <c r="O25" s="227" t="n"/>
      <c r="P25" s="227" t="n"/>
      <c r="Q25" s="81" t="n"/>
      <c r="R25" s="180" t="n"/>
      <c r="S25" s="180" t="n"/>
      <c r="T25" s="99">
        <f>IF(COUNTA(B25,C25,D25,E25,F25,G25,H25,I25,J25,K25,L25,M25,R25,S25)&gt;0,TEXTJOIN("；",TRUE,IF(B25="","缺少设备名称",""),IF(AND(ISTEXT(B25),OR(B25&lt;&gt;TRIM(B25),ISNUMBER(SEARCH("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",E25)))),"安装位置含首尾空格或全角空格",""),IF(F25="","缺少设备类别",""),IF(F25="","",IF(COUNTIF(EV_MOTOR_CATEGORY,F25)=0,"设备类别不在标准枚举中","")),IF(AND(ISTEXT(F25),OR(F25&lt;&gt;TRIM(F25),ISNUMBER(SEARCH("　",F25)))),"设备类别含首尾空格或全角空格",""),IF(G25="","缺少额定电压",""),IF(G25="","",IF(COUNTIF(EV_MOTOR_VOLTAGE,G25)=0,"额定电压不在标准枚举中","")),IF(AND(ISTEXT(G25),OR(G25&lt;&gt;TRIM(G25),ISNUMBER(SEARCH("　",G25)))),"额定电压含首尾空格或全角空格",""),IF(H25="","缺少额定频率",""),IF(AND(ISTEXT(H25),OR(H25&lt;&gt;TRIM(H25),ISNUMBER(SEARCH("　",H25)))),"额定频率含首尾空格或全角空格",""),IF(I25="","",IF(COUNTIF(EV_COOLING_MOTOR_HV,I25)=0,"冷却方式不在标准枚举中","")),IF(AND(ISTEXT(I25),OR(I25&lt;&gt;TRIM(I25),ISNUMBER(SEARCH("　",I25)))),"冷却方式含首尾空格或全角空格",""),IF(J25="","缺少额定功率",""),IF(J25="","",IF(NOT(ISNUMBER(J25)),"额定功率应为数值",IF(J25&lt;=0,"额定功率应大于0",""))),IF(K25="","缺少极数",""),IF(K25="","",IF(COUNTIF(EV_POLES_PMSM,K25)=0,"极数不在标准枚举中","")),IF(L25="","缺少额定转速",""),IF(L25="","",IF(NOT(ISNUMBER(L25)),"额定转速应为数值",IF(L25&lt;=0,"额定转速应大于0",""))),IF(M25="","缺少效率",""),IF(M25="","",IF(NOT(ISNUMBER(M25)),"效率应为数值",IF(OR(M25&lt;1,M25&gt;100),"效率应为1～100的百分数本值",""))),IF(R25="","缺少铭牌照片",""),IF(AND(ISTEXT(S25),OR(S25&lt;&gt;TRIM(S25),ISNUMBER(SEARCH("　",S25)))),"填表备注含首尾空格或全角空格",""),IF(AND(OR(F25="高压三相笼型异步电动机",F25="异步起动三相永磁同步电动机",F25="变频调速永磁同步电动机"),OR(G25="3（3.3）",G25="6",G25="10"),I25=""),"高压电动机缺少冷却方式",""),IF(AND(F25="电梯用永磁同步电动机",L25=""),"电梯用永磁同步电动机缺少额定转速","")),"")</f>
        <v/>
      </c>
    </row>
    <row r="26" ht="42" customHeight="1" s="184">
      <c r="A26" s="224">
        <f>IF(COUNTA(B26,C26,D26,E26,F26,G26,H26,I26,J26,K26,L26,M26,R26,S26)&gt;0,ROW()-3,"")</f>
        <v/>
      </c>
      <c r="B26" s="176" t="n"/>
      <c r="C26" s="176" t="n"/>
      <c r="D26" s="228" t="n"/>
      <c r="E26" s="176" t="n"/>
      <c r="F26" s="218" t="n"/>
      <c r="G26" s="218" t="n"/>
      <c r="H26" s="176" t="n"/>
      <c r="I26" s="218" t="n"/>
      <c r="J26" s="229" t="n"/>
      <c r="K26" s="181" t="n"/>
      <c r="L26" s="229" t="n"/>
      <c r="M26" s="229" t="n"/>
      <c r="N26" s="227" t="n"/>
      <c r="O26" s="227" t="n"/>
      <c r="P26" s="227" t="n"/>
      <c r="Q26" s="81" t="n"/>
      <c r="R26" s="180" t="n"/>
      <c r="S26" s="180" t="n"/>
      <c r="T26" s="99">
        <f>IF(COUNTA(B26,C26,D26,E26,F26,G26,H26,I26,J26,K26,L26,M26,R26,S26)&gt;0,TEXTJOIN("；",TRUE,IF(B26="","缺少设备名称",""),IF(AND(ISTEXT(B26),OR(B26&lt;&gt;TRIM(B26),ISNUMBER(SEARCH("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",E26)))),"安装位置含首尾空格或全角空格",""),IF(F26="","缺少设备类别",""),IF(F26="","",IF(COUNTIF(EV_MOTOR_CATEGORY,F26)=0,"设备类别不在标准枚举中","")),IF(AND(ISTEXT(F26),OR(F26&lt;&gt;TRIM(F26),ISNUMBER(SEARCH("　",F26)))),"设备类别含首尾空格或全角空格",""),IF(G26="","缺少额定电压",""),IF(G26="","",IF(COUNTIF(EV_MOTOR_VOLTAGE,G26)=0,"额定电压不在标准枚举中","")),IF(AND(ISTEXT(G26),OR(G26&lt;&gt;TRIM(G26),ISNUMBER(SEARCH("　",G26)))),"额定电压含首尾空格或全角空格",""),IF(H26="","缺少额定频率",""),IF(AND(ISTEXT(H26),OR(H26&lt;&gt;TRIM(H26),ISNUMBER(SEARCH("　",H26)))),"额定频率含首尾空格或全角空格",""),IF(I26="","",IF(COUNTIF(EV_COOLING_MOTOR_HV,I26)=0,"冷却方式不在标准枚举中","")),IF(AND(ISTEXT(I26),OR(I26&lt;&gt;TRIM(I26),ISNUMBER(SEARCH("　",I26)))),"冷却方式含首尾空格或全角空格",""),IF(J26="","缺少额定功率",""),IF(J26="","",IF(NOT(ISNUMBER(J26)),"额定功率应为数值",IF(J26&lt;=0,"额定功率应大于0",""))),IF(K26="","缺少极数",""),IF(K26="","",IF(COUNTIF(EV_POLES_PMSM,K26)=0,"极数不在标准枚举中","")),IF(L26="","缺少额定转速",""),IF(L26="","",IF(NOT(ISNUMBER(L26)),"额定转速应为数值",IF(L26&lt;=0,"额定转速应大于0",""))),IF(M26="","缺少效率",""),IF(M26="","",IF(NOT(ISNUMBER(M26)),"效率应为数值",IF(OR(M26&lt;1,M26&gt;100),"效率应为1～100的百分数本值",""))),IF(R26="","缺少铭牌照片",""),IF(AND(ISTEXT(S26),OR(S26&lt;&gt;TRIM(S26),ISNUMBER(SEARCH("　",S26)))),"填表备注含首尾空格或全角空格",""),IF(AND(OR(F26="高压三相笼型异步电动机",F26="异步起动三相永磁同步电动机",F26="变频调速永磁同步电动机"),OR(G26="3（3.3）",G26="6",G26="10"),I26=""),"高压电动机缺少冷却方式",""),IF(AND(F26="电梯用永磁同步电动机",L26=""),"电梯用永磁同步电动机缺少额定转速","")),"")</f>
        <v/>
      </c>
    </row>
    <row r="27" ht="42" customHeight="1" s="184">
      <c r="A27" s="224">
        <f>IF(COUNTA(B27,C27,D27,E27,F27,G27,H27,I27,J27,K27,L27,M27,R27,S27)&gt;0,ROW()-3,"")</f>
        <v/>
      </c>
      <c r="B27" s="176" t="n"/>
      <c r="C27" s="176" t="n"/>
      <c r="D27" s="228" t="n"/>
      <c r="E27" s="176" t="n"/>
      <c r="F27" s="218" t="n"/>
      <c r="G27" s="218" t="n"/>
      <c r="H27" s="176" t="n"/>
      <c r="I27" s="218" t="n"/>
      <c r="J27" s="229" t="n"/>
      <c r="K27" s="181" t="n"/>
      <c r="L27" s="229" t="n"/>
      <c r="M27" s="229" t="n"/>
      <c r="N27" s="227" t="n"/>
      <c r="O27" s="227" t="n"/>
      <c r="P27" s="227" t="n"/>
      <c r="Q27" s="81" t="n"/>
      <c r="R27" s="180" t="n"/>
      <c r="S27" s="180" t="n"/>
      <c r="T27" s="99">
        <f>IF(COUNTA(B27,C27,D27,E27,F27,G27,H27,I27,J27,K27,L27,M27,R27,S27)&gt;0,TEXTJOIN("；",TRUE,IF(B27="","缺少设备名称",""),IF(AND(ISTEXT(B27),OR(B27&lt;&gt;TRIM(B27),ISNUMBER(SEARCH("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",E27)))),"安装位置含首尾空格或全角空格",""),IF(F27="","缺少设备类别",""),IF(F27="","",IF(COUNTIF(EV_MOTOR_CATEGORY,F27)=0,"设备类别不在标准枚举中","")),IF(AND(ISTEXT(F27),OR(F27&lt;&gt;TRIM(F27),ISNUMBER(SEARCH("　",F27)))),"设备类别含首尾空格或全角空格",""),IF(G27="","缺少额定电压",""),IF(G27="","",IF(COUNTIF(EV_MOTOR_VOLTAGE,G27)=0,"额定电压不在标准枚举中","")),IF(AND(ISTEXT(G27),OR(G27&lt;&gt;TRIM(G27),ISNUMBER(SEARCH("　",G27)))),"额定电压含首尾空格或全角空格",""),IF(H27="","缺少额定频率",""),IF(AND(ISTEXT(H27),OR(H27&lt;&gt;TRIM(H27),ISNUMBER(SEARCH("　",H27)))),"额定频率含首尾空格或全角空格",""),IF(I27="","",IF(COUNTIF(EV_COOLING_MOTOR_HV,I27)=0,"冷却方式不在标准枚举中","")),IF(AND(ISTEXT(I27),OR(I27&lt;&gt;TRIM(I27),ISNUMBER(SEARCH("　",I27)))),"冷却方式含首尾空格或全角空格",""),IF(J27="","缺少额定功率",""),IF(J27="","",IF(NOT(ISNUMBER(J27)),"额定功率应为数值",IF(J27&lt;=0,"额定功率应大于0",""))),IF(K27="","缺少极数",""),IF(K27="","",IF(COUNTIF(EV_POLES_PMSM,K27)=0,"极数不在标准枚举中","")),IF(L27="","缺少额定转速",""),IF(L27="","",IF(NOT(ISNUMBER(L27)),"额定转速应为数值",IF(L27&lt;=0,"额定转速应大于0",""))),IF(M27="","缺少效率",""),IF(M27="","",IF(NOT(ISNUMBER(M27)),"效率应为数值",IF(OR(M27&lt;1,M27&gt;100),"效率应为1～100的百分数本值",""))),IF(R27="","缺少铭牌照片",""),IF(AND(ISTEXT(S27),OR(S27&lt;&gt;TRIM(S27),ISNUMBER(SEARCH("　",S27)))),"填表备注含首尾空格或全角空格",""),IF(AND(OR(F27="高压三相笼型异步电动机",F27="异步起动三相永磁同步电动机",F27="变频调速永磁同步电动机"),OR(G27="3（3.3）",G27="6",G27="10"),I27=""),"高压电动机缺少冷却方式",""),IF(AND(F27="电梯用永磁同步电动机",L27=""),"电梯用永磁同步电动机缺少额定转速","")),"")</f>
        <v/>
      </c>
    </row>
    <row r="28" ht="42" customHeight="1" s="184">
      <c r="A28" s="224">
        <f>IF(COUNTA(B28,C28,D28,E28,F28,G28,H28,I28,J28,K28,L28,M28,R28,S28)&gt;0,ROW()-3,"")</f>
        <v/>
      </c>
      <c r="B28" s="176" t="n"/>
      <c r="C28" s="176" t="n"/>
      <c r="D28" s="228" t="n"/>
      <c r="E28" s="176" t="n"/>
      <c r="F28" s="218" t="n"/>
      <c r="G28" s="218" t="n"/>
      <c r="H28" s="176" t="n"/>
      <c r="I28" s="218" t="n"/>
      <c r="J28" s="229" t="n"/>
      <c r="K28" s="181" t="n"/>
      <c r="L28" s="229" t="n"/>
      <c r="M28" s="229" t="n"/>
      <c r="N28" s="227" t="n"/>
      <c r="O28" s="227" t="n"/>
      <c r="P28" s="227" t="n"/>
      <c r="Q28" s="81" t="n"/>
      <c r="R28" s="180" t="n"/>
      <c r="S28" s="180" t="n"/>
      <c r="T28" s="99">
        <f>IF(COUNTA(B28,C28,D28,E28,F28,G28,H28,I28,J28,K28,L28,M28,R28,S28)&gt;0,TEXTJOIN("；",TRUE,IF(B28="","缺少设备名称",""),IF(AND(ISTEXT(B28),OR(B28&lt;&gt;TRIM(B28),ISNUMBER(SEARCH("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",E28)))),"安装位置含首尾空格或全角空格",""),IF(F28="","缺少设备类别",""),IF(F28="","",IF(COUNTIF(EV_MOTOR_CATEGORY,F28)=0,"设备类别不在标准枚举中","")),IF(AND(ISTEXT(F28),OR(F28&lt;&gt;TRIM(F28),ISNUMBER(SEARCH("　",F28)))),"设备类别含首尾空格或全角空格",""),IF(G28="","缺少额定电压",""),IF(G28="","",IF(COUNTIF(EV_MOTOR_VOLTAGE,G28)=0,"额定电压不在标准枚举中","")),IF(AND(ISTEXT(G28),OR(G28&lt;&gt;TRIM(G28),ISNUMBER(SEARCH("　",G28)))),"额定电压含首尾空格或全角空格",""),IF(H28="","缺少额定频率",""),IF(AND(ISTEXT(H28),OR(H28&lt;&gt;TRIM(H28),ISNUMBER(SEARCH("　",H28)))),"额定频率含首尾空格或全角空格",""),IF(I28="","",IF(COUNTIF(EV_COOLING_MOTOR_HV,I28)=0,"冷却方式不在标准枚举中","")),IF(AND(ISTEXT(I28),OR(I28&lt;&gt;TRIM(I28),ISNUMBER(SEARCH("　",I28)))),"冷却方式含首尾空格或全角空格",""),IF(J28="","缺少额定功率",""),IF(J28="","",IF(NOT(ISNUMBER(J28)),"额定功率应为数值",IF(J28&lt;=0,"额定功率应大于0",""))),IF(K28="","缺少极数",""),IF(K28="","",IF(COUNTIF(EV_POLES_PMSM,K28)=0,"极数不在标准枚举中","")),IF(L28="","缺少额定转速",""),IF(L28="","",IF(NOT(ISNUMBER(L28)),"额定转速应为数值",IF(L28&lt;=0,"额定转速应大于0",""))),IF(M28="","缺少效率",""),IF(M28="","",IF(NOT(ISNUMBER(M28)),"效率应为数值",IF(OR(M28&lt;1,M28&gt;100),"效率应为1～100的百分数本值",""))),IF(R28="","缺少铭牌照片",""),IF(AND(ISTEXT(S28),OR(S28&lt;&gt;TRIM(S28),ISNUMBER(SEARCH("　",S28)))),"填表备注含首尾空格或全角空格",""),IF(AND(OR(F28="高压三相笼型异步电动机",F28="异步起动三相永磁同步电动机",F28="变频调速永磁同步电动机"),OR(G28="3（3.3）",G28="6",G28="10"),I28=""),"高压电动机缺少冷却方式",""),IF(AND(F28="电梯用永磁同步电动机",L28=""),"电梯用永磁同步电动机缺少额定转速","")),"")</f>
        <v/>
      </c>
    </row>
    <row r="29" ht="42" customHeight="1" s="184">
      <c r="A29" s="224">
        <f>IF(COUNTA(B29,C29,D29,E29,F29,G29,H29,I29,J29,K29,L29,M29,R29,S29)&gt;0,ROW()-3,"")</f>
        <v/>
      </c>
      <c r="B29" s="176" t="n"/>
      <c r="C29" s="176" t="n"/>
      <c r="D29" s="228" t="n"/>
      <c r="E29" s="176" t="n"/>
      <c r="F29" s="218" t="n"/>
      <c r="G29" s="218" t="n"/>
      <c r="H29" s="176" t="n"/>
      <c r="I29" s="218" t="n"/>
      <c r="J29" s="229" t="n"/>
      <c r="K29" s="181" t="n"/>
      <c r="L29" s="229" t="n"/>
      <c r="M29" s="229" t="n"/>
      <c r="N29" s="227" t="n"/>
      <c r="O29" s="227" t="n"/>
      <c r="P29" s="227" t="n"/>
      <c r="Q29" s="81" t="n"/>
      <c r="R29" s="180" t="n"/>
      <c r="S29" s="180" t="n"/>
      <c r="T29" s="99">
        <f>IF(COUNTA(B29,C29,D29,E29,F29,G29,H29,I29,J29,K29,L29,M29,R29,S29)&gt;0,TEXTJOIN("；",TRUE,IF(B29="","缺少设备名称",""),IF(AND(ISTEXT(B29),OR(B29&lt;&gt;TRIM(B29),ISNUMBER(SEARCH("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",E29)))),"安装位置含首尾空格或全角空格",""),IF(F29="","缺少设备类别",""),IF(F29="","",IF(COUNTIF(EV_MOTOR_CATEGORY,F29)=0,"设备类别不在标准枚举中","")),IF(AND(ISTEXT(F29),OR(F29&lt;&gt;TRIM(F29),ISNUMBER(SEARCH("　",F29)))),"设备类别含首尾空格或全角空格",""),IF(G29="","缺少额定电压",""),IF(G29="","",IF(COUNTIF(EV_MOTOR_VOLTAGE,G29)=0,"额定电压不在标准枚举中","")),IF(AND(ISTEXT(G29),OR(G29&lt;&gt;TRIM(G29),ISNUMBER(SEARCH("　",G29)))),"额定电压含首尾空格或全角空格",""),IF(H29="","缺少额定频率",""),IF(AND(ISTEXT(H29),OR(H29&lt;&gt;TRIM(H29),ISNUMBER(SEARCH("　",H29)))),"额定频率含首尾空格或全角空格",""),IF(I29="","",IF(COUNTIF(EV_COOLING_MOTOR_HV,I29)=0,"冷却方式不在标准枚举中","")),IF(AND(ISTEXT(I29),OR(I29&lt;&gt;TRIM(I29),ISNUMBER(SEARCH("　",I29)))),"冷却方式含首尾空格或全角空格",""),IF(J29="","缺少额定功率",""),IF(J29="","",IF(NOT(ISNUMBER(J29)),"额定功率应为数值",IF(J29&lt;=0,"额定功率应大于0",""))),IF(K29="","缺少极数",""),IF(K29="","",IF(COUNTIF(EV_POLES_PMSM,K29)=0,"极数不在标准枚举中","")),IF(L29="","缺少额定转速",""),IF(L29="","",IF(NOT(ISNUMBER(L29)),"额定转速应为数值",IF(L29&lt;=0,"额定转速应大于0",""))),IF(M29="","缺少效率",""),IF(M29="","",IF(NOT(ISNUMBER(M29)),"效率应为数值",IF(OR(M29&lt;1,M29&gt;100),"效率应为1～100的百分数本值",""))),IF(R29="","缺少铭牌照片",""),IF(AND(ISTEXT(S29),OR(S29&lt;&gt;TRIM(S29),ISNUMBER(SEARCH("　",S29)))),"填表备注含首尾空格或全角空格",""),IF(AND(OR(F29="高压三相笼型异步电动机",F29="异步起动三相永磁同步电动机",F29="变频调速永磁同步电动机"),OR(G29="3（3.3）",G29="6",G29="10"),I29=""),"高压电动机缺少冷却方式",""),IF(AND(F29="电梯用永磁同步电动机",L29=""),"电梯用永磁同步电动机缺少额定转速","")),"")</f>
        <v/>
      </c>
    </row>
    <row r="30" ht="42" customHeight="1" s="184">
      <c r="A30" s="224">
        <f>IF(COUNTA(B30,C30,D30,E30,F30,G30,H30,I30,J30,K30,L30,M30,R30,S30)&gt;0,ROW()-3,"")</f>
        <v/>
      </c>
      <c r="B30" s="176" t="n"/>
      <c r="C30" s="176" t="n"/>
      <c r="D30" s="228" t="n"/>
      <c r="E30" s="176" t="n"/>
      <c r="F30" s="218" t="n"/>
      <c r="G30" s="218" t="n"/>
      <c r="H30" s="176" t="n"/>
      <c r="I30" s="218" t="n"/>
      <c r="J30" s="229" t="n"/>
      <c r="K30" s="181" t="n"/>
      <c r="L30" s="229" t="n"/>
      <c r="M30" s="229" t="n"/>
      <c r="N30" s="227" t="n"/>
      <c r="O30" s="227" t="n"/>
      <c r="P30" s="227" t="n"/>
      <c r="Q30" s="81" t="n"/>
      <c r="R30" s="180" t="n"/>
      <c r="S30" s="180" t="n"/>
      <c r="T30" s="99">
        <f>IF(COUNTA(B30,C30,D30,E30,F30,G30,H30,I30,J30,K30,L30,M30,R30,S30)&gt;0,TEXTJOIN("；",TRUE,IF(B30="","缺少设备名称",""),IF(AND(ISTEXT(B30),OR(B30&lt;&gt;TRIM(B30),ISNUMBER(SEARCH("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",E30)))),"安装位置含首尾空格或全角空格",""),IF(F30="","缺少设备类别",""),IF(F30="","",IF(COUNTIF(EV_MOTOR_CATEGORY,F30)=0,"设备类别不在标准枚举中","")),IF(AND(ISTEXT(F30),OR(F30&lt;&gt;TRIM(F30),ISNUMBER(SEARCH("　",F30)))),"设备类别含首尾空格或全角空格",""),IF(G30="","缺少额定电压",""),IF(G30="","",IF(COUNTIF(EV_MOTOR_VOLTAGE,G30)=0,"额定电压不在标准枚举中","")),IF(AND(ISTEXT(G30),OR(G30&lt;&gt;TRIM(G30),ISNUMBER(SEARCH("　",G30)))),"额定电压含首尾空格或全角空格",""),IF(H30="","缺少额定频率",""),IF(AND(ISTEXT(H30),OR(H30&lt;&gt;TRIM(H30),ISNUMBER(SEARCH("　",H30)))),"额定频率含首尾空格或全角空格",""),IF(I30="","",IF(COUNTIF(EV_COOLING_MOTOR_HV,I30)=0,"冷却方式不在标准枚举中","")),IF(AND(ISTEXT(I30),OR(I30&lt;&gt;TRIM(I30),ISNUMBER(SEARCH("　",I30)))),"冷却方式含首尾空格或全角空格",""),IF(J30="","缺少额定功率",""),IF(J30="","",IF(NOT(ISNUMBER(J30)),"额定功率应为数值",IF(J30&lt;=0,"额定功率应大于0",""))),IF(K30="","缺少极数",""),IF(K30="","",IF(COUNTIF(EV_POLES_PMSM,K30)=0,"极数不在标准枚举中","")),IF(L30="","缺少额定转速",""),IF(L30="","",IF(NOT(ISNUMBER(L30)),"额定转速应为数值",IF(L30&lt;=0,"额定转速应大于0",""))),IF(M30="","缺少效率",""),IF(M30="","",IF(NOT(ISNUMBER(M30)),"效率应为数值",IF(OR(M30&lt;1,M30&gt;100),"效率应为1～100的百分数本值",""))),IF(R30="","缺少铭牌照片",""),IF(AND(ISTEXT(S30),OR(S30&lt;&gt;TRIM(S30),ISNUMBER(SEARCH("　",S30)))),"填表备注含首尾空格或全角空格",""),IF(AND(OR(F30="高压三相笼型异步电动机",F30="异步起动三相永磁同步电动机",F30="变频调速永磁同步电动机"),OR(G30="3（3.3）",G30="6",G30="10"),I30=""),"高压电动机缺少冷却方式",""),IF(AND(F30="电梯用永磁同步电动机",L30=""),"电梯用永磁同步电动机缺少额定转速","")),"")</f>
        <v/>
      </c>
    </row>
    <row r="31" ht="42" customHeight="1" s="184">
      <c r="A31" s="224">
        <f>IF(COUNTA(B31,C31,D31,E31,F31,G31,H31,I31,J31,K31,L31,M31,R31,S31)&gt;0,ROW()-3,"")</f>
        <v/>
      </c>
      <c r="B31" s="176" t="n"/>
      <c r="C31" s="176" t="n"/>
      <c r="D31" s="228" t="n"/>
      <c r="E31" s="176" t="n"/>
      <c r="F31" s="218" t="n"/>
      <c r="G31" s="218" t="n"/>
      <c r="H31" s="176" t="n"/>
      <c r="I31" s="218" t="n"/>
      <c r="J31" s="229" t="n"/>
      <c r="K31" s="181" t="n"/>
      <c r="L31" s="229" t="n"/>
      <c r="M31" s="229" t="n"/>
      <c r="N31" s="227" t="n"/>
      <c r="O31" s="227" t="n"/>
      <c r="P31" s="227" t="n"/>
      <c r="Q31" s="81" t="n"/>
      <c r="R31" s="180" t="n"/>
      <c r="S31" s="180" t="n"/>
      <c r="T31" s="99">
        <f>IF(COUNTA(B31,C31,D31,E31,F31,G31,H31,I31,J31,K31,L31,M31,R31,S31)&gt;0,TEXTJOIN("；",TRUE,IF(B31="","缺少设备名称",""),IF(AND(ISTEXT(B31),OR(B31&lt;&gt;TRIM(B31),ISNUMBER(SEARCH("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",E31)))),"安装位置含首尾空格或全角空格",""),IF(F31="","缺少设备类别",""),IF(F31="","",IF(COUNTIF(EV_MOTOR_CATEGORY,F31)=0,"设备类别不在标准枚举中","")),IF(AND(ISTEXT(F31),OR(F31&lt;&gt;TRIM(F31),ISNUMBER(SEARCH("　",F31)))),"设备类别含首尾空格或全角空格",""),IF(G31="","缺少额定电压",""),IF(G31="","",IF(COUNTIF(EV_MOTOR_VOLTAGE,G31)=0,"额定电压不在标准枚举中","")),IF(AND(ISTEXT(G31),OR(G31&lt;&gt;TRIM(G31),ISNUMBER(SEARCH("　",G31)))),"额定电压含首尾空格或全角空格",""),IF(H31="","缺少额定频率",""),IF(AND(ISTEXT(H31),OR(H31&lt;&gt;TRIM(H31),ISNUMBER(SEARCH("　",H31)))),"额定频率含首尾空格或全角空格",""),IF(I31="","",IF(COUNTIF(EV_COOLING_MOTOR_HV,I31)=0,"冷却方式不在标准枚举中","")),IF(AND(ISTEXT(I31),OR(I31&lt;&gt;TRIM(I31),ISNUMBER(SEARCH("　",I31)))),"冷却方式含首尾空格或全角空格",""),IF(J31="","缺少额定功率",""),IF(J31="","",IF(NOT(ISNUMBER(J31)),"额定功率应为数值",IF(J31&lt;=0,"额定功率应大于0",""))),IF(K31="","缺少极数",""),IF(K31="","",IF(COUNTIF(EV_POLES_PMSM,K31)=0,"极数不在标准枚举中","")),IF(L31="","缺少额定转速",""),IF(L31="","",IF(NOT(ISNUMBER(L31)),"额定转速应为数值",IF(L31&lt;=0,"额定转速应大于0",""))),IF(M31="","缺少效率",""),IF(M31="","",IF(NOT(ISNUMBER(M31)),"效率应为数值",IF(OR(M31&lt;1,M31&gt;100),"效率应为1～100的百分数本值",""))),IF(R31="","缺少铭牌照片",""),IF(AND(ISTEXT(S31),OR(S31&lt;&gt;TRIM(S31),ISNUMBER(SEARCH("　",S31)))),"填表备注含首尾空格或全角空格",""),IF(AND(OR(F31="高压三相笼型异步电动机",F31="异步起动三相永磁同步电动机",F31="变频调速永磁同步电动机"),OR(G31="3（3.3）",G31="6",G31="10"),I31=""),"高压电动机缺少冷却方式",""),IF(AND(F31="电梯用永磁同步电动机",L31=""),"电梯用永磁同步电动机缺少额定转速","")),"")</f>
        <v/>
      </c>
    </row>
    <row r="32" ht="42" customHeight="1" s="184">
      <c r="A32" s="224">
        <f>IF(COUNTA(B32,C32,D32,E32,F32,G32,H32,I32,J32,K32,L32,M32,R32,S32)&gt;0,ROW()-3,"")</f>
        <v/>
      </c>
      <c r="B32" s="176" t="n"/>
      <c r="C32" s="176" t="n"/>
      <c r="D32" s="228" t="n"/>
      <c r="E32" s="176" t="n"/>
      <c r="F32" s="218" t="n"/>
      <c r="G32" s="218" t="n"/>
      <c r="H32" s="176" t="n"/>
      <c r="I32" s="218" t="n"/>
      <c r="J32" s="229" t="n"/>
      <c r="K32" s="181" t="n"/>
      <c r="L32" s="229" t="n"/>
      <c r="M32" s="229" t="n"/>
      <c r="N32" s="227" t="n"/>
      <c r="O32" s="227" t="n"/>
      <c r="P32" s="227" t="n"/>
      <c r="Q32" s="81" t="n"/>
      <c r="R32" s="180" t="n"/>
      <c r="S32" s="180" t="n"/>
      <c r="T32" s="99">
        <f>IF(COUNTA(B32,C32,D32,E32,F32,G32,H32,I32,J32,K32,L32,M32,R32,S32)&gt;0,TEXTJOIN("；",TRUE,IF(B32="","缺少设备名称",""),IF(AND(ISTEXT(B32),OR(B32&lt;&gt;TRIM(B32),ISNUMBER(SEARCH("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",E32)))),"安装位置含首尾空格或全角空格",""),IF(F32="","缺少设备类别",""),IF(F32="","",IF(COUNTIF(EV_MOTOR_CATEGORY,F32)=0,"设备类别不在标准枚举中","")),IF(AND(ISTEXT(F32),OR(F32&lt;&gt;TRIM(F32),ISNUMBER(SEARCH("　",F32)))),"设备类别含首尾空格或全角空格",""),IF(G32="","缺少额定电压",""),IF(G32="","",IF(COUNTIF(EV_MOTOR_VOLTAGE,G32)=0,"额定电压不在标准枚举中","")),IF(AND(ISTEXT(G32),OR(G32&lt;&gt;TRIM(G32),ISNUMBER(SEARCH("　",G32)))),"额定电压含首尾空格或全角空格",""),IF(H32="","缺少额定频率",""),IF(AND(ISTEXT(H32),OR(H32&lt;&gt;TRIM(H32),ISNUMBER(SEARCH("　",H32)))),"额定频率含首尾空格或全角空格",""),IF(I32="","",IF(COUNTIF(EV_COOLING_MOTOR_HV,I32)=0,"冷却方式不在标准枚举中","")),IF(AND(ISTEXT(I32),OR(I32&lt;&gt;TRIM(I32),ISNUMBER(SEARCH("　",I32)))),"冷却方式含首尾空格或全角空格",""),IF(J32="","缺少额定功率",""),IF(J32="","",IF(NOT(ISNUMBER(J32)),"额定功率应为数值",IF(J32&lt;=0,"额定功率应大于0",""))),IF(K32="","缺少极数",""),IF(K32="","",IF(COUNTIF(EV_POLES_PMSM,K32)=0,"极数不在标准枚举中","")),IF(L32="","缺少额定转速",""),IF(L32="","",IF(NOT(ISNUMBER(L32)),"额定转速应为数值",IF(L32&lt;=0,"额定转速应大于0",""))),IF(M32="","缺少效率",""),IF(M32="","",IF(NOT(ISNUMBER(M32)),"效率应为数值",IF(OR(M32&lt;1,M32&gt;100),"效率应为1～100的百分数本值",""))),IF(R32="","缺少铭牌照片",""),IF(AND(ISTEXT(S32),OR(S32&lt;&gt;TRIM(S32),ISNUMBER(SEARCH("　",S32)))),"填表备注含首尾空格或全角空格",""),IF(AND(OR(F32="高压三相笼型异步电动机",F32="异步起动三相永磁同步电动机",F32="变频调速永磁同步电动机"),OR(G32="3（3.3）",G32="6",G32="10"),I32=""),"高压电动机缺少冷却方式",""),IF(AND(F32="电梯用永磁同步电动机",L32=""),"电梯用永磁同步电动机缺少额定转速","")),"")</f>
        <v/>
      </c>
    </row>
    <row r="33" ht="42" customHeight="1" s="184">
      <c r="A33" s="224">
        <f>IF(COUNTA(B33,C33,D33,E33,F33,G33,H33,I33,J33,K33,L33,M33,R33,S33)&gt;0,ROW()-3,"")</f>
        <v/>
      </c>
      <c r="B33" s="176" t="n"/>
      <c r="C33" s="176" t="n"/>
      <c r="D33" s="228" t="n"/>
      <c r="E33" s="176" t="n"/>
      <c r="F33" s="218" t="n"/>
      <c r="G33" s="218" t="n"/>
      <c r="H33" s="176" t="n"/>
      <c r="I33" s="218" t="n"/>
      <c r="J33" s="229" t="n"/>
      <c r="K33" s="181" t="n"/>
      <c r="L33" s="229" t="n"/>
      <c r="M33" s="229" t="n"/>
      <c r="N33" s="227" t="n"/>
      <c r="O33" s="227" t="n"/>
      <c r="P33" s="227" t="n"/>
      <c r="Q33" s="81" t="n"/>
      <c r="R33" s="180" t="n"/>
      <c r="S33" s="180" t="n"/>
      <c r="T33" s="99">
        <f>IF(COUNTA(B33,C33,D33,E33,F33,G33,H33,I33,J33,K33,L33,M33,R33,S33)&gt;0,TEXTJOIN("；",TRUE,IF(B33="","缺少设备名称",""),IF(AND(ISTEXT(B33),OR(B33&lt;&gt;TRIM(B33),ISNUMBER(SEARCH("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",E33)))),"安装位置含首尾空格或全角空格",""),IF(F33="","缺少设备类别",""),IF(F33="","",IF(COUNTIF(EV_MOTOR_CATEGORY,F33)=0,"设备类别不在标准枚举中","")),IF(AND(ISTEXT(F33),OR(F33&lt;&gt;TRIM(F33),ISNUMBER(SEARCH("　",F33)))),"设备类别含首尾空格或全角空格",""),IF(G33="","缺少额定电压",""),IF(G33="","",IF(COUNTIF(EV_MOTOR_VOLTAGE,G33)=0,"额定电压不在标准枚举中","")),IF(AND(ISTEXT(G33),OR(G33&lt;&gt;TRIM(G33),ISNUMBER(SEARCH("　",G33)))),"额定电压含首尾空格或全角空格",""),IF(H33="","缺少额定频率",""),IF(AND(ISTEXT(H33),OR(H33&lt;&gt;TRIM(H33),ISNUMBER(SEARCH("　",H33)))),"额定频率含首尾空格或全角空格",""),IF(I33="","",IF(COUNTIF(EV_COOLING_MOTOR_HV,I33)=0,"冷却方式不在标准枚举中","")),IF(AND(ISTEXT(I33),OR(I33&lt;&gt;TRIM(I33),ISNUMBER(SEARCH("　",I33)))),"冷却方式含首尾空格或全角空格",""),IF(J33="","缺少额定功率",""),IF(J33="","",IF(NOT(ISNUMBER(J33)),"额定功率应为数值",IF(J33&lt;=0,"额定功率应大于0",""))),IF(K33="","缺少极数",""),IF(K33="","",IF(COUNTIF(EV_POLES_PMSM,K33)=0,"极数不在标准枚举中","")),IF(L33="","缺少额定转速",""),IF(L33="","",IF(NOT(ISNUMBER(L33)),"额定转速应为数值",IF(L33&lt;=0,"额定转速应大于0",""))),IF(M33="","缺少效率",""),IF(M33="","",IF(NOT(ISNUMBER(M33)),"效率应为数值",IF(OR(M33&lt;1,M33&gt;100),"效率应为1～100的百分数本值",""))),IF(R33="","缺少铭牌照片",""),IF(AND(ISTEXT(S33),OR(S33&lt;&gt;TRIM(S33),ISNUMBER(SEARCH("　",S33)))),"填表备注含首尾空格或全角空格",""),IF(AND(OR(F33="高压三相笼型异步电动机",F33="异步起动三相永磁同步电动机",F33="变频调速永磁同步电动机"),OR(G33="3（3.3）",G33="6",G33="10"),I33=""),"高压电动机缺少冷却方式",""),IF(AND(F33="电梯用永磁同步电动机",L33=""),"电梯用永磁同步电动机缺少额定转速","")),"")</f>
        <v/>
      </c>
    </row>
    <row r="34" ht="42" customHeight="1" s="184">
      <c r="A34" s="224">
        <f>IF(COUNTA(B34,C34,D34,E34,F34,G34,H34,I34,J34,K34,L34,M34,R34,S34)&gt;0,ROW()-3,"")</f>
        <v/>
      </c>
      <c r="B34" s="176" t="n"/>
      <c r="C34" s="176" t="n"/>
      <c r="D34" s="228" t="n"/>
      <c r="E34" s="176" t="n"/>
      <c r="F34" s="218" t="n"/>
      <c r="G34" s="218" t="n"/>
      <c r="H34" s="176" t="n"/>
      <c r="I34" s="218" t="n"/>
      <c r="J34" s="229" t="n"/>
      <c r="K34" s="181" t="n"/>
      <c r="L34" s="229" t="n"/>
      <c r="M34" s="229" t="n"/>
      <c r="N34" s="227" t="n"/>
      <c r="O34" s="227" t="n"/>
      <c r="P34" s="227" t="n"/>
      <c r="Q34" s="81" t="n"/>
      <c r="R34" s="180" t="n"/>
      <c r="S34" s="180" t="n"/>
      <c r="T34" s="99">
        <f>IF(COUNTA(B34,C34,D34,E34,F34,G34,H34,I34,J34,K34,L34,M34,R34,S34)&gt;0,TEXTJOIN("；",TRUE,IF(B34="","缺少设备名称",""),IF(AND(ISTEXT(B34),OR(B34&lt;&gt;TRIM(B34),ISNUMBER(SEARCH("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",E34)))),"安装位置含首尾空格或全角空格",""),IF(F34="","缺少设备类别",""),IF(F34="","",IF(COUNTIF(EV_MOTOR_CATEGORY,F34)=0,"设备类别不在标准枚举中","")),IF(AND(ISTEXT(F34),OR(F34&lt;&gt;TRIM(F34),ISNUMBER(SEARCH("　",F34)))),"设备类别含首尾空格或全角空格",""),IF(G34="","缺少额定电压",""),IF(G34="","",IF(COUNTIF(EV_MOTOR_VOLTAGE,G34)=0,"额定电压不在标准枚举中","")),IF(AND(ISTEXT(G34),OR(G34&lt;&gt;TRIM(G34),ISNUMBER(SEARCH("　",G34)))),"额定电压含首尾空格或全角空格",""),IF(H34="","缺少额定频率",""),IF(AND(ISTEXT(H34),OR(H34&lt;&gt;TRIM(H34),ISNUMBER(SEARCH("　",H34)))),"额定频率含首尾空格或全角空格",""),IF(I34="","",IF(COUNTIF(EV_COOLING_MOTOR_HV,I34)=0,"冷却方式不在标准枚举中","")),IF(AND(ISTEXT(I34),OR(I34&lt;&gt;TRIM(I34),ISNUMBER(SEARCH("　",I34)))),"冷却方式含首尾空格或全角空格",""),IF(J34="","缺少额定功率",""),IF(J34="","",IF(NOT(ISNUMBER(J34)),"额定功率应为数值",IF(J34&lt;=0,"额定功率应大于0",""))),IF(K34="","缺少极数",""),IF(K34="","",IF(COUNTIF(EV_POLES_PMSM,K34)=0,"极数不在标准枚举中","")),IF(L34="","缺少额定转速",""),IF(L34="","",IF(NOT(ISNUMBER(L34)),"额定转速应为数值",IF(L34&lt;=0,"额定转速应大于0",""))),IF(M34="","缺少效率",""),IF(M34="","",IF(NOT(ISNUMBER(M34)),"效率应为数值",IF(OR(M34&lt;1,M34&gt;100),"效率应为1～100的百分数本值",""))),IF(R34="","缺少铭牌照片",""),IF(AND(ISTEXT(S34),OR(S34&lt;&gt;TRIM(S34),ISNUMBER(SEARCH("　",S34)))),"填表备注含首尾空格或全角空格",""),IF(AND(OR(F34="高压三相笼型异步电动机",F34="异步起动三相永磁同步电动机",F34="变频调速永磁同步电动机"),OR(G34="3（3.3）",G34="6",G34="10"),I34=""),"高压电动机缺少冷却方式",""),IF(AND(F34="电梯用永磁同步电动机",L34=""),"电梯用永磁同步电动机缺少额定转速","")),"")</f>
        <v/>
      </c>
    </row>
    <row r="35" ht="42" customHeight="1" s="184">
      <c r="A35" s="224">
        <f>IF(COUNTA(B35,C35,D35,E35,F35,G35,H35,I35,J35,K35,L35,M35,R35,S35)&gt;0,ROW()-3,"")</f>
        <v/>
      </c>
      <c r="B35" s="176" t="n"/>
      <c r="C35" s="176" t="n"/>
      <c r="D35" s="228" t="n"/>
      <c r="E35" s="176" t="n"/>
      <c r="F35" s="218" t="n"/>
      <c r="G35" s="218" t="n"/>
      <c r="H35" s="176" t="n"/>
      <c r="I35" s="218" t="n"/>
      <c r="J35" s="229" t="n"/>
      <c r="K35" s="181" t="n"/>
      <c r="L35" s="229" t="n"/>
      <c r="M35" s="229" t="n"/>
      <c r="N35" s="227" t="n"/>
      <c r="O35" s="227" t="n"/>
      <c r="P35" s="227" t="n"/>
      <c r="Q35" s="81" t="n"/>
      <c r="R35" s="180" t="n"/>
      <c r="S35" s="180" t="n"/>
      <c r="T35" s="99">
        <f>IF(COUNTA(B35,C35,D35,E35,F35,G35,H35,I35,J35,K35,L35,M35,R35,S35)&gt;0,TEXTJOIN("；",TRUE,IF(B35="","缺少设备名称",""),IF(AND(ISTEXT(B35),OR(B35&lt;&gt;TRIM(B35),ISNUMBER(SEARCH("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",E35)))),"安装位置含首尾空格或全角空格",""),IF(F35="","缺少设备类别",""),IF(F35="","",IF(COUNTIF(EV_MOTOR_CATEGORY,F35)=0,"设备类别不在标准枚举中","")),IF(AND(ISTEXT(F35),OR(F35&lt;&gt;TRIM(F35),ISNUMBER(SEARCH("　",F35)))),"设备类别含首尾空格或全角空格",""),IF(G35="","缺少额定电压",""),IF(G35="","",IF(COUNTIF(EV_MOTOR_VOLTAGE,G35)=0,"额定电压不在标准枚举中","")),IF(AND(ISTEXT(G35),OR(G35&lt;&gt;TRIM(G35),ISNUMBER(SEARCH("　",G35)))),"额定电压含首尾空格或全角空格",""),IF(H35="","缺少额定频率",""),IF(AND(ISTEXT(H35),OR(H35&lt;&gt;TRIM(H35),ISNUMBER(SEARCH("　",H35)))),"额定频率含首尾空格或全角空格",""),IF(I35="","",IF(COUNTIF(EV_COOLING_MOTOR_HV,I35)=0,"冷却方式不在标准枚举中","")),IF(AND(ISTEXT(I35),OR(I35&lt;&gt;TRIM(I35),ISNUMBER(SEARCH("　",I35)))),"冷却方式含首尾空格或全角空格",""),IF(J35="","缺少额定功率",""),IF(J35="","",IF(NOT(ISNUMBER(J35)),"额定功率应为数值",IF(J35&lt;=0,"额定功率应大于0",""))),IF(K35="","缺少极数",""),IF(K35="","",IF(COUNTIF(EV_POLES_PMSM,K35)=0,"极数不在标准枚举中","")),IF(L35="","缺少额定转速",""),IF(L35="","",IF(NOT(ISNUMBER(L35)),"额定转速应为数值",IF(L35&lt;=0,"额定转速应大于0",""))),IF(M35="","缺少效率",""),IF(M35="","",IF(NOT(ISNUMBER(M35)),"效率应为数值",IF(OR(M35&lt;1,M35&gt;100),"效率应为1～100的百分数本值",""))),IF(R35="","缺少铭牌照片",""),IF(AND(ISTEXT(S35),OR(S35&lt;&gt;TRIM(S35),ISNUMBER(SEARCH("　",S35)))),"填表备注含首尾空格或全角空格",""),IF(AND(OR(F35="高压三相笼型异步电动机",F35="异步起动三相永磁同步电动机",F35="变频调速永磁同步电动机"),OR(G35="3（3.3）",G35="6",G35="10"),I35=""),"高压电动机缺少冷却方式",""),IF(AND(F35="电梯用永磁同步电动机",L35=""),"电梯用永磁同步电动机缺少额定转速","")),"")</f>
        <v/>
      </c>
    </row>
    <row r="36" ht="42" customHeight="1" s="184">
      <c r="A36" s="224">
        <f>IF(COUNTA(B36,C36,D36,E36,F36,G36,H36,I36,J36,K36,L36,M36,R36,S36)&gt;0,ROW()-3,"")</f>
        <v/>
      </c>
      <c r="B36" s="176" t="n"/>
      <c r="C36" s="176" t="n"/>
      <c r="D36" s="228" t="n"/>
      <c r="E36" s="176" t="n"/>
      <c r="F36" s="218" t="n"/>
      <c r="G36" s="218" t="n"/>
      <c r="H36" s="176" t="n"/>
      <c r="I36" s="218" t="n"/>
      <c r="J36" s="229" t="n"/>
      <c r="K36" s="181" t="n"/>
      <c r="L36" s="229" t="n"/>
      <c r="M36" s="229" t="n"/>
      <c r="N36" s="227" t="n"/>
      <c r="O36" s="227" t="n"/>
      <c r="P36" s="227" t="n"/>
      <c r="Q36" s="81" t="n"/>
      <c r="R36" s="180" t="n"/>
      <c r="S36" s="180" t="n"/>
      <c r="T36" s="99">
        <f>IF(COUNTA(B36,C36,D36,E36,F36,G36,H36,I36,J36,K36,L36,M36,R36,S36)&gt;0,TEXTJOIN("；",TRUE,IF(B36="","缺少设备名称",""),IF(AND(ISTEXT(B36),OR(B36&lt;&gt;TRIM(B36),ISNUMBER(SEARCH("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",E36)))),"安装位置含首尾空格或全角空格",""),IF(F36="","缺少设备类别",""),IF(F36="","",IF(COUNTIF(EV_MOTOR_CATEGORY,F36)=0,"设备类别不在标准枚举中","")),IF(AND(ISTEXT(F36),OR(F36&lt;&gt;TRIM(F36),ISNUMBER(SEARCH("　",F36)))),"设备类别含首尾空格或全角空格",""),IF(G36="","缺少额定电压",""),IF(G36="","",IF(COUNTIF(EV_MOTOR_VOLTAGE,G36)=0,"额定电压不在标准枚举中","")),IF(AND(ISTEXT(G36),OR(G36&lt;&gt;TRIM(G36),ISNUMBER(SEARCH("　",G36)))),"额定电压含首尾空格或全角空格",""),IF(H36="","缺少额定频率",""),IF(AND(ISTEXT(H36),OR(H36&lt;&gt;TRIM(H36),ISNUMBER(SEARCH("　",H36)))),"额定频率含首尾空格或全角空格",""),IF(I36="","",IF(COUNTIF(EV_COOLING_MOTOR_HV,I36)=0,"冷却方式不在标准枚举中","")),IF(AND(ISTEXT(I36),OR(I36&lt;&gt;TRIM(I36),ISNUMBER(SEARCH("　",I36)))),"冷却方式含首尾空格或全角空格",""),IF(J36="","缺少额定功率",""),IF(J36="","",IF(NOT(ISNUMBER(J36)),"额定功率应为数值",IF(J36&lt;=0,"额定功率应大于0",""))),IF(K36="","缺少极数",""),IF(K36="","",IF(COUNTIF(EV_POLES_PMSM,K36)=0,"极数不在标准枚举中","")),IF(L36="","缺少额定转速",""),IF(L36="","",IF(NOT(ISNUMBER(L36)),"额定转速应为数值",IF(L36&lt;=0,"额定转速应大于0",""))),IF(M36="","缺少效率",""),IF(M36="","",IF(NOT(ISNUMBER(M36)),"效率应为数值",IF(OR(M36&lt;1,M36&gt;100),"效率应为1～100的百分数本值",""))),IF(R36="","缺少铭牌照片",""),IF(AND(ISTEXT(S36),OR(S36&lt;&gt;TRIM(S36),ISNUMBER(SEARCH("　",S36)))),"填表备注含首尾空格或全角空格",""),IF(AND(OR(F36="高压三相笼型异步电动机",F36="异步起动三相永磁同步电动机",F36="变频调速永磁同步电动机"),OR(G36="3（3.3）",G36="6",G36="10"),I36=""),"高压电动机缺少冷却方式",""),IF(AND(F36="电梯用永磁同步电动机",L36=""),"电梯用永磁同步电动机缺少额定转速","")),"")</f>
        <v/>
      </c>
    </row>
    <row r="37" ht="42" customHeight="1" s="184">
      <c r="A37" s="224">
        <f>IF(COUNTA(B37,C37,D37,E37,F37,G37,H37,I37,J37,K37,L37,M37,R37,S37)&gt;0,ROW()-3,"")</f>
        <v/>
      </c>
      <c r="B37" s="176" t="n"/>
      <c r="C37" s="176" t="n"/>
      <c r="D37" s="228" t="n"/>
      <c r="E37" s="176" t="n"/>
      <c r="F37" s="218" t="n"/>
      <c r="G37" s="218" t="n"/>
      <c r="H37" s="176" t="n"/>
      <c r="I37" s="218" t="n"/>
      <c r="J37" s="229" t="n"/>
      <c r="K37" s="181" t="n"/>
      <c r="L37" s="229" t="n"/>
      <c r="M37" s="229" t="n"/>
      <c r="N37" s="227" t="n"/>
      <c r="O37" s="227" t="n"/>
      <c r="P37" s="227" t="n"/>
      <c r="Q37" s="81" t="n"/>
      <c r="R37" s="180" t="n"/>
      <c r="S37" s="180" t="n"/>
      <c r="T37" s="99">
        <f>IF(COUNTA(B37,C37,D37,E37,F37,G37,H37,I37,J37,K37,L37,M37,R37,S37)&gt;0,TEXTJOIN("；",TRUE,IF(B37="","缺少设备名称",""),IF(AND(ISTEXT(B37),OR(B37&lt;&gt;TRIM(B37),ISNUMBER(SEARCH("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",E37)))),"安装位置含首尾空格或全角空格",""),IF(F37="","缺少设备类别",""),IF(F37="","",IF(COUNTIF(EV_MOTOR_CATEGORY,F37)=0,"设备类别不在标准枚举中","")),IF(AND(ISTEXT(F37),OR(F37&lt;&gt;TRIM(F37),ISNUMBER(SEARCH("　",F37)))),"设备类别含首尾空格或全角空格",""),IF(G37="","缺少额定电压",""),IF(G37="","",IF(COUNTIF(EV_MOTOR_VOLTAGE,G37)=0,"额定电压不在标准枚举中","")),IF(AND(ISTEXT(G37),OR(G37&lt;&gt;TRIM(G37),ISNUMBER(SEARCH("　",G37)))),"额定电压含首尾空格或全角空格",""),IF(H37="","缺少额定频率",""),IF(AND(ISTEXT(H37),OR(H37&lt;&gt;TRIM(H37),ISNUMBER(SEARCH("　",H37)))),"额定频率含首尾空格或全角空格",""),IF(I37="","",IF(COUNTIF(EV_COOLING_MOTOR_HV,I37)=0,"冷却方式不在标准枚举中","")),IF(AND(ISTEXT(I37),OR(I37&lt;&gt;TRIM(I37),ISNUMBER(SEARCH("　",I37)))),"冷却方式含首尾空格或全角空格",""),IF(J37="","缺少额定功率",""),IF(J37="","",IF(NOT(ISNUMBER(J37)),"额定功率应为数值",IF(J37&lt;=0,"额定功率应大于0",""))),IF(K37="","缺少极数",""),IF(K37="","",IF(COUNTIF(EV_POLES_PMSM,K37)=0,"极数不在标准枚举中","")),IF(L37="","缺少额定转速",""),IF(L37="","",IF(NOT(ISNUMBER(L37)),"额定转速应为数值",IF(L37&lt;=0,"额定转速应大于0",""))),IF(M37="","缺少效率",""),IF(M37="","",IF(NOT(ISNUMBER(M37)),"效率应为数值",IF(OR(M37&lt;1,M37&gt;100),"效率应为1～100的百分数本值",""))),IF(R37="","缺少铭牌照片",""),IF(AND(ISTEXT(S37),OR(S37&lt;&gt;TRIM(S37),ISNUMBER(SEARCH("　",S37)))),"填表备注含首尾空格或全角空格",""),IF(AND(OR(F37="高压三相笼型异步电动机",F37="异步起动三相永磁同步电动机",F37="变频调速永磁同步电动机"),OR(G37="3（3.3）",G37="6",G37="10"),I37=""),"高压电动机缺少冷却方式",""),IF(AND(F37="电梯用永磁同步电动机",L37=""),"电梯用永磁同步电动机缺少额定转速","")),"")</f>
        <v/>
      </c>
    </row>
    <row r="38" ht="42" customHeight="1" s="184">
      <c r="A38" s="224">
        <f>IF(COUNTA(B38,C38,D38,E38,F38,G38,H38,I38,J38,K38,L38,M38,R38,S38)&gt;0,ROW()-3,"")</f>
        <v/>
      </c>
      <c r="B38" s="176" t="n"/>
      <c r="C38" s="176" t="n"/>
      <c r="D38" s="228" t="n"/>
      <c r="E38" s="176" t="n"/>
      <c r="F38" s="218" t="n"/>
      <c r="G38" s="218" t="n"/>
      <c r="H38" s="176" t="n"/>
      <c r="I38" s="218" t="n"/>
      <c r="J38" s="229" t="n"/>
      <c r="K38" s="181" t="n"/>
      <c r="L38" s="229" t="n"/>
      <c r="M38" s="229" t="n"/>
      <c r="N38" s="227" t="n"/>
      <c r="O38" s="227" t="n"/>
      <c r="P38" s="227" t="n"/>
      <c r="Q38" s="81" t="n"/>
      <c r="R38" s="180" t="n"/>
      <c r="S38" s="180" t="n"/>
      <c r="T38" s="99">
        <f>IF(COUNTA(B38,C38,D38,E38,F38,G38,H38,I38,J38,K38,L38,M38,R38,S38)&gt;0,TEXTJOIN("；",TRUE,IF(B38="","缺少设备名称",""),IF(AND(ISTEXT(B38),OR(B38&lt;&gt;TRIM(B38),ISNUMBER(SEARCH("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",E38)))),"安装位置含首尾空格或全角空格",""),IF(F38="","缺少设备类别",""),IF(F38="","",IF(COUNTIF(EV_MOTOR_CATEGORY,F38)=0,"设备类别不在标准枚举中","")),IF(AND(ISTEXT(F38),OR(F38&lt;&gt;TRIM(F38),ISNUMBER(SEARCH("　",F38)))),"设备类别含首尾空格或全角空格",""),IF(G38="","缺少额定电压",""),IF(G38="","",IF(COUNTIF(EV_MOTOR_VOLTAGE,G38)=0,"额定电压不在标准枚举中","")),IF(AND(ISTEXT(G38),OR(G38&lt;&gt;TRIM(G38),ISNUMBER(SEARCH("　",G38)))),"额定电压含首尾空格或全角空格",""),IF(H38="","缺少额定频率",""),IF(AND(ISTEXT(H38),OR(H38&lt;&gt;TRIM(H38),ISNUMBER(SEARCH("　",H38)))),"额定频率含首尾空格或全角空格",""),IF(I38="","",IF(COUNTIF(EV_COOLING_MOTOR_HV,I38)=0,"冷却方式不在标准枚举中","")),IF(AND(ISTEXT(I38),OR(I38&lt;&gt;TRIM(I38),ISNUMBER(SEARCH("　",I38)))),"冷却方式含首尾空格或全角空格",""),IF(J38="","缺少额定功率",""),IF(J38="","",IF(NOT(ISNUMBER(J38)),"额定功率应为数值",IF(J38&lt;=0,"额定功率应大于0",""))),IF(K38="","缺少极数",""),IF(K38="","",IF(COUNTIF(EV_POLES_PMSM,K38)=0,"极数不在标准枚举中","")),IF(L38="","缺少额定转速",""),IF(L38="","",IF(NOT(ISNUMBER(L38)),"额定转速应为数值",IF(L38&lt;=0,"额定转速应大于0",""))),IF(M38="","缺少效率",""),IF(M38="","",IF(NOT(ISNUMBER(M38)),"效率应为数值",IF(OR(M38&lt;1,M38&gt;100),"效率应为1～100的百分数本值",""))),IF(R38="","缺少铭牌照片",""),IF(AND(ISTEXT(S38),OR(S38&lt;&gt;TRIM(S38),ISNUMBER(SEARCH("　",S38)))),"填表备注含首尾空格或全角空格",""),IF(AND(OR(F38="高压三相笼型异步电动机",F38="异步起动三相永磁同步电动机",F38="变频调速永磁同步电动机"),OR(G38="3（3.3）",G38="6",G38="10"),I38=""),"高压电动机缺少冷却方式",""),IF(AND(F38="电梯用永磁同步电动机",L38=""),"电梯用永磁同步电动机缺少额定转速","")),"")</f>
        <v/>
      </c>
    </row>
    <row r="39" ht="42" customHeight="1" s="184">
      <c r="A39" s="224">
        <f>IF(COUNTA(B39,C39,D39,E39,F39,G39,H39,I39,J39,K39,L39,M39,R39,S39)&gt;0,ROW()-3,"")</f>
        <v/>
      </c>
      <c r="B39" s="176" t="n"/>
      <c r="C39" s="176" t="n"/>
      <c r="D39" s="228" t="n"/>
      <c r="E39" s="176" t="n"/>
      <c r="F39" s="218" t="n"/>
      <c r="G39" s="218" t="n"/>
      <c r="H39" s="176" t="n"/>
      <c r="I39" s="218" t="n"/>
      <c r="J39" s="229" t="n"/>
      <c r="K39" s="181" t="n"/>
      <c r="L39" s="229" t="n"/>
      <c r="M39" s="229" t="n"/>
      <c r="N39" s="227" t="n"/>
      <c r="O39" s="227" t="n"/>
      <c r="P39" s="227" t="n"/>
      <c r="Q39" s="81" t="n"/>
      <c r="R39" s="180" t="n"/>
      <c r="S39" s="180" t="n"/>
      <c r="T39" s="99">
        <f>IF(COUNTA(B39,C39,D39,E39,F39,G39,H39,I39,J39,K39,L39,M39,R39,S39)&gt;0,TEXTJOIN("；",TRUE,IF(B39="","缺少设备名称",""),IF(AND(ISTEXT(B39),OR(B39&lt;&gt;TRIM(B39),ISNUMBER(SEARCH("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",E39)))),"安装位置含首尾空格或全角空格",""),IF(F39="","缺少设备类别",""),IF(F39="","",IF(COUNTIF(EV_MOTOR_CATEGORY,F39)=0,"设备类别不在标准枚举中","")),IF(AND(ISTEXT(F39),OR(F39&lt;&gt;TRIM(F39),ISNUMBER(SEARCH("　",F39)))),"设备类别含首尾空格或全角空格",""),IF(G39="","缺少额定电压",""),IF(G39="","",IF(COUNTIF(EV_MOTOR_VOLTAGE,G39)=0,"额定电压不在标准枚举中","")),IF(AND(ISTEXT(G39),OR(G39&lt;&gt;TRIM(G39),ISNUMBER(SEARCH("　",G39)))),"额定电压含首尾空格或全角空格",""),IF(H39="","缺少额定频率",""),IF(AND(ISTEXT(H39),OR(H39&lt;&gt;TRIM(H39),ISNUMBER(SEARCH("　",H39)))),"额定频率含首尾空格或全角空格",""),IF(I39="","",IF(COUNTIF(EV_COOLING_MOTOR_HV,I39)=0,"冷却方式不在标准枚举中","")),IF(AND(ISTEXT(I39),OR(I39&lt;&gt;TRIM(I39),ISNUMBER(SEARCH("　",I39)))),"冷却方式含首尾空格或全角空格",""),IF(J39="","缺少额定功率",""),IF(J39="","",IF(NOT(ISNUMBER(J39)),"额定功率应为数值",IF(J39&lt;=0,"额定功率应大于0",""))),IF(K39="","缺少极数",""),IF(K39="","",IF(COUNTIF(EV_POLES_PMSM,K39)=0,"极数不在标准枚举中","")),IF(L39="","缺少额定转速",""),IF(L39="","",IF(NOT(ISNUMBER(L39)),"额定转速应为数值",IF(L39&lt;=0,"额定转速应大于0",""))),IF(M39="","缺少效率",""),IF(M39="","",IF(NOT(ISNUMBER(M39)),"效率应为数值",IF(OR(M39&lt;1,M39&gt;100),"效率应为1～100的百分数本值",""))),IF(R39="","缺少铭牌照片",""),IF(AND(ISTEXT(S39),OR(S39&lt;&gt;TRIM(S39),ISNUMBER(SEARCH("　",S39)))),"填表备注含首尾空格或全角空格",""),IF(AND(OR(F39="高压三相笼型异步电动机",F39="异步起动三相永磁同步电动机",F39="变频调速永磁同步电动机"),OR(G39="3（3.3）",G39="6",G39="10"),I39=""),"高压电动机缺少冷却方式",""),IF(AND(F39="电梯用永磁同步电动机",L39=""),"电梯用永磁同步电动机缺少额定转速","")),"")</f>
        <v/>
      </c>
    </row>
    <row r="40" ht="42" customHeight="1" s="184">
      <c r="A40" s="224">
        <f>IF(COUNTA(B40,C40,D40,E40,F40,G40,H40,I40,J40,K40,L40,M40,R40,S40)&gt;0,ROW()-3,"")</f>
        <v/>
      </c>
      <c r="B40" s="176" t="n"/>
      <c r="C40" s="176" t="n"/>
      <c r="D40" s="228" t="n"/>
      <c r="E40" s="176" t="n"/>
      <c r="F40" s="218" t="n"/>
      <c r="G40" s="218" t="n"/>
      <c r="H40" s="176" t="n"/>
      <c r="I40" s="218" t="n"/>
      <c r="J40" s="229" t="n"/>
      <c r="K40" s="181" t="n"/>
      <c r="L40" s="229" t="n"/>
      <c r="M40" s="229" t="n"/>
      <c r="N40" s="227" t="n"/>
      <c r="O40" s="227" t="n"/>
      <c r="P40" s="227" t="n"/>
      <c r="Q40" s="81" t="n"/>
      <c r="R40" s="180" t="n"/>
      <c r="S40" s="180" t="n"/>
      <c r="T40" s="99">
        <f>IF(COUNTA(B40,C40,D40,E40,F40,G40,H40,I40,J40,K40,L40,M40,R40,S40)&gt;0,TEXTJOIN("；",TRUE,IF(B40="","缺少设备名称",""),IF(AND(ISTEXT(B40),OR(B40&lt;&gt;TRIM(B40),ISNUMBER(SEARCH("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",E40)))),"安装位置含首尾空格或全角空格",""),IF(F40="","缺少设备类别",""),IF(F40="","",IF(COUNTIF(EV_MOTOR_CATEGORY,F40)=0,"设备类别不在标准枚举中","")),IF(AND(ISTEXT(F40),OR(F40&lt;&gt;TRIM(F40),ISNUMBER(SEARCH("　",F40)))),"设备类别含首尾空格或全角空格",""),IF(G40="","缺少额定电压",""),IF(G40="","",IF(COUNTIF(EV_MOTOR_VOLTAGE,G40)=0,"额定电压不在标准枚举中","")),IF(AND(ISTEXT(G40),OR(G40&lt;&gt;TRIM(G40),ISNUMBER(SEARCH("　",G40)))),"额定电压含首尾空格或全角空格",""),IF(H40="","缺少额定频率",""),IF(AND(ISTEXT(H40),OR(H40&lt;&gt;TRIM(H40),ISNUMBER(SEARCH("　",H40)))),"额定频率含首尾空格或全角空格",""),IF(I40="","",IF(COUNTIF(EV_COOLING_MOTOR_HV,I40)=0,"冷却方式不在标准枚举中","")),IF(AND(ISTEXT(I40),OR(I40&lt;&gt;TRIM(I40),ISNUMBER(SEARCH("　",I40)))),"冷却方式含首尾空格或全角空格",""),IF(J40="","缺少额定功率",""),IF(J40="","",IF(NOT(ISNUMBER(J40)),"额定功率应为数值",IF(J40&lt;=0,"额定功率应大于0",""))),IF(K40="","缺少极数",""),IF(K40="","",IF(COUNTIF(EV_POLES_PMSM,K40)=0,"极数不在标准枚举中","")),IF(L40="","缺少额定转速",""),IF(L40="","",IF(NOT(ISNUMBER(L40)),"额定转速应为数值",IF(L40&lt;=0,"额定转速应大于0",""))),IF(M40="","缺少效率",""),IF(M40="","",IF(NOT(ISNUMBER(M40)),"效率应为数值",IF(OR(M40&lt;1,M40&gt;100),"效率应为1～100的百分数本值",""))),IF(R40="","缺少铭牌照片",""),IF(AND(ISTEXT(S40),OR(S40&lt;&gt;TRIM(S40),ISNUMBER(SEARCH("　",S40)))),"填表备注含首尾空格或全角空格",""),IF(AND(OR(F40="高压三相笼型异步电动机",F40="异步起动三相永磁同步电动机",F40="变频调速永磁同步电动机"),OR(G40="3（3.3）",G40="6",G40="10"),I40=""),"高压电动机缺少冷却方式",""),IF(AND(F40="电梯用永磁同步电动机",L40=""),"电梯用永磁同步电动机缺少额定转速","")),"")</f>
        <v/>
      </c>
    </row>
    <row r="41" ht="42" customHeight="1" s="184">
      <c r="A41" s="224">
        <f>IF(COUNTA(B41,C41,D41,E41,F41,G41,H41,I41,J41,K41,L41,M41,R41,S41)&gt;0,ROW()-3,"")</f>
        <v/>
      </c>
      <c r="B41" s="176" t="n"/>
      <c r="C41" s="176" t="n"/>
      <c r="D41" s="228" t="n"/>
      <c r="E41" s="176" t="n"/>
      <c r="F41" s="218" t="n"/>
      <c r="G41" s="218" t="n"/>
      <c r="H41" s="176" t="n"/>
      <c r="I41" s="218" t="n"/>
      <c r="J41" s="229" t="n"/>
      <c r="K41" s="181" t="n"/>
      <c r="L41" s="229" t="n"/>
      <c r="M41" s="229" t="n"/>
      <c r="N41" s="227" t="n"/>
      <c r="O41" s="227" t="n"/>
      <c r="P41" s="227" t="n"/>
      <c r="Q41" s="81" t="n"/>
      <c r="R41" s="180" t="n"/>
      <c r="S41" s="180" t="n"/>
      <c r="T41" s="99">
        <f>IF(COUNTA(B41,C41,D41,E41,F41,G41,H41,I41,J41,K41,L41,M41,R41,S41)&gt;0,TEXTJOIN("；",TRUE,IF(B41="","缺少设备名称",""),IF(AND(ISTEXT(B41),OR(B41&lt;&gt;TRIM(B41),ISNUMBER(SEARCH("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",E41)))),"安装位置含首尾空格或全角空格",""),IF(F41="","缺少设备类别",""),IF(F41="","",IF(COUNTIF(EV_MOTOR_CATEGORY,F41)=0,"设备类别不在标准枚举中","")),IF(AND(ISTEXT(F41),OR(F41&lt;&gt;TRIM(F41),ISNUMBER(SEARCH("　",F41)))),"设备类别含首尾空格或全角空格",""),IF(G41="","缺少额定电压",""),IF(G41="","",IF(COUNTIF(EV_MOTOR_VOLTAGE,G41)=0,"额定电压不在标准枚举中","")),IF(AND(ISTEXT(G41),OR(G41&lt;&gt;TRIM(G41),ISNUMBER(SEARCH("　",G41)))),"额定电压含首尾空格或全角空格",""),IF(H41="","缺少额定频率",""),IF(AND(ISTEXT(H41),OR(H41&lt;&gt;TRIM(H41),ISNUMBER(SEARCH("　",H41)))),"额定频率含首尾空格或全角空格",""),IF(I41="","",IF(COUNTIF(EV_COOLING_MOTOR_HV,I41)=0,"冷却方式不在标准枚举中","")),IF(AND(ISTEXT(I41),OR(I41&lt;&gt;TRIM(I41),ISNUMBER(SEARCH("　",I41)))),"冷却方式含首尾空格或全角空格",""),IF(J41="","缺少额定功率",""),IF(J41="","",IF(NOT(ISNUMBER(J41)),"额定功率应为数值",IF(J41&lt;=0,"额定功率应大于0",""))),IF(K41="","缺少极数",""),IF(K41="","",IF(COUNTIF(EV_POLES_PMSM,K41)=0,"极数不在标准枚举中","")),IF(L41="","缺少额定转速",""),IF(L41="","",IF(NOT(ISNUMBER(L41)),"额定转速应为数值",IF(L41&lt;=0,"额定转速应大于0",""))),IF(M41="","缺少效率",""),IF(M41="","",IF(NOT(ISNUMBER(M41)),"效率应为数值",IF(OR(M41&lt;1,M41&gt;100),"效率应为1～100的百分数本值",""))),IF(R41="","缺少铭牌照片",""),IF(AND(ISTEXT(S41),OR(S41&lt;&gt;TRIM(S41),ISNUMBER(SEARCH("　",S41)))),"填表备注含首尾空格或全角空格",""),IF(AND(OR(F41="高压三相笼型异步电动机",F41="异步起动三相永磁同步电动机",F41="变频调速永磁同步电动机"),OR(G41="3（3.3）",G41="6",G41="10"),I41=""),"高压电动机缺少冷却方式",""),IF(AND(F41="电梯用永磁同步电动机",L41=""),"电梯用永磁同步电动机缺少额定转速","")),"")</f>
        <v/>
      </c>
    </row>
    <row r="42" ht="42" customHeight="1" s="184">
      <c r="A42" s="224">
        <f>IF(COUNTA(B42,C42,D42,E42,F42,G42,H42,I42,J42,K42,L42,M42,R42,S42)&gt;0,ROW()-3,"")</f>
        <v/>
      </c>
      <c r="B42" s="176" t="n"/>
      <c r="C42" s="176" t="n"/>
      <c r="D42" s="228" t="n"/>
      <c r="E42" s="176" t="n"/>
      <c r="F42" s="218" t="n"/>
      <c r="G42" s="218" t="n"/>
      <c r="H42" s="176" t="n"/>
      <c r="I42" s="218" t="n"/>
      <c r="J42" s="229" t="n"/>
      <c r="K42" s="181" t="n"/>
      <c r="L42" s="229" t="n"/>
      <c r="M42" s="229" t="n"/>
      <c r="N42" s="227" t="n"/>
      <c r="O42" s="227" t="n"/>
      <c r="P42" s="227" t="n"/>
      <c r="Q42" s="81" t="n"/>
      <c r="R42" s="180" t="n"/>
      <c r="S42" s="180" t="n"/>
      <c r="T42" s="99">
        <f>IF(COUNTA(B42,C42,D42,E42,F42,G42,H42,I42,J42,K42,L42,M42,R42,S42)&gt;0,TEXTJOIN("；",TRUE,IF(B42="","缺少设备名称",""),IF(AND(ISTEXT(B42),OR(B42&lt;&gt;TRIM(B42),ISNUMBER(SEARCH("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",E42)))),"安装位置含首尾空格或全角空格",""),IF(F42="","缺少设备类别",""),IF(F42="","",IF(COUNTIF(EV_MOTOR_CATEGORY,F42)=0,"设备类别不在标准枚举中","")),IF(AND(ISTEXT(F42),OR(F42&lt;&gt;TRIM(F42),ISNUMBER(SEARCH("　",F42)))),"设备类别含首尾空格或全角空格",""),IF(G42="","缺少额定电压",""),IF(G42="","",IF(COUNTIF(EV_MOTOR_VOLTAGE,G42)=0,"额定电压不在标准枚举中","")),IF(AND(ISTEXT(G42),OR(G42&lt;&gt;TRIM(G42),ISNUMBER(SEARCH("　",G42)))),"额定电压含首尾空格或全角空格",""),IF(H42="","缺少额定频率",""),IF(AND(ISTEXT(H42),OR(H42&lt;&gt;TRIM(H42),ISNUMBER(SEARCH("　",H42)))),"额定频率含首尾空格或全角空格",""),IF(I42="","",IF(COUNTIF(EV_COOLING_MOTOR_HV,I42)=0,"冷却方式不在标准枚举中","")),IF(AND(ISTEXT(I42),OR(I42&lt;&gt;TRIM(I42),ISNUMBER(SEARCH("　",I42)))),"冷却方式含首尾空格或全角空格",""),IF(J42="","缺少额定功率",""),IF(J42="","",IF(NOT(ISNUMBER(J42)),"额定功率应为数值",IF(J42&lt;=0,"额定功率应大于0",""))),IF(K42="","缺少极数",""),IF(K42="","",IF(COUNTIF(EV_POLES_PMSM,K42)=0,"极数不在标准枚举中","")),IF(L42="","缺少额定转速",""),IF(L42="","",IF(NOT(ISNUMBER(L42)),"额定转速应为数值",IF(L42&lt;=0,"额定转速应大于0",""))),IF(M42="","缺少效率",""),IF(M42="","",IF(NOT(ISNUMBER(M42)),"效率应为数值",IF(OR(M42&lt;1,M42&gt;100),"效率应为1～100的百分数本值",""))),IF(R42="","缺少铭牌照片",""),IF(AND(ISTEXT(S42),OR(S42&lt;&gt;TRIM(S42),ISNUMBER(SEARCH("　",S42)))),"填表备注含首尾空格或全角空格",""),IF(AND(OR(F42="高压三相笼型异步电动机",F42="异步起动三相永磁同步电动机",F42="变频调速永磁同步电动机"),OR(G42="3（3.3）",G42="6",G42="10"),I42=""),"高压电动机缺少冷却方式",""),IF(AND(F42="电梯用永磁同步电动机",L42=""),"电梯用永磁同步电动机缺少额定转速","")),"")</f>
        <v/>
      </c>
    </row>
    <row r="43" ht="42" customHeight="1" s="184">
      <c r="A43" s="224">
        <f>IF(COUNTA(B43,C43,D43,E43,F43,G43,H43,I43,J43,K43,L43,M43,R43,S43)&gt;0,ROW()-3,"")</f>
        <v/>
      </c>
      <c r="B43" s="176" t="n"/>
      <c r="C43" s="176" t="n"/>
      <c r="D43" s="228" t="n"/>
      <c r="E43" s="176" t="n"/>
      <c r="F43" s="218" t="n"/>
      <c r="G43" s="218" t="n"/>
      <c r="H43" s="176" t="n"/>
      <c r="I43" s="218" t="n"/>
      <c r="J43" s="229" t="n"/>
      <c r="K43" s="181" t="n"/>
      <c r="L43" s="229" t="n"/>
      <c r="M43" s="229" t="n"/>
      <c r="N43" s="227" t="n"/>
      <c r="O43" s="227" t="n"/>
      <c r="P43" s="227" t="n"/>
      <c r="Q43" s="81" t="n"/>
      <c r="R43" s="180" t="n"/>
      <c r="S43" s="180" t="n"/>
      <c r="T43" s="99">
        <f>IF(COUNTA(B43,C43,D43,E43,F43,G43,H43,I43,J43,K43,L43,M43,R43,S43)&gt;0,TEXTJOIN("；",TRUE,IF(B43="","缺少设备名称",""),IF(AND(ISTEXT(B43),OR(B43&lt;&gt;TRIM(B43),ISNUMBER(SEARCH("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",E43)))),"安装位置含首尾空格或全角空格",""),IF(F43="","缺少设备类别",""),IF(F43="","",IF(COUNTIF(EV_MOTOR_CATEGORY,F43)=0,"设备类别不在标准枚举中","")),IF(AND(ISTEXT(F43),OR(F43&lt;&gt;TRIM(F43),ISNUMBER(SEARCH("　",F43)))),"设备类别含首尾空格或全角空格",""),IF(G43="","缺少额定电压",""),IF(G43="","",IF(COUNTIF(EV_MOTOR_VOLTAGE,G43)=0,"额定电压不在标准枚举中","")),IF(AND(ISTEXT(G43),OR(G43&lt;&gt;TRIM(G43),ISNUMBER(SEARCH("　",G43)))),"额定电压含首尾空格或全角空格",""),IF(H43="","缺少额定频率",""),IF(AND(ISTEXT(H43),OR(H43&lt;&gt;TRIM(H43),ISNUMBER(SEARCH("　",H43)))),"额定频率含首尾空格或全角空格",""),IF(I43="","",IF(COUNTIF(EV_COOLING_MOTOR_HV,I43)=0,"冷却方式不在标准枚举中","")),IF(AND(ISTEXT(I43),OR(I43&lt;&gt;TRIM(I43),ISNUMBER(SEARCH("　",I43)))),"冷却方式含首尾空格或全角空格",""),IF(J43="","缺少额定功率",""),IF(J43="","",IF(NOT(ISNUMBER(J43)),"额定功率应为数值",IF(J43&lt;=0,"额定功率应大于0",""))),IF(K43="","缺少极数",""),IF(K43="","",IF(COUNTIF(EV_POLES_PMSM,K43)=0,"极数不在标准枚举中","")),IF(L43="","缺少额定转速",""),IF(L43="","",IF(NOT(ISNUMBER(L43)),"额定转速应为数值",IF(L43&lt;=0,"额定转速应大于0",""))),IF(M43="","缺少效率",""),IF(M43="","",IF(NOT(ISNUMBER(M43)),"效率应为数值",IF(OR(M43&lt;1,M43&gt;100),"效率应为1～100的百分数本值",""))),IF(R43="","缺少铭牌照片",""),IF(AND(ISTEXT(S43),OR(S43&lt;&gt;TRIM(S43),ISNUMBER(SEARCH("　",S43)))),"填表备注含首尾空格或全角空格",""),IF(AND(OR(F43="高压三相笼型异步电动机",F43="异步起动三相永磁同步电动机",F43="变频调速永磁同步电动机"),OR(G43="3（3.3）",G43="6",G43="10"),I43=""),"高压电动机缺少冷却方式",""),IF(AND(F43="电梯用永磁同步电动机",L43=""),"电梯用永磁同步电动机缺少额定转速","")),"")</f>
        <v/>
      </c>
    </row>
    <row r="44" ht="42" customHeight="1" s="184">
      <c r="A44" s="224">
        <f>IF(COUNTA(B44,C44,D44,E44,F44,G44,H44,I44,J44,K44,L44,M44,R44,S44)&gt;0,ROW()-3,"")</f>
        <v/>
      </c>
      <c r="B44" s="176" t="n"/>
      <c r="C44" s="176" t="n"/>
      <c r="D44" s="228" t="n"/>
      <c r="E44" s="176" t="n"/>
      <c r="F44" s="218" t="n"/>
      <c r="G44" s="218" t="n"/>
      <c r="H44" s="176" t="n"/>
      <c r="I44" s="218" t="n"/>
      <c r="J44" s="229" t="n"/>
      <c r="K44" s="181" t="n"/>
      <c r="L44" s="229" t="n"/>
      <c r="M44" s="229" t="n"/>
      <c r="N44" s="227" t="n"/>
      <c r="O44" s="227" t="n"/>
      <c r="P44" s="227" t="n"/>
      <c r="Q44" s="81" t="n"/>
      <c r="R44" s="180" t="n"/>
      <c r="S44" s="180" t="n"/>
      <c r="T44" s="99">
        <f>IF(COUNTA(B44,C44,D44,E44,F44,G44,H44,I44,J44,K44,L44,M44,R44,S44)&gt;0,TEXTJOIN("；",TRUE,IF(B44="","缺少设备名称",""),IF(AND(ISTEXT(B44),OR(B44&lt;&gt;TRIM(B44),ISNUMBER(SEARCH("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",E44)))),"安装位置含首尾空格或全角空格",""),IF(F44="","缺少设备类别",""),IF(F44="","",IF(COUNTIF(EV_MOTOR_CATEGORY,F44)=0,"设备类别不在标准枚举中","")),IF(AND(ISTEXT(F44),OR(F44&lt;&gt;TRIM(F44),ISNUMBER(SEARCH("　",F44)))),"设备类别含首尾空格或全角空格",""),IF(G44="","缺少额定电压",""),IF(G44="","",IF(COUNTIF(EV_MOTOR_VOLTAGE,G44)=0,"额定电压不在标准枚举中","")),IF(AND(ISTEXT(G44),OR(G44&lt;&gt;TRIM(G44),ISNUMBER(SEARCH("　",G44)))),"额定电压含首尾空格或全角空格",""),IF(H44="","缺少额定频率",""),IF(AND(ISTEXT(H44),OR(H44&lt;&gt;TRIM(H44),ISNUMBER(SEARCH("　",H44)))),"额定频率含首尾空格或全角空格",""),IF(I44="","",IF(COUNTIF(EV_COOLING_MOTOR_HV,I44)=0,"冷却方式不在标准枚举中","")),IF(AND(ISTEXT(I44),OR(I44&lt;&gt;TRIM(I44),ISNUMBER(SEARCH("　",I44)))),"冷却方式含首尾空格或全角空格",""),IF(J44="","缺少额定功率",""),IF(J44="","",IF(NOT(ISNUMBER(J44)),"额定功率应为数值",IF(J44&lt;=0,"额定功率应大于0",""))),IF(K44="","缺少极数",""),IF(K44="","",IF(COUNTIF(EV_POLES_PMSM,K44)=0,"极数不在标准枚举中","")),IF(L44="","缺少额定转速",""),IF(L44="","",IF(NOT(ISNUMBER(L44)),"额定转速应为数值",IF(L44&lt;=0,"额定转速应大于0",""))),IF(M44="","缺少效率",""),IF(M44="","",IF(NOT(ISNUMBER(M44)),"效率应为数值",IF(OR(M44&lt;1,M44&gt;100),"效率应为1～100的百分数本值",""))),IF(R44="","缺少铭牌照片",""),IF(AND(ISTEXT(S44),OR(S44&lt;&gt;TRIM(S44),ISNUMBER(SEARCH("　",S44)))),"填表备注含首尾空格或全角空格",""),IF(AND(OR(F44="高压三相笼型异步电动机",F44="异步起动三相永磁同步电动机",F44="变频调速永磁同步电动机"),OR(G44="3（3.3）",G44="6",G44="10"),I44=""),"高压电动机缺少冷却方式",""),IF(AND(F44="电梯用永磁同步电动机",L44=""),"电梯用永磁同步电动机缺少额定转速","")),"")</f>
        <v/>
      </c>
    </row>
    <row r="45" ht="42" customHeight="1" s="184">
      <c r="A45" s="224">
        <f>IF(COUNTA(B45,C45,D45,E45,F45,G45,H45,I45,J45,K45,L45,M45,R45,S45)&gt;0,ROW()-3,"")</f>
        <v/>
      </c>
      <c r="B45" s="176" t="n"/>
      <c r="C45" s="176" t="n"/>
      <c r="D45" s="228" t="n"/>
      <c r="E45" s="176" t="n"/>
      <c r="F45" s="218" t="n"/>
      <c r="G45" s="218" t="n"/>
      <c r="H45" s="176" t="n"/>
      <c r="I45" s="218" t="n"/>
      <c r="J45" s="229" t="n"/>
      <c r="K45" s="181" t="n"/>
      <c r="L45" s="229" t="n"/>
      <c r="M45" s="229" t="n"/>
      <c r="N45" s="227" t="n"/>
      <c r="O45" s="227" t="n"/>
      <c r="P45" s="227" t="n"/>
      <c r="Q45" s="81" t="n"/>
      <c r="R45" s="180" t="n"/>
      <c r="S45" s="180" t="n"/>
      <c r="T45" s="99">
        <f>IF(COUNTA(B45,C45,D45,E45,F45,G45,H45,I45,J45,K45,L45,M45,R45,S45)&gt;0,TEXTJOIN("；",TRUE,IF(B45="","缺少设备名称",""),IF(AND(ISTEXT(B45),OR(B45&lt;&gt;TRIM(B45),ISNUMBER(SEARCH("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",E45)))),"安装位置含首尾空格或全角空格",""),IF(F45="","缺少设备类别",""),IF(F45="","",IF(COUNTIF(EV_MOTOR_CATEGORY,F45)=0,"设备类别不在标准枚举中","")),IF(AND(ISTEXT(F45),OR(F45&lt;&gt;TRIM(F45),ISNUMBER(SEARCH("　",F45)))),"设备类别含首尾空格或全角空格",""),IF(G45="","缺少额定电压",""),IF(G45="","",IF(COUNTIF(EV_MOTOR_VOLTAGE,G45)=0,"额定电压不在标准枚举中","")),IF(AND(ISTEXT(G45),OR(G45&lt;&gt;TRIM(G45),ISNUMBER(SEARCH("　",G45)))),"额定电压含首尾空格或全角空格",""),IF(H45="","缺少额定频率",""),IF(AND(ISTEXT(H45),OR(H45&lt;&gt;TRIM(H45),ISNUMBER(SEARCH("　",H45)))),"额定频率含首尾空格或全角空格",""),IF(I45="","",IF(COUNTIF(EV_COOLING_MOTOR_HV,I45)=0,"冷却方式不在标准枚举中","")),IF(AND(ISTEXT(I45),OR(I45&lt;&gt;TRIM(I45),ISNUMBER(SEARCH("　",I45)))),"冷却方式含首尾空格或全角空格",""),IF(J45="","缺少额定功率",""),IF(J45="","",IF(NOT(ISNUMBER(J45)),"额定功率应为数值",IF(J45&lt;=0,"额定功率应大于0",""))),IF(K45="","缺少极数",""),IF(K45="","",IF(COUNTIF(EV_POLES_PMSM,K45)=0,"极数不在标准枚举中","")),IF(L45="","缺少额定转速",""),IF(L45="","",IF(NOT(ISNUMBER(L45)),"额定转速应为数值",IF(L45&lt;=0,"额定转速应大于0",""))),IF(M45="","缺少效率",""),IF(M45="","",IF(NOT(ISNUMBER(M45)),"效率应为数值",IF(OR(M45&lt;1,M45&gt;100),"效率应为1～100的百分数本值",""))),IF(R45="","缺少铭牌照片",""),IF(AND(ISTEXT(S45),OR(S45&lt;&gt;TRIM(S45),ISNUMBER(SEARCH("　",S45)))),"填表备注含首尾空格或全角空格",""),IF(AND(OR(F45="高压三相笼型异步电动机",F45="异步起动三相永磁同步电动机",F45="变频调速永磁同步电动机"),OR(G45="3（3.3）",G45="6",G45="10"),I45=""),"高压电动机缺少冷却方式",""),IF(AND(F45="电梯用永磁同步电动机",L45=""),"电梯用永磁同步电动机缺少额定转速","")),"")</f>
        <v/>
      </c>
    </row>
    <row r="46" ht="42" customHeight="1" s="184">
      <c r="A46" s="224">
        <f>IF(COUNTA(B46,C46,D46,E46,F46,G46,H46,I46,J46,K46,L46,M46,R46,S46)&gt;0,ROW()-3,"")</f>
        <v/>
      </c>
      <c r="B46" s="176" t="n"/>
      <c r="C46" s="176" t="n"/>
      <c r="D46" s="228" t="n"/>
      <c r="E46" s="176" t="n"/>
      <c r="F46" s="218" t="n"/>
      <c r="G46" s="218" t="n"/>
      <c r="H46" s="176" t="n"/>
      <c r="I46" s="218" t="n"/>
      <c r="J46" s="229" t="n"/>
      <c r="K46" s="181" t="n"/>
      <c r="L46" s="229" t="n"/>
      <c r="M46" s="229" t="n"/>
      <c r="N46" s="227" t="n"/>
      <c r="O46" s="227" t="n"/>
      <c r="P46" s="227" t="n"/>
      <c r="Q46" s="81" t="n"/>
      <c r="R46" s="180" t="n"/>
      <c r="S46" s="180" t="n"/>
      <c r="T46" s="99">
        <f>IF(COUNTA(B46,C46,D46,E46,F46,G46,H46,I46,J46,K46,L46,M46,R46,S46)&gt;0,TEXTJOIN("；",TRUE,IF(B46="","缺少设备名称",""),IF(AND(ISTEXT(B46),OR(B46&lt;&gt;TRIM(B46),ISNUMBER(SEARCH("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",E46)))),"安装位置含首尾空格或全角空格",""),IF(F46="","缺少设备类别",""),IF(F46="","",IF(COUNTIF(EV_MOTOR_CATEGORY,F46)=0,"设备类别不在标准枚举中","")),IF(AND(ISTEXT(F46),OR(F46&lt;&gt;TRIM(F46),ISNUMBER(SEARCH("　",F46)))),"设备类别含首尾空格或全角空格",""),IF(G46="","缺少额定电压",""),IF(G46="","",IF(COUNTIF(EV_MOTOR_VOLTAGE,G46)=0,"额定电压不在标准枚举中","")),IF(AND(ISTEXT(G46),OR(G46&lt;&gt;TRIM(G46),ISNUMBER(SEARCH("　",G46)))),"额定电压含首尾空格或全角空格",""),IF(H46="","缺少额定频率",""),IF(AND(ISTEXT(H46),OR(H46&lt;&gt;TRIM(H46),ISNUMBER(SEARCH("　",H46)))),"额定频率含首尾空格或全角空格",""),IF(I46="","",IF(COUNTIF(EV_COOLING_MOTOR_HV,I46)=0,"冷却方式不在标准枚举中","")),IF(AND(ISTEXT(I46),OR(I46&lt;&gt;TRIM(I46),ISNUMBER(SEARCH("　",I46)))),"冷却方式含首尾空格或全角空格",""),IF(J46="","缺少额定功率",""),IF(J46="","",IF(NOT(ISNUMBER(J46)),"额定功率应为数值",IF(J46&lt;=0,"额定功率应大于0",""))),IF(K46="","缺少极数",""),IF(K46="","",IF(COUNTIF(EV_POLES_PMSM,K46)=0,"极数不在标准枚举中","")),IF(L46="","缺少额定转速",""),IF(L46="","",IF(NOT(ISNUMBER(L46)),"额定转速应为数值",IF(L46&lt;=0,"额定转速应大于0",""))),IF(M46="","缺少效率",""),IF(M46="","",IF(NOT(ISNUMBER(M46)),"效率应为数值",IF(OR(M46&lt;1,M46&gt;100),"效率应为1～100的百分数本值",""))),IF(R46="","缺少铭牌照片",""),IF(AND(ISTEXT(S46),OR(S46&lt;&gt;TRIM(S46),ISNUMBER(SEARCH("　",S46)))),"填表备注含首尾空格或全角空格",""),IF(AND(OR(F46="高压三相笼型异步电动机",F46="异步起动三相永磁同步电动机",F46="变频调速永磁同步电动机"),OR(G46="3（3.3）",G46="6",G46="10"),I46=""),"高压电动机缺少冷却方式",""),IF(AND(F46="电梯用永磁同步电动机",L46=""),"电梯用永磁同步电动机缺少额定转速","")),"")</f>
        <v/>
      </c>
    </row>
    <row r="47" ht="42" customHeight="1" s="184">
      <c r="A47" s="224">
        <f>IF(COUNTA(B47,C47,D47,E47,F47,G47,H47,I47,J47,K47,L47,M47,R47,S47)&gt;0,ROW()-3,"")</f>
        <v/>
      </c>
      <c r="B47" s="176" t="n"/>
      <c r="C47" s="176" t="n"/>
      <c r="D47" s="228" t="n"/>
      <c r="E47" s="176" t="n"/>
      <c r="F47" s="218" t="n"/>
      <c r="G47" s="218" t="n"/>
      <c r="H47" s="176" t="n"/>
      <c r="I47" s="218" t="n"/>
      <c r="J47" s="229" t="n"/>
      <c r="K47" s="181" t="n"/>
      <c r="L47" s="229" t="n"/>
      <c r="M47" s="229" t="n"/>
      <c r="N47" s="227" t="n"/>
      <c r="O47" s="227" t="n"/>
      <c r="P47" s="227" t="n"/>
      <c r="Q47" s="81" t="n"/>
      <c r="R47" s="180" t="n"/>
      <c r="S47" s="180" t="n"/>
      <c r="T47" s="99">
        <f>IF(COUNTA(B47,C47,D47,E47,F47,G47,H47,I47,J47,K47,L47,M47,R47,S47)&gt;0,TEXTJOIN("；",TRUE,IF(B47="","缺少设备名称",""),IF(AND(ISTEXT(B47),OR(B47&lt;&gt;TRIM(B47),ISNUMBER(SEARCH("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",E47)))),"安装位置含首尾空格或全角空格",""),IF(F47="","缺少设备类别",""),IF(F47="","",IF(COUNTIF(EV_MOTOR_CATEGORY,F47)=0,"设备类别不在标准枚举中","")),IF(AND(ISTEXT(F47),OR(F47&lt;&gt;TRIM(F47),ISNUMBER(SEARCH("　",F47)))),"设备类别含首尾空格或全角空格",""),IF(G47="","缺少额定电压",""),IF(G47="","",IF(COUNTIF(EV_MOTOR_VOLTAGE,G47)=0,"额定电压不在标准枚举中","")),IF(AND(ISTEXT(G47),OR(G47&lt;&gt;TRIM(G47),ISNUMBER(SEARCH("　",G47)))),"额定电压含首尾空格或全角空格",""),IF(H47="","缺少额定频率",""),IF(AND(ISTEXT(H47),OR(H47&lt;&gt;TRIM(H47),ISNUMBER(SEARCH("　",H47)))),"额定频率含首尾空格或全角空格",""),IF(I47="","",IF(COUNTIF(EV_COOLING_MOTOR_HV,I47)=0,"冷却方式不在标准枚举中","")),IF(AND(ISTEXT(I47),OR(I47&lt;&gt;TRIM(I47),ISNUMBER(SEARCH("　",I47)))),"冷却方式含首尾空格或全角空格",""),IF(J47="","缺少额定功率",""),IF(J47="","",IF(NOT(ISNUMBER(J47)),"额定功率应为数值",IF(J47&lt;=0,"额定功率应大于0",""))),IF(K47="","缺少极数",""),IF(K47="","",IF(COUNTIF(EV_POLES_PMSM,K47)=0,"极数不在标准枚举中","")),IF(L47="","缺少额定转速",""),IF(L47="","",IF(NOT(ISNUMBER(L47)),"额定转速应为数值",IF(L47&lt;=0,"额定转速应大于0",""))),IF(M47="","缺少效率",""),IF(M47="","",IF(NOT(ISNUMBER(M47)),"效率应为数值",IF(OR(M47&lt;1,M47&gt;100),"效率应为1～100的百分数本值",""))),IF(R47="","缺少铭牌照片",""),IF(AND(ISTEXT(S47),OR(S47&lt;&gt;TRIM(S47),ISNUMBER(SEARCH("　",S47)))),"填表备注含首尾空格或全角空格",""),IF(AND(OR(F47="高压三相笼型异步电动机",F47="异步起动三相永磁同步电动机",F47="变频调速永磁同步电动机"),OR(G47="3（3.3）",G47="6",G47="10"),I47=""),"高压电动机缺少冷却方式",""),IF(AND(F47="电梯用永磁同步电动机",L47=""),"电梯用永磁同步电动机缺少额定转速","")),"")</f>
        <v/>
      </c>
    </row>
    <row r="48" ht="42" customHeight="1" s="184">
      <c r="A48" s="224">
        <f>IF(COUNTA(B48,C48,D48,E48,F48,G48,H48,I48,J48,K48,L48,M48,R48,S48)&gt;0,ROW()-3,"")</f>
        <v/>
      </c>
      <c r="B48" s="176" t="n"/>
      <c r="C48" s="176" t="n"/>
      <c r="D48" s="228" t="n"/>
      <c r="E48" s="176" t="n"/>
      <c r="F48" s="218" t="n"/>
      <c r="G48" s="218" t="n"/>
      <c r="H48" s="176" t="n"/>
      <c r="I48" s="218" t="n"/>
      <c r="J48" s="229" t="n"/>
      <c r="K48" s="181" t="n"/>
      <c r="L48" s="229" t="n"/>
      <c r="M48" s="229" t="n"/>
      <c r="N48" s="227" t="n"/>
      <c r="O48" s="227" t="n"/>
      <c r="P48" s="227" t="n"/>
      <c r="Q48" s="81" t="n"/>
      <c r="R48" s="180" t="n"/>
      <c r="S48" s="180" t="n"/>
      <c r="T48" s="99">
        <f>IF(COUNTA(B48,C48,D48,E48,F48,G48,H48,I48,J48,K48,L48,M48,R48,S48)&gt;0,TEXTJOIN("；",TRUE,IF(B48="","缺少设备名称",""),IF(AND(ISTEXT(B48),OR(B48&lt;&gt;TRIM(B48),ISNUMBER(SEARCH("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",E48)))),"安装位置含首尾空格或全角空格",""),IF(F48="","缺少设备类别",""),IF(F48="","",IF(COUNTIF(EV_MOTOR_CATEGORY,F48)=0,"设备类别不在标准枚举中","")),IF(AND(ISTEXT(F48),OR(F48&lt;&gt;TRIM(F48),ISNUMBER(SEARCH("　",F48)))),"设备类别含首尾空格或全角空格",""),IF(G48="","缺少额定电压",""),IF(G48="","",IF(COUNTIF(EV_MOTOR_VOLTAGE,G48)=0,"额定电压不在标准枚举中","")),IF(AND(ISTEXT(G48),OR(G48&lt;&gt;TRIM(G48),ISNUMBER(SEARCH("　",G48)))),"额定电压含首尾空格或全角空格",""),IF(H48="","缺少额定频率",""),IF(AND(ISTEXT(H48),OR(H48&lt;&gt;TRIM(H48),ISNUMBER(SEARCH("　",H48)))),"额定频率含首尾空格或全角空格",""),IF(I48="","",IF(COUNTIF(EV_COOLING_MOTOR_HV,I48)=0,"冷却方式不在标准枚举中","")),IF(AND(ISTEXT(I48),OR(I48&lt;&gt;TRIM(I48),ISNUMBER(SEARCH("　",I48)))),"冷却方式含首尾空格或全角空格",""),IF(J48="","缺少额定功率",""),IF(J48="","",IF(NOT(ISNUMBER(J48)),"额定功率应为数值",IF(J48&lt;=0,"额定功率应大于0",""))),IF(K48="","缺少极数",""),IF(K48="","",IF(COUNTIF(EV_POLES_PMSM,K48)=0,"极数不在标准枚举中","")),IF(L48="","缺少额定转速",""),IF(L48="","",IF(NOT(ISNUMBER(L48)),"额定转速应为数值",IF(L48&lt;=0,"额定转速应大于0",""))),IF(M48="","缺少效率",""),IF(M48="","",IF(NOT(ISNUMBER(M48)),"效率应为数值",IF(OR(M48&lt;1,M48&gt;100),"效率应为1～100的百分数本值",""))),IF(R48="","缺少铭牌照片",""),IF(AND(ISTEXT(S48),OR(S48&lt;&gt;TRIM(S48),ISNUMBER(SEARCH("　",S48)))),"填表备注含首尾空格或全角空格",""),IF(AND(OR(F48="高压三相笼型异步电动机",F48="异步起动三相永磁同步电动机",F48="变频调速永磁同步电动机"),OR(G48="3（3.3）",G48="6",G48="10"),I48=""),"高压电动机缺少冷却方式",""),IF(AND(F48="电梯用永磁同步电动机",L48=""),"电梯用永磁同步电动机缺少额定转速","")),"")</f>
        <v/>
      </c>
    </row>
    <row r="49" ht="42" customHeight="1" s="184">
      <c r="A49" s="224">
        <f>IF(COUNTA(B49,C49,D49,E49,F49,G49,H49,I49,J49,K49,L49,M49,R49,S49)&gt;0,ROW()-3,"")</f>
        <v/>
      </c>
      <c r="B49" s="176" t="n"/>
      <c r="C49" s="176" t="n"/>
      <c r="D49" s="228" t="n"/>
      <c r="E49" s="176" t="n"/>
      <c r="F49" s="218" t="n"/>
      <c r="G49" s="218" t="n"/>
      <c r="H49" s="176" t="n"/>
      <c r="I49" s="218" t="n"/>
      <c r="J49" s="229" t="n"/>
      <c r="K49" s="181" t="n"/>
      <c r="L49" s="229" t="n"/>
      <c r="M49" s="229" t="n"/>
      <c r="N49" s="227" t="n"/>
      <c r="O49" s="227" t="n"/>
      <c r="P49" s="227" t="n"/>
      <c r="Q49" s="81" t="n"/>
      <c r="R49" s="180" t="n"/>
      <c r="S49" s="180" t="n"/>
      <c r="T49" s="99">
        <f>IF(COUNTA(B49,C49,D49,E49,F49,G49,H49,I49,J49,K49,L49,M49,R49,S49)&gt;0,TEXTJOIN("；",TRUE,IF(B49="","缺少设备名称",""),IF(AND(ISTEXT(B49),OR(B49&lt;&gt;TRIM(B49),ISNUMBER(SEARCH("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",E49)))),"安装位置含首尾空格或全角空格",""),IF(F49="","缺少设备类别",""),IF(F49="","",IF(COUNTIF(EV_MOTOR_CATEGORY,F49)=0,"设备类别不在标准枚举中","")),IF(AND(ISTEXT(F49),OR(F49&lt;&gt;TRIM(F49),ISNUMBER(SEARCH("　",F49)))),"设备类别含首尾空格或全角空格",""),IF(G49="","缺少额定电压",""),IF(G49="","",IF(COUNTIF(EV_MOTOR_VOLTAGE,G49)=0,"额定电压不在标准枚举中","")),IF(AND(ISTEXT(G49),OR(G49&lt;&gt;TRIM(G49),ISNUMBER(SEARCH("　",G49)))),"额定电压含首尾空格或全角空格",""),IF(H49="","缺少额定频率",""),IF(AND(ISTEXT(H49),OR(H49&lt;&gt;TRIM(H49),ISNUMBER(SEARCH("　",H49)))),"额定频率含首尾空格或全角空格",""),IF(I49="","",IF(COUNTIF(EV_COOLING_MOTOR_HV,I49)=0,"冷却方式不在标准枚举中","")),IF(AND(ISTEXT(I49),OR(I49&lt;&gt;TRIM(I49),ISNUMBER(SEARCH("　",I49)))),"冷却方式含首尾空格或全角空格",""),IF(J49="","缺少额定功率",""),IF(J49="","",IF(NOT(ISNUMBER(J49)),"额定功率应为数值",IF(J49&lt;=0,"额定功率应大于0",""))),IF(K49="","缺少极数",""),IF(K49="","",IF(COUNTIF(EV_POLES_PMSM,K49)=0,"极数不在标准枚举中","")),IF(L49="","缺少额定转速",""),IF(L49="","",IF(NOT(ISNUMBER(L49)),"额定转速应为数值",IF(L49&lt;=0,"额定转速应大于0",""))),IF(M49="","缺少效率",""),IF(M49="","",IF(NOT(ISNUMBER(M49)),"效率应为数值",IF(OR(M49&lt;1,M49&gt;100),"效率应为1～100的百分数本值",""))),IF(R49="","缺少铭牌照片",""),IF(AND(ISTEXT(S49),OR(S49&lt;&gt;TRIM(S49),ISNUMBER(SEARCH("　",S49)))),"填表备注含首尾空格或全角空格",""),IF(AND(OR(F49="高压三相笼型异步电动机",F49="异步起动三相永磁同步电动机",F49="变频调速永磁同步电动机"),OR(G49="3（3.3）",G49="6",G49="10"),I49=""),"高压电动机缺少冷却方式",""),IF(AND(F49="电梯用永磁同步电动机",L49=""),"电梯用永磁同步电动机缺少额定转速","")),"")</f>
        <v/>
      </c>
    </row>
    <row r="50" ht="42" customHeight="1" s="184">
      <c r="A50" s="224">
        <f>IF(COUNTA(B50,C50,D50,E50,F50,G50,H50,I50,J50,K50,L50,M50,R50,S50)&gt;0,ROW()-3,"")</f>
        <v/>
      </c>
      <c r="B50" s="176" t="n"/>
      <c r="C50" s="176" t="n"/>
      <c r="D50" s="228" t="n"/>
      <c r="E50" s="176" t="n"/>
      <c r="F50" s="218" t="n"/>
      <c r="G50" s="218" t="n"/>
      <c r="H50" s="176" t="n"/>
      <c r="I50" s="218" t="n"/>
      <c r="J50" s="229" t="n"/>
      <c r="K50" s="181" t="n"/>
      <c r="L50" s="229" t="n"/>
      <c r="M50" s="229" t="n"/>
      <c r="N50" s="227" t="n"/>
      <c r="O50" s="227" t="n"/>
      <c r="P50" s="227" t="n"/>
      <c r="Q50" s="81" t="n"/>
      <c r="R50" s="180" t="n"/>
      <c r="S50" s="180" t="n"/>
      <c r="T50" s="99">
        <f>IF(COUNTA(B50,C50,D50,E50,F50,G50,H50,I50,J50,K50,L50,M50,R50,S50)&gt;0,TEXTJOIN("；",TRUE,IF(B50="","缺少设备名称",""),IF(AND(ISTEXT(B50),OR(B50&lt;&gt;TRIM(B50),ISNUMBER(SEARCH("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",E50)))),"安装位置含首尾空格或全角空格",""),IF(F50="","缺少设备类别",""),IF(F50="","",IF(COUNTIF(EV_MOTOR_CATEGORY,F50)=0,"设备类别不在标准枚举中","")),IF(AND(ISTEXT(F50),OR(F50&lt;&gt;TRIM(F50),ISNUMBER(SEARCH("　",F50)))),"设备类别含首尾空格或全角空格",""),IF(G50="","缺少额定电压",""),IF(G50="","",IF(COUNTIF(EV_MOTOR_VOLTAGE,G50)=0,"额定电压不在标准枚举中","")),IF(AND(ISTEXT(G50),OR(G50&lt;&gt;TRIM(G50),ISNUMBER(SEARCH("　",G50)))),"额定电压含首尾空格或全角空格",""),IF(H50="","缺少额定频率",""),IF(AND(ISTEXT(H50),OR(H50&lt;&gt;TRIM(H50),ISNUMBER(SEARCH("　",H50)))),"额定频率含首尾空格或全角空格",""),IF(I50="","",IF(COUNTIF(EV_COOLING_MOTOR_HV,I50)=0,"冷却方式不在标准枚举中","")),IF(AND(ISTEXT(I50),OR(I50&lt;&gt;TRIM(I50),ISNUMBER(SEARCH("　",I50)))),"冷却方式含首尾空格或全角空格",""),IF(J50="","缺少额定功率",""),IF(J50="","",IF(NOT(ISNUMBER(J50)),"额定功率应为数值",IF(J50&lt;=0,"额定功率应大于0",""))),IF(K50="","缺少极数",""),IF(K50="","",IF(COUNTIF(EV_POLES_PMSM,K50)=0,"极数不在标准枚举中","")),IF(L50="","缺少额定转速",""),IF(L50="","",IF(NOT(ISNUMBER(L50)),"额定转速应为数值",IF(L50&lt;=0,"额定转速应大于0",""))),IF(M50="","缺少效率",""),IF(M50="","",IF(NOT(ISNUMBER(M50)),"效率应为数值",IF(OR(M50&lt;1,M50&gt;100),"效率应为1～100的百分数本值",""))),IF(R50="","缺少铭牌照片",""),IF(AND(ISTEXT(S50),OR(S50&lt;&gt;TRIM(S50),ISNUMBER(SEARCH("　",S50)))),"填表备注含首尾空格或全角空格",""),IF(AND(OR(F50="高压三相笼型异步电动机",F50="异步起动三相永磁同步电动机",F50="变频调速永磁同步电动机"),OR(G50="3（3.3）",G50="6",G50="10"),I50=""),"高压电动机缺少冷却方式",""),IF(AND(F50="电梯用永磁同步电动机",L50=""),"电梯用永磁同步电动机缺少额定转速","")),"")</f>
        <v/>
      </c>
    </row>
    <row r="51" ht="42" customHeight="1" s="184">
      <c r="A51" s="224">
        <f>IF(COUNTA(B51,C51,D51,E51,F51,G51,H51,I51,J51,K51,L51,M51,R51,S51)&gt;0,ROW()-3,"")</f>
        <v/>
      </c>
      <c r="B51" s="176" t="n"/>
      <c r="C51" s="176" t="n"/>
      <c r="D51" s="228" t="n"/>
      <c r="E51" s="176" t="n"/>
      <c r="F51" s="218" t="n"/>
      <c r="G51" s="218" t="n"/>
      <c r="H51" s="176" t="n"/>
      <c r="I51" s="218" t="n"/>
      <c r="J51" s="229" t="n"/>
      <c r="K51" s="181" t="n"/>
      <c r="L51" s="229" t="n"/>
      <c r="M51" s="229" t="n"/>
      <c r="N51" s="227" t="n"/>
      <c r="O51" s="227" t="n"/>
      <c r="P51" s="227" t="n"/>
      <c r="Q51" s="81" t="n"/>
      <c r="R51" s="180" t="n"/>
      <c r="S51" s="180" t="n"/>
      <c r="T51" s="99">
        <f>IF(COUNTA(B51,C51,D51,E51,F51,G51,H51,I51,J51,K51,L51,M51,R51,S51)&gt;0,TEXTJOIN("；",TRUE,IF(B51="","缺少设备名称",""),IF(AND(ISTEXT(B51),OR(B51&lt;&gt;TRIM(B51),ISNUMBER(SEARCH("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",E51)))),"安装位置含首尾空格或全角空格",""),IF(F51="","缺少设备类别",""),IF(F51="","",IF(COUNTIF(EV_MOTOR_CATEGORY,F51)=0,"设备类别不在标准枚举中","")),IF(AND(ISTEXT(F51),OR(F51&lt;&gt;TRIM(F51),ISNUMBER(SEARCH("　",F51)))),"设备类别含首尾空格或全角空格",""),IF(G51="","缺少额定电压",""),IF(G51="","",IF(COUNTIF(EV_MOTOR_VOLTAGE,G51)=0,"额定电压不在标准枚举中","")),IF(AND(ISTEXT(G51),OR(G51&lt;&gt;TRIM(G51),ISNUMBER(SEARCH("　",G51)))),"额定电压含首尾空格或全角空格",""),IF(H51="","缺少额定频率",""),IF(AND(ISTEXT(H51),OR(H51&lt;&gt;TRIM(H51),ISNUMBER(SEARCH("　",H51)))),"额定频率含首尾空格或全角空格",""),IF(I51="","",IF(COUNTIF(EV_COOLING_MOTOR_HV,I51)=0,"冷却方式不在标准枚举中","")),IF(AND(ISTEXT(I51),OR(I51&lt;&gt;TRIM(I51),ISNUMBER(SEARCH("　",I51)))),"冷却方式含首尾空格或全角空格",""),IF(J51="","缺少额定功率",""),IF(J51="","",IF(NOT(ISNUMBER(J51)),"额定功率应为数值",IF(J51&lt;=0,"额定功率应大于0",""))),IF(K51="","缺少极数",""),IF(K51="","",IF(COUNTIF(EV_POLES_PMSM,K51)=0,"极数不在标准枚举中","")),IF(L51="","缺少额定转速",""),IF(L51="","",IF(NOT(ISNUMBER(L51)),"额定转速应为数值",IF(L51&lt;=0,"额定转速应大于0",""))),IF(M51="","缺少效率",""),IF(M51="","",IF(NOT(ISNUMBER(M51)),"效率应为数值",IF(OR(M51&lt;1,M51&gt;100),"效率应为1～100的百分数本值",""))),IF(R51="","缺少铭牌照片",""),IF(AND(ISTEXT(S51),OR(S51&lt;&gt;TRIM(S51),ISNUMBER(SEARCH("　",S51)))),"填表备注含首尾空格或全角空格",""),IF(AND(OR(F51="高压三相笼型异步电动机",F51="异步起动三相永磁同步电动机",F51="变频调速永磁同步电动机"),OR(G51="3（3.3）",G51="6",G51="10"),I51=""),"高压电动机缺少冷却方式",""),IF(AND(F51="电梯用永磁同步电动机",L51=""),"电梯用永磁同步电动机缺少额定转速","")),"")</f>
        <v/>
      </c>
    </row>
    <row r="52" ht="42" customHeight="1" s="184">
      <c r="A52" s="224">
        <f>IF(COUNTA(B52,C52,D52,E52,F52,G52,H52,I52,J52,K52,L52,M52,R52,S52)&gt;0,ROW()-3,"")</f>
        <v/>
      </c>
      <c r="B52" s="176" t="n"/>
      <c r="C52" s="176" t="n"/>
      <c r="D52" s="228" t="n"/>
      <c r="E52" s="176" t="n"/>
      <c r="F52" s="218" t="n"/>
      <c r="G52" s="218" t="n"/>
      <c r="H52" s="176" t="n"/>
      <c r="I52" s="218" t="n"/>
      <c r="J52" s="229" t="n"/>
      <c r="K52" s="181" t="n"/>
      <c r="L52" s="229" t="n"/>
      <c r="M52" s="229" t="n"/>
      <c r="N52" s="227" t="n"/>
      <c r="O52" s="227" t="n"/>
      <c r="P52" s="227" t="n"/>
      <c r="Q52" s="81" t="n"/>
      <c r="R52" s="180" t="n"/>
      <c r="S52" s="180" t="n"/>
      <c r="T52" s="99">
        <f>IF(COUNTA(B52,C52,D52,E52,F52,G52,H52,I52,J52,K52,L52,M52,R52,S52)&gt;0,TEXTJOIN("；",TRUE,IF(B52="","缺少设备名称",""),IF(AND(ISTEXT(B52),OR(B52&lt;&gt;TRIM(B52),ISNUMBER(SEARCH("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",E52)))),"安装位置含首尾空格或全角空格",""),IF(F52="","缺少设备类别",""),IF(F52="","",IF(COUNTIF(EV_MOTOR_CATEGORY,F52)=0,"设备类别不在标准枚举中","")),IF(AND(ISTEXT(F52),OR(F52&lt;&gt;TRIM(F52),ISNUMBER(SEARCH("　",F52)))),"设备类别含首尾空格或全角空格",""),IF(G52="","缺少额定电压",""),IF(G52="","",IF(COUNTIF(EV_MOTOR_VOLTAGE,G52)=0,"额定电压不在标准枚举中","")),IF(AND(ISTEXT(G52),OR(G52&lt;&gt;TRIM(G52),ISNUMBER(SEARCH("　",G52)))),"额定电压含首尾空格或全角空格",""),IF(H52="","缺少额定频率",""),IF(AND(ISTEXT(H52),OR(H52&lt;&gt;TRIM(H52),ISNUMBER(SEARCH("　",H52)))),"额定频率含首尾空格或全角空格",""),IF(I52="","",IF(COUNTIF(EV_COOLING_MOTOR_HV,I52)=0,"冷却方式不在标准枚举中","")),IF(AND(ISTEXT(I52),OR(I52&lt;&gt;TRIM(I52),ISNUMBER(SEARCH("　",I52)))),"冷却方式含首尾空格或全角空格",""),IF(J52="","缺少额定功率",""),IF(J52="","",IF(NOT(ISNUMBER(J52)),"额定功率应为数值",IF(J52&lt;=0,"额定功率应大于0",""))),IF(K52="","缺少极数",""),IF(K52="","",IF(COUNTIF(EV_POLES_PMSM,K52)=0,"极数不在标准枚举中","")),IF(L52="","缺少额定转速",""),IF(L52="","",IF(NOT(ISNUMBER(L52)),"额定转速应为数值",IF(L52&lt;=0,"额定转速应大于0",""))),IF(M52="","缺少效率",""),IF(M52="","",IF(NOT(ISNUMBER(M52)),"效率应为数值",IF(OR(M52&lt;1,M52&gt;100),"效率应为1～100的百分数本值",""))),IF(R52="","缺少铭牌照片",""),IF(AND(ISTEXT(S52),OR(S52&lt;&gt;TRIM(S52),ISNUMBER(SEARCH("　",S52)))),"填表备注含首尾空格或全角空格",""),IF(AND(OR(F52="高压三相笼型异步电动机",F52="异步起动三相永磁同步电动机",F52="变频调速永磁同步电动机"),OR(G52="3（3.3）",G52="6",G52="10"),I52=""),"高压电动机缺少冷却方式",""),IF(AND(F52="电梯用永磁同步电动机",L52=""),"电梯用永磁同步电动机缺少额定转速","")),"")</f>
        <v/>
      </c>
    </row>
    <row r="53" ht="42" customHeight="1" s="184">
      <c r="A53" s="224">
        <f>IF(COUNTA(B53,C53,D53,E53,F53,G53,H53,I53,J53,K53,L53,M53,R53,S53)&gt;0,ROW()-3,"")</f>
        <v/>
      </c>
      <c r="B53" s="176" t="n"/>
      <c r="C53" s="176" t="n"/>
      <c r="D53" s="228" t="n"/>
      <c r="E53" s="176" t="n"/>
      <c r="F53" s="218" t="n"/>
      <c r="G53" s="218" t="n"/>
      <c r="H53" s="176" t="n"/>
      <c r="I53" s="218" t="n"/>
      <c r="J53" s="229" t="n"/>
      <c r="K53" s="181" t="n"/>
      <c r="L53" s="229" t="n"/>
      <c r="M53" s="229" t="n"/>
      <c r="N53" s="227" t="n"/>
      <c r="O53" s="227" t="n"/>
      <c r="P53" s="227" t="n"/>
      <c r="Q53" s="81" t="n"/>
      <c r="R53" s="180" t="n"/>
      <c r="S53" s="180" t="n"/>
      <c r="T53" s="99">
        <f>IF(COUNTA(B53,C53,D53,E53,F53,G53,H53,I53,J53,K53,L53,M53,R53,S53)&gt;0,TEXTJOIN("；",TRUE,IF(B53="","缺少设备名称",""),IF(AND(ISTEXT(B53),OR(B53&lt;&gt;TRIM(B53),ISNUMBER(SEARCH("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",E53)))),"安装位置含首尾空格或全角空格",""),IF(F53="","缺少设备类别",""),IF(F53="","",IF(COUNTIF(EV_MOTOR_CATEGORY,F53)=0,"设备类别不在标准枚举中","")),IF(AND(ISTEXT(F53),OR(F53&lt;&gt;TRIM(F53),ISNUMBER(SEARCH("　",F53)))),"设备类别含首尾空格或全角空格",""),IF(G53="","缺少额定电压",""),IF(G53="","",IF(COUNTIF(EV_MOTOR_VOLTAGE,G53)=0,"额定电压不在标准枚举中","")),IF(AND(ISTEXT(G53),OR(G53&lt;&gt;TRIM(G53),ISNUMBER(SEARCH("　",G53)))),"额定电压含首尾空格或全角空格",""),IF(H53="","缺少额定频率",""),IF(AND(ISTEXT(H53),OR(H53&lt;&gt;TRIM(H53),ISNUMBER(SEARCH("　",H53)))),"额定频率含首尾空格或全角空格",""),IF(I53="","",IF(COUNTIF(EV_COOLING_MOTOR_HV,I53)=0,"冷却方式不在标准枚举中","")),IF(AND(ISTEXT(I53),OR(I53&lt;&gt;TRIM(I53),ISNUMBER(SEARCH("　",I53)))),"冷却方式含首尾空格或全角空格",""),IF(J53="","缺少额定功率",""),IF(J53="","",IF(NOT(ISNUMBER(J53)),"额定功率应为数值",IF(J53&lt;=0,"额定功率应大于0",""))),IF(K53="","缺少极数",""),IF(K53="","",IF(COUNTIF(EV_POLES_PMSM,K53)=0,"极数不在标准枚举中","")),IF(L53="","缺少额定转速",""),IF(L53="","",IF(NOT(ISNUMBER(L53)),"额定转速应为数值",IF(L53&lt;=0,"额定转速应大于0",""))),IF(M53="","缺少效率",""),IF(M53="","",IF(NOT(ISNUMBER(M53)),"效率应为数值",IF(OR(M53&lt;1,M53&gt;100),"效率应为1～100的百分数本值",""))),IF(R53="","缺少铭牌照片",""),IF(AND(ISTEXT(S53),OR(S53&lt;&gt;TRIM(S53),ISNUMBER(SEARCH("　",S53)))),"填表备注含首尾空格或全角空格",""),IF(AND(OR(F53="高压三相笼型异步电动机",F53="异步起动三相永磁同步电动机",F53="变频调速永磁同步电动机"),OR(G53="3（3.3）",G53="6",G53="10"),I53=""),"高压电动机缺少冷却方式",""),IF(AND(F53="电梯用永磁同步电动机",L53=""),"电梯用永磁同步电动机缺少额定转速","")),"")</f>
        <v/>
      </c>
    </row>
    <row r="54" ht="42" customHeight="1" s="184">
      <c r="A54" s="224">
        <f>IF(COUNTA(B54,C54,D54,E54,F54,G54,H54,I54,J54,K54,L54,M54,R54,S54)&gt;0,ROW()-3,"")</f>
        <v/>
      </c>
      <c r="B54" s="176" t="n"/>
      <c r="C54" s="176" t="n"/>
      <c r="D54" s="228" t="n"/>
      <c r="E54" s="176" t="n"/>
      <c r="F54" s="218" t="n"/>
      <c r="G54" s="218" t="n"/>
      <c r="H54" s="176" t="n"/>
      <c r="I54" s="218" t="n"/>
      <c r="J54" s="229" t="n"/>
      <c r="K54" s="181" t="n"/>
      <c r="L54" s="229" t="n"/>
      <c r="M54" s="229" t="n"/>
      <c r="N54" s="227" t="n"/>
      <c r="O54" s="227" t="n"/>
      <c r="P54" s="227" t="n"/>
      <c r="Q54" s="81" t="n"/>
      <c r="R54" s="180" t="n"/>
      <c r="S54" s="180" t="n"/>
      <c r="T54" s="99">
        <f>IF(COUNTA(B54,C54,D54,E54,F54,G54,H54,I54,J54,K54,L54,M54,R54,S54)&gt;0,TEXTJOIN("；",TRUE,IF(B54="","缺少设备名称",""),IF(AND(ISTEXT(B54),OR(B54&lt;&gt;TRIM(B54),ISNUMBER(SEARCH("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",E54)))),"安装位置含首尾空格或全角空格",""),IF(F54="","缺少设备类别",""),IF(F54="","",IF(COUNTIF(EV_MOTOR_CATEGORY,F54)=0,"设备类别不在标准枚举中","")),IF(AND(ISTEXT(F54),OR(F54&lt;&gt;TRIM(F54),ISNUMBER(SEARCH("　",F54)))),"设备类别含首尾空格或全角空格",""),IF(G54="","缺少额定电压",""),IF(G54="","",IF(COUNTIF(EV_MOTOR_VOLTAGE,G54)=0,"额定电压不在标准枚举中","")),IF(AND(ISTEXT(G54),OR(G54&lt;&gt;TRIM(G54),ISNUMBER(SEARCH("　",G54)))),"额定电压含首尾空格或全角空格",""),IF(H54="","缺少额定频率",""),IF(AND(ISTEXT(H54),OR(H54&lt;&gt;TRIM(H54),ISNUMBER(SEARCH("　",H54)))),"额定频率含首尾空格或全角空格",""),IF(I54="","",IF(COUNTIF(EV_COOLING_MOTOR_HV,I54)=0,"冷却方式不在标准枚举中","")),IF(AND(ISTEXT(I54),OR(I54&lt;&gt;TRIM(I54),ISNUMBER(SEARCH("　",I54)))),"冷却方式含首尾空格或全角空格",""),IF(J54="","缺少额定功率",""),IF(J54="","",IF(NOT(ISNUMBER(J54)),"额定功率应为数值",IF(J54&lt;=0,"额定功率应大于0",""))),IF(K54="","缺少极数",""),IF(K54="","",IF(COUNTIF(EV_POLES_PMSM,K54)=0,"极数不在标准枚举中","")),IF(L54="","缺少额定转速",""),IF(L54="","",IF(NOT(ISNUMBER(L54)),"额定转速应为数值",IF(L54&lt;=0,"额定转速应大于0",""))),IF(M54="","缺少效率",""),IF(M54="","",IF(NOT(ISNUMBER(M54)),"效率应为数值",IF(OR(M54&lt;1,M54&gt;100),"效率应为1～100的百分数本值",""))),IF(R54="","缺少铭牌照片",""),IF(AND(ISTEXT(S54),OR(S54&lt;&gt;TRIM(S54),ISNUMBER(SEARCH("　",S54)))),"填表备注含首尾空格或全角空格",""),IF(AND(OR(F54="高压三相笼型异步电动机",F54="异步起动三相永磁同步电动机",F54="变频调速永磁同步电动机"),OR(G54="3（3.3）",G54="6",G54="10"),I54=""),"高压电动机缺少冷却方式",""),IF(AND(F54="电梯用永磁同步电动机",L54=""),"电梯用永磁同步电动机缺少额定转速","")),"")</f>
        <v/>
      </c>
    </row>
    <row r="55" ht="42" customHeight="1" s="184">
      <c r="A55" s="224">
        <f>IF(COUNTA(B55,C55,D55,E55,F55,G55,H55,I55,J55,K55,L55,M55,R55,S55)&gt;0,ROW()-3,"")</f>
        <v/>
      </c>
      <c r="B55" s="176" t="n"/>
      <c r="C55" s="176" t="n"/>
      <c r="D55" s="228" t="n"/>
      <c r="E55" s="176" t="n"/>
      <c r="F55" s="218" t="n"/>
      <c r="G55" s="218" t="n"/>
      <c r="H55" s="176" t="n"/>
      <c r="I55" s="218" t="n"/>
      <c r="J55" s="229" t="n"/>
      <c r="K55" s="181" t="n"/>
      <c r="L55" s="229" t="n"/>
      <c r="M55" s="229" t="n"/>
      <c r="N55" s="227" t="n"/>
      <c r="O55" s="227" t="n"/>
      <c r="P55" s="227" t="n"/>
      <c r="Q55" s="81" t="n"/>
      <c r="R55" s="180" t="n"/>
      <c r="S55" s="180" t="n"/>
      <c r="T55" s="99">
        <f>IF(COUNTA(B55,C55,D55,E55,F55,G55,H55,I55,J55,K55,L55,M55,R55,S55)&gt;0,TEXTJOIN("；",TRUE,IF(B55="","缺少设备名称",""),IF(AND(ISTEXT(B55),OR(B55&lt;&gt;TRIM(B55),ISNUMBER(SEARCH("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",E55)))),"安装位置含首尾空格或全角空格",""),IF(F55="","缺少设备类别",""),IF(F55="","",IF(COUNTIF(EV_MOTOR_CATEGORY,F55)=0,"设备类别不在标准枚举中","")),IF(AND(ISTEXT(F55),OR(F55&lt;&gt;TRIM(F55),ISNUMBER(SEARCH("　",F55)))),"设备类别含首尾空格或全角空格",""),IF(G55="","缺少额定电压",""),IF(G55="","",IF(COUNTIF(EV_MOTOR_VOLTAGE,G55)=0,"额定电压不在标准枚举中","")),IF(AND(ISTEXT(G55),OR(G55&lt;&gt;TRIM(G55),ISNUMBER(SEARCH("　",G55)))),"额定电压含首尾空格或全角空格",""),IF(H55="","缺少额定频率",""),IF(AND(ISTEXT(H55),OR(H55&lt;&gt;TRIM(H55),ISNUMBER(SEARCH("　",H55)))),"额定频率含首尾空格或全角空格",""),IF(I55="","",IF(COUNTIF(EV_COOLING_MOTOR_HV,I55)=0,"冷却方式不在标准枚举中","")),IF(AND(ISTEXT(I55),OR(I55&lt;&gt;TRIM(I55),ISNUMBER(SEARCH("　",I55)))),"冷却方式含首尾空格或全角空格",""),IF(J55="","缺少额定功率",""),IF(J55="","",IF(NOT(ISNUMBER(J55)),"额定功率应为数值",IF(J55&lt;=0,"额定功率应大于0",""))),IF(K55="","缺少极数",""),IF(K55="","",IF(COUNTIF(EV_POLES_PMSM,K55)=0,"极数不在标准枚举中","")),IF(L55="","缺少额定转速",""),IF(L55="","",IF(NOT(ISNUMBER(L55)),"额定转速应为数值",IF(L55&lt;=0,"额定转速应大于0",""))),IF(M55="","缺少效率",""),IF(M55="","",IF(NOT(ISNUMBER(M55)),"效率应为数值",IF(OR(M55&lt;1,M55&gt;100),"效率应为1～100的百分数本值",""))),IF(R55="","缺少铭牌照片",""),IF(AND(ISTEXT(S55),OR(S55&lt;&gt;TRIM(S55),ISNUMBER(SEARCH("　",S55)))),"填表备注含首尾空格或全角空格",""),IF(AND(OR(F55="高压三相笼型异步电动机",F55="异步起动三相永磁同步电动机",F55="变频调速永磁同步电动机"),OR(G55="3（3.3）",G55="6",G55="10"),I55=""),"高压电动机缺少冷却方式",""),IF(AND(F55="电梯用永磁同步电动机",L55=""),"电梯用永磁同步电动机缺少额定转速","")),"")</f>
        <v/>
      </c>
    </row>
    <row r="56" ht="42" customHeight="1" s="184">
      <c r="A56" s="224">
        <f>IF(COUNTA(B56,C56,D56,E56,F56,G56,H56,I56,J56,K56,L56,M56,R56,S56)&gt;0,ROW()-3,"")</f>
        <v/>
      </c>
      <c r="B56" s="176" t="n"/>
      <c r="C56" s="176" t="n"/>
      <c r="D56" s="228" t="n"/>
      <c r="E56" s="176" t="n"/>
      <c r="F56" s="218" t="n"/>
      <c r="G56" s="218" t="n"/>
      <c r="H56" s="176" t="n"/>
      <c r="I56" s="218" t="n"/>
      <c r="J56" s="229" t="n"/>
      <c r="K56" s="181" t="n"/>
      <c r="L56" s="229" t="n"/>
      <c r="M56" s="229" t="n"/>
      <c r="N56" s="227" t="n"/>
      <c r="O56" s="227" t="n"/>
      <c r="P56" s="227" t="n"/>
      <c r="Q56" s="81" t="n"/>
      <c r="R56" s="180" t="n"/>
      <c r="S56" s="180" t="n"/>
      <c r="T56" s="99">
        <f>IF(COUNTA(B56,C56,D56,E56,F56,G56,H56,I56,J56,K56,L56,M56,R56,S56)&gt;0,TEXTJOIN("；",TRUE,IF(B56="","缺少设备名称",""),IF(AND(ISTEXT(B56),OR(B56&lt;&gt;TRIM(B56),ISNUMBER(SEARCH("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",E56)))),"安装位置含首尾空格或全角空格",""),IF(F56="","缺少设备类别",""),IF(F56="","",IF(COUNTIF(EV_MOTOR_CATEGORY,F56)=0,"设备类别不在标准枚举中","")),IF(AND(ISTEXT(F56),OR(F56&lt;&gt;TRIM(F56),ISNUMBER(SEARCH("　",F56)))),"设备类别含首尾空格或全角空格",""),IF(G56="","缺少额定电压",""),IF(G56="","",IF(COUNTIF(EV_MOTOR_VOLTAGE,G56)=0,"额定电压不在标准枚举中","")),IF(AND(ISTEXT(G56),OR(G56&lt;&gt;TRIM(G56),ISNUMBER(SEARCH("　",G56)))),"额定电压含首尾空格或全角空格",""),IF(H56="","缺少额定频率",""),IF(AND(ISTEXT(H56),OR(H56&lt;&gt;TRIM(H56),ISNUMBER(SEARCH("　",H56)))),"额定频率含首尾空格或全角空格",""),IF(I56="","",IF(COUNTIF(EV_COOLING_MOTOR_HV,I56)=0,"冷却方式不在标准枚举中","")),IF(AND(ISTEXT(I56),OR(I56&lt;&gt;TRIM(I56),ISNUMBER(SEARCH("　",I56)))),"冷却方式含首尾空格或全角空格",""),IF(J56="","缺少额定功率",""),IF(J56="","",IF(NOT(ISNUMBER(J56)),"额定功率应为数值",IF(J56&lt;=0,"额定功率应大于0",""))),IF(K56="","缺少极数",""),IF(K56="","",IF(COUNTIF(EV_POLES_PMSM,K56)=0,"极数不在标准枚举中","")),IF(L56="","缺少额定转速",""),IF(L56="","",IF(NOT(ISNUMBER(L56)),"额定转速应为数值",IF(L56&lt;=0,"额定转速应大于0",""))),IF(M56="","缺少效率",""),IF(M56="","",IF(NOT(ISNUMBER(M56)),"效率应为数值",IF(OR(M56&lt;1,M56&gt;100),"效率应为1～100的百分数本值",""))),IF(R56="","缺少铭牌照片",""),IF(AND(ISTEXT(S56),OR(S56&lt;&gt;TRIM(S56),ISNUMBER(SEARCH("　",S56)))),"填表备注含首尾空格或全角空格",""),IF(AND(OR(F56="高压三相笼型异步电动机",F56="异步起动三相永磁同步电动机",F56="变频调速永磁同步电动机"),OR(G56="3（3.3）",G56="6",G56="10"),I56=""),"高压电动机缺少冷却方式",""),IF(AND(F56="电梯用永磁同步电动机",L56=""),"电梯用永磁同步电动机缺少额定转速","")),"")</f>
        <v/>
      </c>
    </row>
    <row r="57" ht="42" customHeight="1" s="184">
      <c r="A57" s="224">
        <f>IF(COUNTA(B57,C57,D57,E57,F57,G57,H57,I57,J57,K57,L57,M57,R57,S57)&gt;0,ROW()-3,"")</f>
        <v/>
      </c>
      <c r="B57" s="176" t="n"/>
      <c r="C57" s="176" t="n"/>
      <c r="D57" s="228" t="n"/>
      <c r="E57" s="176" t="n"/>
      <c r="F57" s="218" t="n"/>
      <c r="G57" s="218" t="n"/>
      <c r="H57" s="176" t="n"/>
      <c r="I57" s="218" t="n"/>
      <c r="J57" s="229" t="n"/>
      <c r="K57" s="181" t="n"/>
      <c r="L57" s="229" t="n"/>
      <c r="M57" s="229" t="n"/>
      <c r="N57" s="227" t="n"/>
      <c r="O57" s="227" t="n"/>
      <c r="P57" s="227" t="n"/>
      <c r="Q57" s="81" t="n"/>
      <c r="R57" s="180" t="n"/>
      <c r="S57" s="180" t="n"/>
      <c r="T57" s="99">
        <f>IF(COUNTA(B57,C57,D57,E57,F57,G57,H57,I57,J57,K57,L57,M57,R57,S57)&gt;0,TEXTJOIN("；",TRUE,IF(B57="","缺少设备名称",""),IF(AND(ISTEXT(B57),OR(B57&lt;&gt;TRIM(B57),ISNUMBER(SEARCH("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",E57)))),"安装位置含首尾空格或全角空格",""),IF(F57="","缺少设备类别",""),IF(F57="","",IF(COUNTIF(EV_MOTOR_CATEGORY,F57)=0,"设备类别不在标准枚举中","")),IF(AND(ISTEXT(F57),OR(F57&lt;&gt;TRIM(F57),ISNUMBER(SEARCH("　",F57)))),"设备类别含首尾空格或全角空格",""),IF(G57="","缺少额定电压",""),IF(G57="","",IF(COUNTIF(EV_MOTOR_VOLTAGE,G57)=0,"额定电压不在标准枚举中","")),IF(AND(ISTEXT(G57),OR(G57&lt;&gt;TRIM(G57),ISNUMBER(SEARCH("　",G57)))),"额定电压含首尾空格或全角空格",""),IF(H57="","缺少额定频率",""),IF(AND(ISTEXT(H57),OR(H57&lt;&gt;TRIM(H57),ISNUMBER(SEARCH("　",H57)))),"额定频率含首尾空格或全角空格",""),IF(I57="","",IF(COUNTIF(EV_COOLING_MOTOR_HV,I57)=0,"冷却方式不在标准枚举中","")),IF(AND(ISTEXT(I57),OR(I57&lt;&gt;TRIM(I57),ISNUMBER(SEARCH("　",I57)))),"冷却方式含首尾空格或全角空格",""),IF(J57="","缺少额定功率",""),IF(J57="","",IF(NOT(ISNUMBER(J57)),"额定功率应为数值",IF(J57&lt;=0,"额定功率应大于0",""))),IF(K57="","缺少极数",""),IF(K57="","",IF(COUNTIF(EV_POLES_PMSM,K57)=0,"极数不在标准枚举中","")),IF(L57="","缺少额定转速",""),IF(L57="","",IF(NOT(ISNUMBER(L57)),"额定转速应为数值",IF(L57&lt;=0,"额定转速应大于0",""))),IF(M57="","缺少效率",""),IF(M57="","",IF(NOT(ISNUMBER(M57)),"效率应为数值",IF(OR(M57&lt;1,M57&gt;100),"效率应为1～100的百分数本值",""))),IF(R57="","缺少铭牌照片",""),IF(AND(ISTEXT(S57),OR(S57&lt;&gt;TRIM(S57),ISNUMBER(SEARCH("　",S57)))),"填表备注含首尾空格或全角空格",""),IF(AND(OR(F57="高压三相笼型异步电动机",F57="异步起动三相永磁同步电动机",F57="变频调速永磁同步电动机"),OR(G57="3（3.3）",G57="6",G57="10"),I57=""),"高压电动机缺少冷却方式",""),IF(AND(F57="电梯用永磁同步电动机",L57=""),"电梯用永磁同步电动机缺少额定转速","")),"")</f>
        <v/>
      </c>
    </row>
    <row r="58" ht="42" customHeight="1" s="184">
      <c r="A58" s="224">
        <f>IF(COUNTA(B58,C58,D58,E58,F58,G58,H58,I58,J58,K58,L58,M58,R58,S58)&gt;0,ROW()-3,"")</f>
        <v/>
      </c>
      <c r="B58" s="176" t="n"/>
      <c r="C58" s="176" t="n"/>
      <c r="D58" s="228" t="n"/>
      <c r="E58" s="176" t="n"/>
      <c r="F58" s="218" t="n"/>
      <c r="G58" s="218" t="n"/>
      <c r="H58" s="176" t="n"/>
      <c r="I58" s="218" t="n"/>
      <c r="J58" s="229" t="n"/>
      <c r="K58" s="181" t="n"/>
      <c r="L58" s="229" t="n"/>
      <c r="M58" s="229" t="n"/>
      <c r="N58" s="227" t="n"/>
      <c r="O58" s="227" t="n"/>
      <c r="P58" s="227" t="n"/>
      <c r="Q58" s="81" t="n"/>
      <c r="R58" s="180" t="n"/>
      <c r="S58" s="180" t="n"/>
      <c r="T58" s="99">
        <f>IF(COUNTA(B58,C58,D58,E58,F58,G58,H58,I58,J58,K58,L58,M58,R58,S58)&gt;0,TEXTJOIN("；",TRUE,IF(B58="","缺少设备名称",""),IF(AND(ISTEXT(B58),OR(B58&lt;&gt;TRIM(B58),ISNUMBER(SEARCH("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",E58)))),"安装位置含首尾空格或全角空格",""),IF(F58="","缺少设备类别",""),IF(F58="","",IF(COUNTIF(EV_MOTOR_CATEGORY,F58)=0,"设备类别不在标准枚举中","")),IF(AND(ISTEXT(F58),OR(F58&lt;&gt;TRIM(F58),ISNUMBER(SEARCH("　",F58)))),"设备类别含首尾空格或全角空格",""),IF(G58="","缺少额定电压",""),IF(G58="","",IF(COUNTIF(EV_MOTOR_VOLTAGE,G58)=0,"额定电压不在标准枚举中","")),IF(AND(ISTEXT(G58),OR(G58&lt;&gt;TRIM(G58),ISNUMBER(SEARCH("　",G58)))),"额定电压含首尾空格或全角空格",""),IF(H58="","缺少额定频率",""),IF(AND(ISTEXT(H58),OR(H58&lt;&gt;TRIM(H58),ISNUMBER(SEARCH("　",H58)))),"额定频率含首尾空格或全角空格",""),IF(I58="","",IF(COUNTIF(EV_COOLING_MOTOR_HV,I58)=0,"冷却方式不在标准枚举中","")),IF(AND(ISTEXT(I58),OR(I58&lt;&gt;TRIM(I58),ISNUMBER(SEARCH("　",I58)))),"冷却方式含首尾空格或全角空格",""),IF(J58="","缺少额定功率",""),IF(J58="","",IF(NOT(ISNUMBER(J58)),"额定功率应为数值",IF(J58&lt;=0,"额定功率应大于0",""))),IF(K58="","缺少极数",""),IF(K58="","",IF(COUNTIF(EV_POLES_PMSM,K58)=0,"极数不在标准枚举中","")),IF(L58="","缺少额定转速",""),IF(L58="","",IF(NOT(ISNUMBER(L58)),"额定转速应为数值",IF(L58&lt;=0,"额定转速应大于0",""))),IF(M58="","缺少效率",""),IF(M58="","",IF(NOT(ISNUMBER(M58)),"效率应为数值",IF(OR(M58&lt;1,M58&gt;100),"效率应为1～100的百分数本值",""))),IF(R58="","缺少铭牌照片",""),IF(AND(ISTEXT(S58),OR(S58&lt;&gt;TRIM(S58),ISNUMBER(SEARCH("　",S58)))),"填表备注含首尾空格或全角空格",""),IF(AND(OR(F58="高压三相笼型异步电动机",F58="异步起动三相永磁同步电动机",F58="变频调速永磁同步电动机"),OR(G58="3（3.3）",G58="6",G58="10"),I58=""),"高压电动机缺少冷却方式",""),IF(AND(F58="电梯用永磁同步电动机",L58=""),"电梯用永磁同步电动机缺少额定转速","")),"")</f>
        <v/>
      </c>
    </row>
    <row r="59" ht="42" customHeight="1" s="184">
      <c r="A59" s="224">
        <f>IF(COUNTA(B59,C59,D59,E59,F59,G59,H59,I59,J59,K59,L59,M59,R59,S59)&gt;0,ROW()-3,"")</f>
        <v/>
      </c>
      <c r="B59" s="176" t="n"/>
      <c r="C59" s="176" t="n"/>
      <c r="D59" s="228" t="n"/>
      <c r="E59" s="176" t="n"/>
      <c r="F59" s="218" t="n"/>
      <c r="G59" s="218" t="n"/>
      <c r="H59" s="176" t="n"/>
      <c r="I59" s="218" t="n"/>
      <c r="J59" s="229" t="n"/>
      <c r="K59" s="181" t="n"/>
      <c r="L59" s="229" t="n"/>
      <c r="M59" s="229" t="n"/>
      <c r="N59" s="227" t="n"/>
      <c r="O59" s="227" t="n"/>
      <c r="P59" s="227" t="n"/>
      <c r="Q59" s="81" t="n"/>
      <c r="R59" s="180" t="n"/>
      <c r="S59" s="180" t="n"/>
      <c r="T59" s="99">
        <f>IF(COUNTA(B59,C59,D59,E59,F59,G59,H59,I59,J59,K59,L59,M59,R59,S59)&gt;0,TEXTJOIN("；",TRUE,IF(B59="","缺少设备名称",""),IF(AND(ISTEXT(B59),OR(B59&lt;&gt;TRIM(B59),ISNUMBER(SEARCH("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",E59)))),"安装位置含首尾空格或全角空格",""),IF(F59="","缺少设备类别",""),IF(F59="","",IF(COUNTIF(EV_MOTOR_CATEGORY,F59)=0,"设备类别不在标准枚举中","")),IF(AND(ISTEXT(F59),OR(F59&lt;&gt;TRIM(F59),ISNUMBER(SEARCH("　",F59)))),"设备类别含首尾空格或全角空格",""),IF(G59="","缺少额定电压",""),IF(G59="","",IF(COUNTIF(EV_MOTOR_VOLTAGE,G59)=0,"额定电压不在标准枚举中","")),IF(AND(ISTEXT(G59),OR(G59&lt;&gt;TRIM(G59),ISNUMBER(SEARCH("　",G59)))),"额定电压含首尾空格或全角空格",""),IF(H59="","缺少额定频率",""),IF(AND(ISTEXT(H59),OR(H59&lt;&gt;TRIM(H59),ISNUMBER(SEARCH("　",H59)))),"额定频率含首尾空格或全角空格",""),IF(I59="","",IF(COUNTIF(EV_COOLING_MOTOR_HV,I59)=0,"冷却方式不在标准枚举中","")),IF(AND(ISTEXT(I59),OR(I59&lt;&gt;TRIM(I59),ISNUMBER(SEARCH("　",I59)))),"冷却方式含首尾空格或全角空格",""),IF(J59="","缺少额定功率",""),IF(J59="","",IF(NOT(ISNUMBER(J59)),"额定功率应为数值",IF(J59&lt;=0,"额定功率应大于0",""))),IF(K59="","缺少极数",""),IF(K59="","",IF(COUNTIF(EV_POLES_PMSM,K59)=0,"极数不在标准枚举中","")),IF(L59="","缺少额定转速",""),IF(L59="","",IF(NOT(ISNUMBER(L59)),"额定转速应为数值",IF(L59&lt;=0,"额定转速应大于0",""))),IF(M59="","缺少效率",""),IF(M59="","",IF(NOT(ISNUMBER(M59)),"效率应为数值",IF(OR(M59&lt;1,M59&gt;100),"效率应为1～100的百分数本值",""))),IF(R59="","缺少铭牌照片",""),IF(AND(ISTEXT(S59),OR(S59&lt;&gt;TRIM(S59),ISNUMBER(SEARCH("　",S59)))),"填表备注含首尾空格或全角空格",""),IF(AND(OR(F59="高压三相笼型异步电动机",F59="异步起动三相永磁同步电动机",F59="变频调速永磁同步电动机"),OR(G59="3（3.3）",G59="6",G59="10"),I59=""),"高压电动机缺少冷却方式",""),IF(AND(F59="电梯用永磁同步电动机",L59=""),"电梯用永磁同步电动机缺少额定转速","")),"")</f>
        <v/>
      </c>
    </row>
    <row r="60" ht="42" customHeight="1" s="184">
      <c r="A60" s="224">
        <f>IF(COUNTA(B60,C60,D60,E60,F60,G60,H60,I60,J60,K60,L60,M60,R60,S60)&gt;0,ROW()-3,"")</f>
        <v/>
      </c>
      <c r="B60" s="176" t="n"/>
      <c r="C60" s="176" t="n"/>
      <c r="D60" s="228" t="n"/>
      <c r="E60" s="176" t="n"/>
      <c r="F60" s="218" t="n"/>
      <c r="G60" s="218" t="n"/>
      <c r="H60" s="176" t="n"/>
      <c r="I60" s="218" t="n"/>
      <c r="J60" s="229" t="n"/>
      <c r="K60" s="181" t="n"/>
      <c r="L60" s="229" t="n"/>
      <c r="M60" s="229" t="n"/>
      <c r="N60" s="227" t="n"/>
      <c r="O60" s="227" t="n"/>
      <c r="P60" s="227" t="n"/>
      <c r="Q60" s="81" t="n"/>
      <c r="R60" s="180" t="n"/>
      <c r="S60" s="180" t="n"/>
      <c r="T60" s="99">
        <f>IF(COUNTA(B60,C60,D60,E60,F60,G60,H60,I60,J60,K60,L60,M60,R60,S60)&gt;0,TEXTJOIN("；",TRUE,IF(B60="","缺少设备名称",""),IF(AND(ISTEXT(B60),OR(B60&lt;&gt;TRIM(B60),ISNUMBER(SEARCH("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",E60)))),"安装位置含首尾空格或全角空格",""),IF(F60="","缺少设备类别",""),IF(F60="","",IF(COUNTIF(EV_MOTOR_CATEGORY,F60)=0,"设备类别不在标准枚举中","")),IF(AND(ISTEXT(F60),OR(F60&lt;&gt;TRIM(F60),ISNUMBER(SEARCH("　",F60)))),"设备类别含首尾空格或全角空格",""),IF(G60="","缺少额定电压",""),IF(G60="","",IF(COUNTIF(EV_MOTOR_VOLTAGE,G60)=0,"额定电压不在标准枚举中","")),IF(AND(ISTEXT(G60),OR(G60&lt;&gt;TRIM(G60),ISNUMBER(SEARCH("　",G60)))),"额定电压含首尾空格或全角空格",""),IF(H60="","缺少额定频率",""),IF(AND(ISTEXT(H60),OR(H60&lt;&gt;TRIM(H60),ISNUMBER(SEARCH("　",H60)))),"额定频率含首尾空格或全角空格",""),IF(I60="","",IF(COUNTIF(EV_COOLING_MOTOR_HV,I60)=0,"冷却方式不在标准枚举中","")),IF(AND(ISTEXT(I60),OR(I60&lt;&gt;TRIM(I60),ISNUMBER(SEARCH("　",I60)))),"冷却方式含首尾空格或全角空格",""),IF(J60="","缺少额定功率",""),IF(J60="","",IF(NOT(ISNUMBER(J60)),"额定功率应为数值",IF(J60&lt;=0,"额定功率应大于0",""))),IF(K60="","缺少极数",""),IF(K60="","",IF(COUNTIF(EV_POLES_PMSM,K60)=0,"极数不在标准枚举中","")),IF(L60="","缺少额定转速",""),IF(L60="","",IF(NOT(ISNUMBER(L60)),"额定转速应为数值",IF(L60&lt;=0,"额定转速应大于0",""))),IF(M60="","缺少效率",""),IF(M60="","",IF(NOT(ISNUMBER(M60)),"效率应为数值",IF(OR(M60&lt;1,M60&gt;100),"效率应为1～100的百分数本值",""))),IF(R60="","缺少铭牌照片",""),IF(AND(ISTEXT(S60),OR(S60&lt;&gt;TRIM(S60),ISNUMBER(SEARCH("　",S60)))),"填表备注含首尾空格或全角空格",""),IF(AND(OR(F60="高压三相笼型异步电动机",F60="异步起动三相永磁同步电动机",F60="变频调速永磁同步电动机"),OR(G60="3（3.3）",G60="6",G60="10"),I60=""),"高压电动机缺少冷却方式",""),IF(AND(F60="电梯用永磁同步电动机",L60=""),"电梯用永磁同步电动机缺少额定转速","")),"")</f>
        <v/>
      </c>
    </row>
    <row r="61" ht="42" customHeight="1" s="184">
      <c r="A61" s="224">
        <f>IF(COUNTA(B61,C61,D61,E61,F61,G61,H61,I61,J61,K61,L61,M61,R61,S61)&gt;0,ROW()-3,"")</f>
        <v/>
      </c>
      <c r="B61" s="176" t="n"/>
      <c r="C61" s="176" t="n"/>
      <c r="D61" s="228" t="n"/>
      <c r="E61" s="176" t="n"/>
      <c r="F61" s="218" t="n"/>
      <c r="G61" s="218" t="n"/>
      <c r="H61" s="176" t="n"/>
      <c r="I61" s="218" t="n"/>
      <c r="J61" s="229" t="n"/>
      <c r="K61" s="181" t="n"/>
      <c r="L61" s="229" t="n"/>
      <c r="M61" s="229" t="n"/>
      <c r="N61" s="227" t="n"/>
      <c r="O61" s="227" t="n"/>
      <c r="P61" s="227" t="n"/>
      <c r="Q61" s="81" t="n"/>
      <c r="R61" s="180" t="n"/>
      <c r="S61" s="180" t="n"/>
      <c r="T61" s="99">
        <f>IF(COUNTA(B61,C61,D61,E61,F61,G61,H61,I61,J61,K61,L61,M61,R61,S61)&gt;0,TEXTJOIN("；",TRUE,IF(B61="","缺少设备名称",""),IF(AND(ISTEXT(B61),OR(B61&lt;&gt;TRIM(B61),ISNUMBER(SEARCH("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",E61)))),"安装位置含首尾空格或全角空格",""),IF(F61="","缺少设备类别",""),IF(F61="","",IF(COUNTIF(EV_MOTOR_CATEGORY,F61)=0,"设备类别不在标准枚举中","")),IF(AND(ISTEXT(F61),OR(F61&lt;&gt;TRIM(F61),ISNUMBER(SEARCH("　",F61)))),"设备类别含首尾空格或全角空格",""),IF(G61="","缺少额定电压",""),IF(G61="","",IF(COUNTIF(EV_MOTOR_VOLTAGE,G61)=0,"额定电压不在标准枚举中","")),IF(AND(ISTEXT(G61),OR(G61&lt;&gt;TRIM(G61),ISNUMBER(SEARCH("　",G61)))),"额定电压含首尾空格或全角空格",""),IF(H61="","缺少额定频率",""),IF(AND(ISTEXT(H61),OR(H61&lt;&gt;TRIM(H61),ISNUMBER(SEARCH("　",H61)))),"额定频率含首尾空格或全角空格",""),IF(I61="","",IF(COUNTIF(EV_COOLING_MOTOR_HV,I61)=0,"冷却方式不在标准枚举中","")),IF(AND(ISTEXT(I61),OR(I61&lt;&gt;TRIM(I61),ISNUMBER(SEARCH("　",I61)))),"冷却方式含首尾空格或全角空格",""),IF(J61="","缺少额定功率",""),IF(J61="","",IF(NOT(ISNUMBER(J61)),"额定功率应为数值",IF(J61&lt;=0,"额定功率应大于0",""))),IF(K61="","缺少极数",""),IF(K61="","",IF(COUNTIF(EV_POLES_PMSM,K61)=0,"极数不在标准枚举中","")),IF(L61="","缺少额定转速",""),IF(L61="","",IF(NOT(ISNUMBER(L61)),"额定转速应为数值",IF(L61&lt;=0,"额定转速应大于0",""))),IF(M61="","缺少效率",""),IF(M61="","",IF(NOT(ISNUMBER(M61)),"效率应为数值",IF(OR(M61&lt;1,M61&gt;100),"效率应为1～100的百分数本值",""))),IF(R61="","缺少铭牌照片",""),IF(AND(ISTEXT(S61),OR(S61&lt;&gt;TRIM(S61),ISNUMBER(SEARCH("　",S61)))),"填表备注含首尾空格或全角空格",""),IF(AND(OR(F61="高压三相笼型异步电动机",F61="异步起动三相永磁同步电动机",F61="变频调速永磁同步电动机"),OR(G61="3（3.3）",G61="6",G61="10"),I61=""),"高压电动机缺少冷却方式",""),IF(AND(F61="电梯用永磁同步电动机",L61=""),"电梯用永磁同步电动机缺少额定转速","")),"")</f>
        <v/>
      </c>
    </row>
    <row r="62" ht="42" customHeight="1" s="184">
      <c r="A62" s="224">
        <f>IF(COUNTA(B62,C62,D62,E62,F62,G62,H62,I62,J62,K62,L62,M62,R62,S62)&gt;0,ROW()-3,"")</f>
        <v/>
      </c>
      <c r="B62" s="176" t="n"/>
      <c r="C62" s="176" t="n"/>
      <c r="D62" s="228" t="n"/>
      <c r="E62" s="176" t="n"/>
      <c r="F62" s="218" t="n"/>
      <c r="G62" s="218" t="n"/>
      <c r="H62" s="176" t="n"/>
      <c r="I62" s="218" t="n"/>
      <c r="J62" s="229" t="n"/>
      <c r="K62" s="181" t="n"/>
      <c r="L62" s="229" t="n"/>
      <c r="M62" s="229" t="n"/>
      <c r="N62" s="227" t="n"/>
      <c r="O62" s="227" t="n"/>
      <c r="P62" s="227" t="n"/>
      <c r="Q62" s="81" t="n"/>
      <c r="R62" s="180" t="n"/>
      <c r="S62" s="180" t="n"/>
      <c r="T62" s="99">
        <f>IF(COUNTA(B62,C62,D62,E62,F62,G62,H62,I62,J62,K62,L62,M62,R62,S62)&gt;0,TEXTJOIN("；",TRUE,IF(B62="","缺少设备名称",""),IF(AND(ISTEXT(B62),OR(B62&lt;&gt;TRIM(B62),ISNUMBER(SEARCH("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",E62)))),"安装位置含首尾空格或全角空格",""),IF(F62="","缺少设备类别",""),IF(F62="","",IF(COUNTIF(EV_MOTOR_CATEGORY,F62)=0,"设备类别不在标准枚举中","")),IF(AND(ISTEXT(F62),OR(F62&lt;&gt;TRIM(F62),ISNUMBER(SEARCH("　",F62)))),"设备类别含首尾空格或全角空格",""),IF(G62="","缺少额定电压",""),IF(G62="","",IF(COUNTIF(EV_MOTOR_VOLTAGE,G62)=0,"额定电压不在标准枚举中","")),IF(AND(ISTEXT(G62),OR(G62&lt;&gt;TRIM(G62),ISNUMBER(SEARCH("　",G62)))),"额定电压含首尾空格或全角空格",""),IF(H62="","缺少额定频率",""),IF(AND(ISTEXT(H62),OR(H62&lt;&gt;TRIM(H62),ISNUMBER(SEARCH("　",H62)))),"额定频率含首尾空格或全角空格",""),IF(I62="","",IF(COUNTIF(EV_COOLING_MOTOR_HV,I62)=0,"冷却方式不在标准枚举中","")),IF(AND(ISTEXT(I62),OR(I62&lt;&gt;TRIM(I62),ISNUMBER(SEARCH("　",I62)))),"冷却方式含首尾空格或全角空格",""),IF(J62="","缺少额定功率",""),IF(J62="","",IF(NOT(ISNUMBER(J62)),"额定功率应为数值",IF(J62&lt;=0,"额定功率应大于0",""))),IF(K62="","缺少极数",""),IF(K62="","",IF(COUNTIF(EV_POLES_PMSM,K62)=0,"极数不在标准枚举中","")),IF(L62="","缺少额定转速",""),IF(L62="","",IF(NOT(ISNUMBER(L62)),"额定转速应为数值",IF(L62&lt;=0,"额定转速应大于0",""))),IF(M62="","缺少效率",""),IF(M62="","",IF(NOT(ISNUMBER(M62)),"效率应为数值",IF(OR(M62&lt;1,M62&gt;100),"效率应为1～100的百分数本值",""))),IF(R62="","缺少铭牌照片",""),IF(AND(ISTEXT(S62),OR(S62&lt;&gt;TRIM(S62),ISNUMBER(SEARCH("　",S62)))),"填表备注含首尾空格或全角空格",""),IF(AND(OR(F62="高压三相笼型异步电动机",F62="异步起动三相永磁同步电动机",F62="变频调速永磁同步电动机"),OR(G62="3（3.3）",G62="6",G62="10"),I62=""),"高压电动机缺少冷却方式",""),IF(AND(F62="电梯用永磁同步电动机",L62=""),"电梯用永磁同步电动机缺少额定转速","")),"")</f>
        <v/>
      </c>
    </row>
    <row r="63" ht="42" customHeight="1" s="184">
      <c r="A63" s="224">
        <f>IF(COUNTA(B63,C63,D63,E63,F63,G63,H63,I63,J63,K63,L63,M63,R63,S63)&gt;0,ROW()-3,"")</f>
        <v/>
      </c>
      <c r="B63" s="176" t="n"/>
      <c r="C63" s="176" t="n"/>
      <c r="D63" s="228" t="n"/>
      <c r="E63" s="176" t="n"/>
      <c r="F63" s="218" t="n"/>
      <c r="G63" s="218" t="n"/>
      <c r="H63" s="176" t="n"/>
      <c r="I63" s="218" t="n"/>
      <c r="J63" s="229" t="n"/>
      <c r="K63" s="181" t="n"/>
      <c r="L63" s="229" t="n"/>
      <c r="M63" s="229" t="n"/>
      <c r="N63" s="227" t="n"/>
      <c r="O63" s="227" t="n"/>
      <c r="P63" s="227" t="n"/>
      <c r="Q63" s="81" t="n"/>
      <c r="R63" s="180" t="n"/>
      <c r="S63" s="180" t="n"/>
      <c r="T63" s="99">
        <f>IF(COUNTA(B63,C63,D63,E63,F63,G63,H63,I63,J63,K63,L63,M63,R63,S63)&gt;0,TEXTJOIN("；",TRUE,IF(B63="","缺少设备名称",""),IF(AND(ISTEXT(B63),OR(B63&lt;&gt;TRIM(B63),ISNUMBER(SEARCH("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",E63)))),"安装位置含首尾空格或全角空格",""),IF(F63="","缺少设备类别",""),IF(F63="","",IF(COUNTIF(EV_MOTOR_CATEGORY,F63)=0,"设备类别不在标准枚举中","")),IF(AND(ISTEXT(F63),OR(F63&lt;&gt;TRIM(F63),ISNUMBER(SEARCH("　",F63)))),"设备类别含首尾空格或全角空格",""),IF(G63="","缺少额定电压",""),IF(G63="","",IF(COUNTIF(EV_MOTOR_VOLTAGE,G63)=0,"额定电压不在标准枚举中","")),IF(AND(ISTEXT(G63),OR(G63&lt;&gt;TRIM(G63),ISNUMBER(SEARCH("　",G63)))),"额定电压含首尾空格或全角空格",""),IF(H63="","缺少额定频率",""),IF(AND(ISTEXT(H63),OR(H63&lt;&gt;TRIM(H63),ISNUMBER(SEARCH("　",H63)))),"额定频率含首尾空格或全角空格",""),IF(I63="","",IF(COUNTIF(EV_COOLING_MOTOR_HV,I63)=0,"冷却方式不在标准枚举中","")),IF(AND(ISTEXT(I63),OR(I63&lt;&gt;TRIM(I63),ISNUMBER(SEARCH("　",I63)))),"冷却方式含首尾空格或全角空格",""),IF(J63="","缺少额定功率",""),IF(J63="","",IF(NOT(ISNUMBER(J63)),"额定功率应为数值",IF(J63&lt;=0,"额定功率应大于0",""))),IF(K63="","缺少极数",""),IF(K63="","",IF(COUNTIF(EV_POLES_PMSM,K63)=0,"极数不在标准枚举中","")),IF(L63="","缺少额定转速",""),IF(L63="","",IF(NOT(ISNUMBER(L63)),"额定转速应为数值",IF(L63&lt;=0,"额定转速应大于0",""))),IF(M63="","缺少效率",""),IF(M63="","",IF(NOT(ISNUMBER(M63)),"效率应为数值",IF(OR(M63&lt;1,M63&gt;100),"效率应为1～100的百分数本值",""))),IF(R63="","缺少铭牌照片",""),IF(AND(ISTEXT(S63),OR(S63&lt;&gt;TRIM(S63),ISNUMBER(SEARCH("　",S63)))),"填表备注含首尾空格或全角空格",""),IF(AND(OR(F63="高压三相笼型异步电动机",F63="异步起动三相永磁同步电动机",F63="变频调速永磁同步电动机"),OR(G63="3（3.3）",G63="6",G63="10"),I63=""),"高压电动机缺少冷却方式",""),IF(AND(F63="电梯用永磁同步电动机",L63=""),"电梯用永磁同步电动机缺少额定转速","")),"")</f>
        <v/>
      </c>
    </row>
    <row r="64" ht="42" customHeight="1" s="184">
      <c r="A64" s="224">
        <f>IF(COUNTA(B64,C64,D64,E64,F64,G64,H64,I64,J64,K64,L64,M64,R64,S64)&gt;0,ROW()-3,"")</f>
        <v/>
      </c>
      <c r="B64" s="176" t="n"/>
      <c r="C64" s="176" t="n"/>
      <c r="D64" s="228" t="n"/>
      <c r="E64" s="176" t="n"/>
      <c r="F64" s="218" t="n"/>
      <c r="G64" s="218" t="n"/>
      <c r="H64" s="176" t="n"/>
      <c r="I64" s="218" t="n"/>
      <c r="J64" s="229" t="n"/>
      <c r="K64" s="181" t="n"/>
      <c r="L64" s="229" t="n"/>
      <c r="M64" s="229" t="n"/>
      <c r="N64" s="227" t="n"/>
      <c r="O64" s="227" t="n"/>
      <c r="P64" s="227" t="n"/>
      <c r="Q64" s="81" t="n"/>
      <c r="R64" s="180" t="n"/>
      <c r="S64" s="180" t="n"/>
      <c r="T64" s="99">
        <f>IF(COUNTA(B64,C64,D64,E64,F64,G64,H64,I64,J64,K64,L64,M64,R64,S64)&gt;0,TEXTJOIN("；",TRUE,IF(B64="","缺少设备名称",""),IF(AND(ISTEXT(B64),OR(B64&lt;&gt;TRIM(B64),ISNUMBER(SEARCH("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",E64)))),"安装位置含首尾空格或全角空格",""),IF(F64="","缺少设备类别",""),IF(F64="","",IF(COUNTIF(EV_MOTOR_CATEGORY,F64)=0,"设备类别不在标准枚举中","")),IF(AND(ISTEXT(F64),OR(F64&lt;&gt;TRIM(F64),ISNUMBER(SEARCH("　",F64)))),"设备类别含首尾空格或全角空格",""),IF(G64="","缺少额定电压",""),IF(G64="","",IF(COUNTIF(EV_MOTOR_VOLTAGE,G64)=0,"额定电压不在标准枚举中","")),IF(AND(ISTEXT(G64),OR(G64&lt;&gt;TRIM(G64),ISNUMBER(SEARCH("　",G64)))),"额定电压含首尾空格或全角空格",""),IF(H64="","缺少额定频率",""),IF(AND(ISTEXT(H64),OR(H64&lt;&gt;TRIM(H64),ISNUMBER(SEARCH("　",H64)))),"额定频率含首尾空格或全角空格",""),IF(I64="","",IF(COUNTIF(EV_COOLING_MOTOR_HV,I64)=0,"冷却方式不在标准枚举中","")),IF(AND(ISTEXT(I64),OR(I64&lt;&gt;TRIM(I64),ISNUMBER(SEARCH("　",I64)))),"冷却方式含首尾空格或全角空格",""),IF(J64="","缺少额定功率",""),IF(J64="","",IF(NOT(ISNUMBER(J64)),"额定功率应为数值",IF(J64&lt;=0,"额定功率应大于0",""))),IF(K64="","缺少极数",""),IF(K64="","",IF(COUNTIF(EV_POLES_PMSM,K64)=0,"极数不在标准枚举中","")),IF(L64="","缺少额定转速",""),IF(L64="","",IF(NOT(ISNUMBER(L64)),"额定转速应为数值",IF(L64&lt;=0,"额定转速应大于0",""))),IF(M64="","缺少效率",""),IF(M64="","",IF(NOT(ISNUMBER(M64)),"效率应为数值",IF(OR(M64&lt;1,M64&gt;100),"效率应为1～100的百分数本值",""))),IF(R64="","缺少铭牌照片",""),IF(AND(ISTEXT(S64),OR(S64&lt;&gt;TRIM(S64),ISNUMBER(SEARCH("　",S64)))),"填表备注含首尾空格或全角空格",""),IF(AND(OR(F64="高压三相笼型异步电动机",F64="异步起动三相永磁同步电动机",F64="变频调速永磁同步电动机"),OR(G64="3（3.3）",G64="6",G64="10"),I64=""),"高压电动机缺少冷却方式",""),IF(AND(F64="电梯用永磁同步电动机",L64=""),"电梯用永磁同步电动机缺少额定转速","")),"")</f>
        <v/>
      </c>
    </row>
    <row r="65" ht="42" customHeight="1" s="184">
      <c r="A65" s="224">
        <f>IF(COUNTA(B65,C65,D65,E65,F65,G65,H65,I65,J65,K65,L65,M65,R65,S65)&gt;0,ROW()-3,"")</f>
        <v/>
      </c>
      <c r="B65" s="176" t="n"/>
      <c r="C65" s="176" t="n"/>
      <c r="D65" s="228" t="n"/>
      <c r="E65" s="176" t="n"/>
      <c r="F65" s="218" t="n"/>
      <c r="G65" s="218" t="n"/>
      <c r="H65" s="176" t="n"/>
      <c r="I65" s="218" t="n"/>
      <c r="J65" s="229" t="n"/>
      <c r="K65" s="181" t="n"/>
      <c r="L65" s="229" t="n"/>
      <c r="M65" s="229" t="n"/>
      <c r="N65" s="227" t="n"/>
      <c r="O65" s="227" t="n"/>
      <c r="P65" s="227" t="n"/>
      <c r="Q65" s="81" t="n"/>
      <c r="R65" s="180" t="n"/>
      <c r="S65" s="180" t="n"/>
      <c r="T65" s="99">
        <f>IF(COUNTA(B65,C65,D65,E65,F65,G65,H65,I65,J65,K65,L65,M65,R65,S65)&gt;0,TEXTJOIN("；",TRUE,IF(B65="","缺少设备名称",""),IF(AND(ISTEXT(B65),OR(B65&lt;&gt;TRIM(B65),ISNUMBER(SEARCH("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",E65)))),"安装位置含首尾空格或全角空格",""),IF(F65="","缺少设备类别",""),IF(F65="","",IF(COUNTIF(EV_MOTOR_CATEGORY,F65)=0,"设备类别不在标准枚举中","")),IF(AND(ISTEXT(F65),OR(F65&lt;&gt;TRIM(F65),ISNUMBER(SEARCH("　",F65)))),"设备类别含首尾空格或全角空格",""),IF(G65="","缺少额定电压",""),IF(G65="","",IF(COUNTIF(EV_MOTOR_VOLTAGE,G65)=0,"额定电压不在标准枚举中","")),IF(AND(ISTEXT(G65),OR(G65&lt;&gt;TRIM(G65),ISNUMBER(SEARCH("　",G65)))),"额定电压含首尾空格或全角空格",""),IF(H65="","缺少额定频率",""),IF(AND(ISTEXT(H65),OR(H65&lt;&gt;TRIM(H65),ISNUMBER(SEARCH("　",H65)))),"额定频率含首尾空格或全角空格",""),IF(I65="","",IF(COUNTIF(EV_COOLING_MOTOR_HV,I65)=0,"冷却方式不在标准枚举中","")),IF(AND(ISTEXT(I65),OR(I65&lt;&gt;TRIM(I65),ISNUMBER(SEARCH("　",I65)))),"冷却方式含首尾空格或全角空格",""),IF(J65="","缺少额定功率",""),IF(J65="","",IF(NOT(ISNUMBER(J65)),"额定功率应为数值",IF(J65&lt;=0,"额定功率应大于0",""))),IF(K65="","缺少极数",""),IF(K65="","",IF(COUNTIF(EV_POLES_PMSM,K65)=0,"极数不在标准枚举中","")),IF(L65="","缺少额定转速",""),IF(L65="","",IF(NOT(ISNUMBER(L65)),"额定转速应为数值",IF(L65&lt;=0,"额定转速应大于0",""))),IF(M65="","缺少效率",""),IF(M65="","",IF(NOT(ISNUMBER(M65)),"效率应为数值",IF(OR(M65&lt;1,M65&gt;100),"效率应为1～100的百分数本值",""))),IF(R65="","缺少铭牌照片",""),IF(AND(ISTEXT(S65),OR(S65&lt;&gt;TRIM(S65),ISNUMBER(SEARCH("　",S65)))),"填表备注含首尾空格或全角空格",""),IF(AND(OR(F65="高压三相笼型异步电动机",F65="异步起动三相永磁同步电动机",F65="变频调速永磁同步电动机"),OR(G65="3（3.3）",G65="6",G65="10"),I65=""),"高压电动机缺少冷却方式",""),IF(AND(F65="电梯用永磁同步电动机",L65=""),"电梯用永磁同步电动机缺少额定转速","")),"")</f>
        <v/>
      </c>
    </row>
    <row r="66" ht="42" customHeight="1" s="184">
      <c r="A66" s="224">
        <f>IF(COUNTA(B66,C66,D66,E66,F66,G66,H66,I66,J66,K66,L66,M66,R66,S66)&gt;0,ROW()-3,"")</f>
        <v/>
      </c>
      <c r="B66" s="176" t="n"/>
      <c r="C66" s="176" t="n"/>
      <c r="D66" s="228" t="n"/>
      <c r="E66" s="176" t="n"/>
      <c r="F66" s="218" t="n"/>
      <c r="G66" s="218" t="n"/>
      <c r="H66" s="176" t="n"/>
      <c r="I66" s="218" t="n"/>
      <c r="J66" s="229" t="n"/>
      <c r="K66" s="181" t="n"/>
      <c r="L66" s="229" t="n"/>
      <c r="M66" s="229" t="n"/>
      <c r="N66" s="227" t="n"/>
      <c r="O66" s="227" t="n"/>
      <c r="P66" s="227" t="n"/>
      <c r="Q66" s="81" t="n"/>
      <c r="R66" s="180" t="n"/>
      <c r="S66" s="180" t="n"/>
      <c r="T66" s="99">
        <f>IF(COUNTA(B66,C66,D66,E66,F66,G66,H66,I66,J66,K66,L66,M66,R66,S66)&gt;0,TEXTJOIN("；",TRUE,IF(B66="","缺少设备名称",""),IF(AND(ISTEXT(B66),OR(B66&lt;&gt;TRIM(B66),ISNUMBER(SEARCH("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",E66)))),"安装位置含首尾空格或全角空格",""),IF(F66="","缺少设备类别",""),IF(F66="","",IF(COUNTIF(EV_MOTOR_CATEGORY,F66)=0,"设备类别不在标准枚举中","")),IF(AND(ISTEXT(F66),OR(F66&lt;&gt;TRIM(F66),ISNUMBER(SEARCH("　",F66)))),"设备类别含首尾空格或全角空格",""),IF(G66="","缺少额定电压",""),IF(G66="","",IF(COUNTIF(EV_MOTOR_VOLTAGE,G66)=0,"额定电压不在标准枚举中","")),IF(AND(ISTEXT(G66),OR(G66&lt;&gt;TRIM(G66),ISNUMBER(SEARCH("　",G66)))),"额定电压含首尾空格或全角空格",""),IF(H66="","缺少额定频率",""),IF(AND(ISTEXT(H66),OR(H66&lt;&gt;TRIM(H66),ISNUMBER(SEARCH("　",H66)))),"额定频率含首尾空格或全角空格",""),IF(I66="","",IF(COUNTIF(EV_COOLING_MOTOR_HV,I66)=0,"冷却方式不在标准枚举中","")),IF(AND(ISTEXT(I66),OR(I66&lt;&gt;TRIM(I66),ISNUMBER(SEARCH("　",I66)))),"冷却方式含首尾空格或全角空格",""),IF(J66="","缺少额定功率",""),IF(J66="","",IF(NOT(ISNUMBER(J66)),"额定功率应为数值",IF(J66&lt;=0,"额定功率应大于0",""))),IF(K66="","缺少极数",""),IF(K66="","",IF(COUNTIF(EV_POLES_PMSM,K66)=0,"极数不在标准枚举中","")),IF(L66="","缺少额定转速",""),IF(L66="","",IF(NOT(ISNUMBER(L66)),"额定转速应为数值",IF(L66&lt;=0,"额定转速应大于0",""))),IF(M66="","缺少效率",""),IF(M66="","",IF(NOT(ISNUMBER(M66)),"效率应为数值",IF(OR(M66&lt;1,M66&gt;100),"效率应为1～100的百分数本值",""))),IF(R66="","缺少铭牌照片",""),IF(AND(ISTEXT(S66),OR(S66&lt;&gt;TRIM(S66),ISNUMBER(SEARCH("　",S66)))),"填表备注含首尾空格或全角空格",""),IF(AND(OR(F66="高压三相笼型异步电动机",F66="异步起动三相永磁同步电动机",F66="变频调速永磁同步电动机"),OR(G66="3（3.3）",G66="6",G66="10"),I66=""),"高压电动机缺少冷却方式",""),IF(AND(F66="电梯用永磁同步电动机",L66=""),"电梯用永磁同步电动机缺少额定转速","")),"")</f>
        <v/>
      </c>
    </row>
    <row r="67" ht="42" customHeight="1" s="184">
      <c r="A67" s="224">
        <f>IF(COUNTA(B67,C67,D67,E67,F67,G67,H67,I67,J67,K67,L67,M67,R67,S67)&gt;0,ROW()-3,"")</f>
        <v/>
      </c>
      <c r="B67" s="176" t="n"/>
      <c r="C67" s="176" t="n"/>
      <c r="D67" s="228" t="n"/>
      <c r="E67" s="176" t="n"/>
      <c r="F67" s="218" t="n"/>
      <c r="G67" s="218" t="n"/>
      <c r="H67" s="176" t="n"/>
      <c r="I67" s="218" t="n"/>
      <c r="J67" s="229" t="n"/>
      <c r="K67" s="181" t="n"/>
      <c r="L67" s="229" t="n"/>
      <c r="M67" s="229" t="n"/>
      <c r="N67" s="227" t="n"/>
      <c r="O67" s="227" t="n"/>
      <c r="P67" s="227" t="n"/>
      <c r="Q67" s="81" t="n"/>
      <c r="R67" s="180" t="n"/>
      <c r="S67" s="180" t="n"/>
      <c r="T67" s="99">
        <f>IF(COUNTA(B67,C67,D67,E67,F67,G67,H67,I67,J67,K67,L67,M67,R67,S67)&gt;0,TEXTJOIN("；",TRUE,IF(B67="","缺少设备名称",""),IF(AND(ISTEXT(B67),OR(B67&lt;&gt;TRIM(B67),ISNUMBER(SEARCH("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",E67)))),"安装位置含首尾空格或全角空格",""),IF(F67="","缺少设备类别",""),IF(F67="","",IF(COUNTIF(EV_MOTOR_CATEGORY,F67)=0,"设备类别不在标准枚举中","")),IF(AND(ISTEXT(F67),OR(F67&lt;&gt;TRIM(F67),ISNUMBER(SEARCH("　",F67)))),"设备类别含首尾空格或全角空格",""),IF(G67="","缺少额定电压",""),IF(G67="","",IF(COUNTIF(EV_MOTOR_VOLTAGE,G67)=0,"额定电压不在标准枚举中","")),IF(AND(ISTEXT(G67),OR(G67&lt;&gt;TRIM(G67),ISNUMBER(SEARCH("　",G67)))),"额定电压含首尾空格或全角空格",""),IF(H67="","缺少额定频率",""),IF(AND(ISTEXT(H67),OR(H67&lt;&gt;TRIM(H67),ISNUMBER(SEARCH("　",H67)))),"额定频率含首尾空格或全角空格",""),IF(I67="","",IF(COUNTIF(EV_COOLING_MOTOR_HV,I67)=0,"冷却方式不在标准枚举中","")),IF(AND(ISTEXT(I67),OR(I67&lt;&gt;TRIM(I67),ISNUMBER(SEARCH("　",I67)))),"冷却方式含首尾空格或全角空格",""),IF(J67="","缺少额定功率",""),IF(J67="","",IF(NOT(ISNUMBER(J67)),"额定功率应为数值",IF(J67&lt;=0,"额定功率应大于0",""))),IF(K67="","缺少极数",""),IF(K67="","",IF(COUNTIF(EV_POLES_PMSM,K67)=0,"极数不在标准枚举中","")),IF(L67="","缺少额定转速",""),IF(L67="","",IF(NOT(ISNUMBER(L67)),"额定转速应为数值",IF(L67&lt;=0,"额定转速应大于0",""))),IF(M67="","缺少效率",""),IF(M67="","",IF(NOT(ISNUMBER(M67)),"效率应为数值",IF(OR(M67&lt;1,M67&gt;100),"效率应为1～100的百分数本值",""))),IF(R67="","缺少铭牌照片",""),IF(AND(ISTEXT(S67),OR(S67&lt;&gt;TRIM(S67),ISNUMBER(SEARCH("　",S67)))),"填表备注含首尾空格或全角空格",""),IF(AND(OR(F67="高压三相笼型异步电动机",F67="异步起动三相永磁同步电动机",F67="变频调速永磁同步电动机"),OR(G67="3（3.3）",G67="6",G67="10"),I67=""),"高压电动机缺少冷却方式",""),IF(AND(F67="电梯用永磁同步电动机",L67=""),"电梯用永磁同步电动机缺少额定转速","")),"")</f>
        <v/>
      </c>
    </row>
    <row r="68" ht="42" customHeight="1" s="184">
      <c r="A68" s="224">
        <f>IF(COUNTA(B68,C68,D68,E68,F68,G68,H68,I68,J68,K68,L68,M68,R68,S68)&gt;0,ROW()-3,"")</f>
        <v/>
      </c>
      <c r="B68" s="176" t="n"/>
      <c r="C68" s="176" t="n"/>
      <c r="D68" s="228" t="n"/>
      <c r="E68" s="176" t="n"/>
      <c r="F68" s="218" t="n"/>
      <c r="G68" s="218" t="n"/>
      <c r="H68" s="176" t="n"/>
      <c r="I68" s="218" t="n"/>
      <c r="J68" s="229" t="n"/>
      <c r="K68" s="181" t="n"/>
      <c r="L68" s="229" t="n"/>
      <c r="M68" s="229" t="n"/>
      <c r="N68" s="227" t="n"/>
      <c r="O68" s="227" t="n"/>
      <c r="P68" s="227" t="n"/>
      <c r="Q68" s="81" t="n"/>
      <c r="R68" s="180" t="n"/>
      <c r="S68" s="180" t="n"/>
      <c r="T68" s="99">
        <f>IF(COUNTA(B68,C68,D68,E68,F68,G68,H68,I68,J68,K68,L68,M68,R68,S68)&gt;0,TEXTJOIN("；",TRUE,IF(B68="","缺少设备名称",""),IF(AND(ISTEXT(B68),OR(B68&lt;&gt;TRIM(B68),ISNUMBER(SEARCH("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",E68)))),"安装位置含首尾空格或全角空格",""),IF(F68="","缺少设备类别",""),IF(F68="","",IF(COUNTIF(EV_MOTOR_CATEGORY,F68)=0,"设备类别不在标准枚举中","")),IF(AND(ISTEXT(F68),OR(F68&lt;&gt;TRIM(F68),ISNUMBER(SEARCH("　",F68)))),"设备类别含首尾空格或全角空格",""),IF(G68="","缺少额定电压",""),IF(G68="","",IF(COUNTIF(EV_MOTOR_VOLTAGE,G68)=0,"额定电压不在标准枚举中","")),IF(AND(ISTEXT(G68),OR(G68&lt;&gt;TRIM(G68),ISNUMBER(SEARCH("　",G68)))),"额定电压含首尾空格或全角空格",""),IF(H68="","缺少额定频率",""),IF(AND(ISTEXT(H68),OR(H68&lt;&gt;TRIM(H68),ISNUMBER(SEARCH("　",H68)))),"额定频率含首尾空格或全角空格",""),IF(I68="","",IF(COUNTIF(EV_COOLING_MOTOR_HV,I68)=0,"冷却方式不在标准枚举中","")),IF(AND(ISTEXT(I68),OR(I68&lt;&gt;TRIM(I68),ISNUMBER(SEARCH("　",I68)))),"冷却方式含首尾空格或全角空格",""),IF(J68="","缺少额定功率",""),IF(J68="","",IF(NOT(ISNUMBER(J68)),"额定功率应为数值",IF(J68&lt;=0,"额定功率应大于0",""))),IF(K68="","缺少极数",""),IF(K68="","",IF(COUNTIF(EV_POLES_PMSM,K68)=0,"极数不在标准枚举中","")),IF(L68="","缺少额定转速",""),IF(L68="","",IF(NOT(ISNUMBER(L68)),"额定转速应为数值",IF(L68&lt;=0,"额定转速应大于0",""))),IF(M68="","缺少效率",""),IF(M68="","",IF(NOT(ISNUMBER(M68)),"效率应为数值",IF(OR(M68&lt;1,M68&gt;100),"效率应为1～100的百分数本值",""))),IF(R68="","缺少铭牌照片",""),IF(AND(ISTEXT(S68),OR(S68&lt;&gt;TRIM(S68),ISNUMBER(SEARCH("　",S68)))),"填表备注含首尾空格或全角空格",""),IF(AND(OR(F68="高压三相笼型异步电动机",F68="异步起动三相永磁同步电动机",F68="变频调速永磁同步电动机"),OR(G68="3（3.3）",G68="6",G68="10"),I68=""),"高压电动机缺少冷却方式",""),IF(AND(F68="电梯用永磁同步电动机",L68=""),"电梯用永磁同步电动机缺少额定转速","")),"")</f>
        <v/>
      </c>
    </row>
    <row r="69" ht="42" customHeight="1" s="184">
      <c r="A69" s="224">
        <f>IF(COUNTA(B69,C69,D69,E69,F69,G69,H69,I69,J69,K69,L69,M69,R69,S69)&gt;0,ROW()-3,"")</f>
        <v/>
      </c>
      <c r="B69" s="176" t="n"/>
      <c r="C69" s="176" t="n"/>
      <c r="D69" s="228" t="n"/>
      <c r="E69" s="176" t="n"/>
      <c r="F69" s="218" t="n"/>
      <c r="G69" s="218" t="n"/>
      <c r="H69" s="176" t="n"/>
      <c r="I69" s="218" t="n"/>
      <c r="J69" s="229" t="n"/>
      <c r="K69" s="181" t="n"/>
      <c r="L69" s="229" t="n"/>
      <c r="M69" s="229" t="n"/>
      <c r="N69" s="227" t="n"/>
      <c r="O69" s="227" t="n"/>
      <c r="P69" s="227" t="n"/>
      <c r="Q69" s="81" t="n"/>
      <c r="R69" s="180" t="n"/>
      <c r="S69" s="180" t="n"/>
      <c r="T69" s="99">
        <f>IF(COUNTA(B69,C69,D69,E69,F69,G69,H69,I69,J69,K69,L69,M69,R69,S69)&gt;0,TEXTJOIN("；",TRUE,IF(B69="","缺少设备名称",""),IF(AND(ISTEXT(B69),OR(B69&lt;&gt;TRIM(B69),ISNUMBER(SEARCH("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",E69)))),"安装位置含首尾空格或全角空格",""),IF(F69="","缺少设备类别",""),IF(F69="","",IF(COUNTIF(EV_MOTOR_CATEGORY,F69)=0,"设备类别不在标准枚举中","")),IF(AND(ISTEXT(F69),OR(F69&lt;&gt;TRIM(F69),ISNUMBER(SEARCH("　",F69)))),"设备类别含首尾空格或全角空格",""),IF(G69="","缺少额定电压",""),IF(G69="","",IF(COUNTIF(EV_MOTOR_VOLTAGE,G69)=0,"额定电压不在标准枚举中","")),IF(AND(ISTEXT(G69),OR(G69&lt;&gt;TRIM(G69),ISNUMBER(SEARCH("　",G69)))),"额定电压含首尾空格或全角空格",""),IF(H69="","缺少额定频率",""),IF(AND(ISTEXT(H69),OR(H69&lt;&gt;TRIM(H69),ISNUMBER(SEARCH("　",H69)))),"额定频率含首尾空格或全角空格",""),IF(I69="","",IF(COUNTIF(EV_COOLING_MOTOR_HV,I69)=0,"冷却方式不在标准枚举中","")),IF(AND(ISTEXT(I69),OR(I69&lt;&gt;TRIM(I69),ISNUMBER(SEARCH("　",I69)))),"冷却方式含首尾空格或全角空格",""),IF(J69="","缺少额定功率",""),IF(J69="","",IF(NOT(ISNUMBER(J69)),"额定功率应为数值",IF(J69&lt;=0,"额定功率应大于0",""))),IF(K69="","缺少极数",""),IF(K69="","",IF(COUNTIF(EV_POLES_PMSM,K69)=0,"极数不在标准枚举中","")),IF(L69="","缺少额定转速",""),IF(L69="","",IF(NOT(ISNUMBER(L69)),"额定转速应为数值",IF(L69&lt;=0,"额定转速应大于0",""))),IF(M69="","缺少效率",""),IF(M69="","",IF(NOT(ISNUMBER(M69)),"效率应为数值",IF(OR(M69&lt;1,M69&gt;100),"效率应为1～100的百分数本值",""))),IF(R69="","缺少铭牌照片",""),IF(AND(ISTEXT(S69),OR(S69&lt;&gt;TRIM(S69),ISNUMBER(SEARCH("　",S69)))),"填表备注含首尾空格或全角空格",""),IF(AND(OR(F69="高压三相笼型异步电动机",F69="异步起动三相永磁同步电动机",F69="变频调速永磁同步电动机"),OR(G69="3（3.3）",G69="6",G69="10"),I69=""),"高压电动机缺少冷却方式",""),IF(AND(F69="电梯用永磁同步电动机",L69=""),"电梯用永磁同步电动机缺少额定转速","")),"")</f>
        <v/>
      </c>
    </row>
    <row r="70" ht="42" customHeight="1" s="184">
      <c r="A70" s="224">
        <f>IF(COUNTA(B70,C70,D70,E70,F70,G70,H70,I70,J70,K70,L70,M70,R70,S70)&gt;0,ROW()-3,"")</f>
        <v/>
      </c>
      <c r="B70" s="176" t="n"/>
      <c r="C70" s="176" t="n"/>
      <c r="D70" s="228" t="n"/>
      <c r="E70" s="176" t="n"/>
      <c r="F70" s="218" t="n"/>
      <c r="G70" s="218" t="n"/>
      <c r="H70" s="176" t="n"/>
      <c r="I70" s="218" t="n"/>
      <c r="J70" s="229" t="n"/>
      <c r="K70" s="181" t="n"/>
      <c r="L70" s="229" t="n"/>
      <c r="M70" s="229" t="n"/>
      <c r="N70" s="227" t="n"/>
      <c r="O70" s="227" t="n"/>
      <c r="P70" s="227" t="n"/>
      <c r="Q70" s="81" t="n"/>
      <c r="R70" s="180" t="n"/>
      <c r="S70" s="180" t="n"/>
      <c r="T70" s="99">
        <f>IF(COUNTA(B70,C70,D70,E70,F70,G70,H70,I70,J70,K70,L70,M70,R70,S70)&gt;0,TEXTJOIN("；",TRUE,IF(B70="","缺少设备名称",""),IF(AND(ISTEXT(B70),OR(B70&lt;&gt;TRIM(B70),ISNUMBER(SEARCH("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",E70)))),"安装位置含首尾空格或全角空格",""),IF(F70="","缺少设备类别",""),IF(F70="","",IF(COUNTIF(EV_MOTOR_CATEGORY,F70)=0,"设备类别不在标准枚举中","")),IF(AND(ISTEXT(F70),OR(F70&lt;&gt;TRIM(F70),ISNUMBER(SEARCH("　",F70)))),"设备类别含首尾空格或全角空格",""),IF(G70="","缺少额定电压",""),IF(G70="","",IF(COUNTIF(EV_MOTOR_VOLTAGE,G70)=0,"额定电压不在标准枚举中","")),IF(AND(ISTEXT(G70),OR(G70&lt;&gt;TRIM(G70),ISNUMBER(SEARCH("　",G70)))),"额定电压含首尾空格或全角空格",""),IF(H70="","缺少额定频率",""),IF(AND(ISTEXT(H70),OR(H70&lt;&gt;TRIM(H70),ISNUMBER(SEARCH("　",H70)))),"额定频率含首尾空格或全角空格",""),IF(I70="","",IF(COUNTIF(EV_COOLING_MOTOR_HV,I70)=0,"冷却方式不在标准枚举中","")),IF(AND(ISTEXT(I70),OR(I70&lt;&gt;TRIM(I70),ISNUMBER(SEARCH("　",I70)))),"冷却方式含首尾空格或全角空格",""),IF(J70="","缺少额定功率",""),IF(J70="","",IF(NOT(ISNUMBER(J70)),"额定功率应为数值",IF(J70&lt;=0,"额定功率应大于0",""))),IF(K70="","缺少极数",""),IF(K70="","",IF(COUNTIF(EV_POLES_PMSM,K70)=0,"极数不在标准枚举中","")),IF(L70="","缺少额定转速",""),IF(L70="","",IF(NOT(ISNUMBER(L70)),"额定转速应为数值",IF(L70&lt;=0,"额定转速应大于0",""))),IF(M70="","缺少效率",""),IF(M70="","",IF(NOT(ISNUMBER(M70)),"效率应为数值",IF(OR(M70&lt;1,M70&gt;100),"效率应为1～100的百分数本值",""))),IF(R70="","缺少铭牌照片",""),IF(AND(ISTEXT(S70),OR(S70&lt;&gt;TRIM(S70),ISNUMBER(SEARCH("　",S70)))),"填表备注含首尾空格或全角空格",""),IF(AND(OR(F70="高压三相笼型异步电动机",F70="异步起动三相永磁同步电动机",F70="变频调速永磁同步电动机"),OR(G70="3（3.3）",G70="6",G70="10"),I70=""),"高压电动机缺少冷却方式",""),IF(AND(F70="电梯用永磁同步电动机",L70=""),"电梯用永磁同步电动机缺少额定转速","")),"")</f>
        <v/>
      </c>
    </row>
    <row r="71" ht="42" customHeight="1" s="184">
      <c r="A71" s="224">
        <f>IF(COUNTA(B71,C71,D71,E71,F71,G71,H71,I71,J71,K71,L71,M71,R71,S71)&gt;0,ROW()-3,"")</f>
        <v/>
      </c>
      <c r="B71" s="176" t="n"/>
      <c r="C71" s="176" t="n"/>
      <c r="D71" s="228" t="n"/>
      <c r="E71" s="176" t="n"/>
      <c r="F71" s="218" t="n"/>
      <c r="G71" s="218" t="n"/>
      <c r="H71" s="176" t="n"/>
      <c r="I71" s="218" t="n"/>
      <c r="J71" s="229" t="n"/>
      <c r="K71" s="181" t="n"/>
      <c r="L71" s="229" t="n"/>
      <c r="M71" s="229" t="n"/>
      <c r="N71" s="227" t="n"/>
      <c r="O71" s="227" t="n"/>
      <c r="P71" s="227" t="n"/>
      <c r="Q71" s="81" t="n"/>
      <c r="R71" s="180" t="n"/>
      <c r="S71" s="180" t="n"/>
      <c r="T71" s="99">
        <f>IF(COUNTA(B71,C71,D71,E71,F71,G71,H71,I71,J71,K71,L71,M71,R71,S71)&gt;0,TEXTJOIN("；",TRUE,IF(B71="","缺少设备名称",""),IF(AND(ISTEXT(B71),OR(B71&lt;&gt;TRIM(B71),ISNUMBER(SEARCH("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",E71)))),"安装位置含首尾空格或全角空格",""),IF(F71="","缺少设备类别",""),IF(F71="","",IF(COUNTIF(EV_MOTOR_CATEGORY,F71)=0,"设备类别不在标准枚举中","")),IF(AND(ISTEXT(F71),OR(F71&lt;&gt;TRIM(F71),ISNUMBER(SEARCH("　",F71)))),"设备类别含首尾空格或全角空格",""),IF(G71="","缺少额定电压",""),IF(G71="","",IF(COUNTIF(EV_MOTOR_VOLTAGE,G71)=0,"额定电压不在标准枚举中","")),IF(AND(ISTEXT(G71),OR(G71&lt;&gt;TRIM(G71),ISNUMBER(SEARCH("　",G71)))),"额定电压含首尾空格或全角空格",""),IF(H71="","缺少额定频率",""),IF(AND(ISTEXT(H71),OR(H71&lt;&gt;TRIM(H71),ISNUMBER(SEARCH("　",H71)))),"额定频率含首尾空格或全角空格",""),IF(I71="","",IF(COUNTIF(EV_COOLING_MOTOR_HV,I71)=0,"冷却方式不在标准枚举中","")),IF(AND(ISTEXT(I71),OR(I71&lt;&gt;TRIM(I71),ISNUMBER(SEARCH("　",I71)))),"冷却方式含首尾空格或全角空格",""),IF(J71="","缺少额定功率",""),IF(J71="","",IF(NOT(ISNUMBER(J71)),"额定功率应为数值",IF(J71&lt;=0,"额定功率应大于0",""))),IF(K71="","缺少极数",""),IF(K71="","",IF(COUNTIF(EV_POLES_PMSM,K71)=0,"极数不在标准枚举中","")),IF(L71="","缺少额定转速",""),IF(L71="","",IF(NOT(ISNUMBER(L71)),"额定转速应为数值",IF(L71&lt;=0,"额定转速应大于0",""))),IF(M71="","缺少效率",""),IF(M71="","",IF(NOT(ISNUMBER(M71)),"效率应为数值",IF(OR(M71&lt;1,M71&gt;100),"效率应为1～100的百分数本值",""))),IF(R71="","缺少铭牌照片",""),IF(AND(ISTEXT(S71),OR(S71&lt;&gt;TRIM(S71),ISNUMBER(SEARCH("　",S71)))),"填表备注含首尾空格或全角空格",""),IF(AND(OR(F71="高压三相笼型异步电动机",F71="异步起动三相永磁同步电动机",F71="变频调速永磁同步电动机"),OR(G71="3（3.3）",G71="6",G71="10"),I71=""),"高压电动机缺少冷却方式",""),IF(AND(F71="电梯用永磁同步电动机",L71=""),"电梯用永磁同步电动机缺少额定转速","")),"")</f>
        <v/>
      </c>
    </row>
    <row r="72" ht="42" customHeight="1" s="184">
      <c r="A72" s="224">
        <f>IF(COUNTA(B72,C72,D72,E72,F72,G72,H72,I72,J72,K72,L72,M72,R72,S72)&gt;0,ROW()-3,"")</f>
        <v/>
      </c>
      <c r="B72" s="176" t="n"/>
      <c r="C72" s="176" t="n"/>
      <c r="D72" s="228" t="n"/>
      <c r="E72" s="176" t="n"/>
      <c r="F72" s="218" t="n"/>
      <c r="G72" s="218" t="n"/>
      <c r="H72" s="176" t="n"/>
      <c r="I72" s="218" t="n"/>
      <c r="J72" s="229" t="n"/>
      <c r="K72" s="181" t="n"/>
      <c r="L72" s="229" t="n"/>
      <c r="M72" s="229" t="n"/>
      <c r="N72" s="227" t="n"/>
      <c r="O72" s="227" t="n"/>
      <c r="P72" s="227" t="n"/>
      <c r="Q72" s="81" t="n"/>
      <c r="R72" s="180" t="n"/>
      <c r="S72" s="180" t="n"/>
      <c r="T72" s="99">
        <f>IF(COUNTA(B72,C72,D72,E72,F72,G72,H72,I72,J72,K72,L72,M72,R72,S72)&gt;0,TEXTJOIN("；",TRUE,IF(B72="","缺少设备名称",""),IF(AND(ISTEXT(B72),OR(B72&lt;&gt;TRIM(B72),ISNUMBER(SEARCH("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",E72)))),"安装位置含首尾空格或全角空格",""),IF(F72="","缺少设备类别",""),IF(F72="","",IF(COUNTIF(EV_MOTOR_CATEGORY,F72)=0,"设备类别不在标准枚举中","")),IF(AND(ISTEXT(F72),OR(F72&lt;&gt;TRIM(F72),ISNUMBER(SEARCH("　",F72)))),"设备类别含首尾空格或全角空格",""),IF(G72="","缺少额定电压",""),IF(G72="","",IF(COUNTIF(EV_MOTOR_VOLTAGE,G72)=0,"额定电压不在标准枚举中","")),IF(AND(ISTEXT(G72),OR(G72&lt;&gt;TRIM(G72),ISNUMBER(SEARCH("　",G72)))),"额定电压含首尾空格或全角空格",""),IF(H72="","缺少额定频率",""),IF(AND(ISTEXT(H72),OR(H72&lt;&gt;TRIM(H72),ISNUMBER(SEARCH("　",H72)))),"额定频率含首尾空格或全角空格",""),IF(I72="","",IF(COUNTIF(EV_COOLING_MOTOR_HV,I72)=0,"冷却方式不在标准枚举中","")),IF(AND(ISTEXT(I72),OR(I72&lt;&gt;TRIM(I72),ISNUMBER(SEARCH("　",I72)))),"冷却方式含首尾空格或全角空格",""),IF(J72="","缺少额定功率",""),IF(J72="","",IF(NOT(ISNUMBER(J72)),"额定功率应为数值",IF(J72&lt;=0,"额定功率应大于0",""))),IF(K72="","缺少极数",""),IF(K72="","",IF(COUNTIF(EV_POLES_PMSM,K72)=0,"极数不在标准枚举中","")),IF(L72="","缺少额定转速",""),IF(L72="","",IF(NOT(ISNUMBER(L72)),"额定转速应为数值",IF(L72&lt;=0,"额定转速应大于0",""))),IF(M72="","缺少效率",""),IF(M72="","",IF(NOT(ISNUMBER(M72)),"效率应为数值",IF(OR(M72&lt;1,M72&gt;100),"效率应为1～100的百分数本值",""))),IF(R72="","缺少铭牌照片",""),IF(AND(ISTEXT(S72),OR(S72&lt;&gt;TRIM(S72),ISNUMBER(SEARCH("　",S72)))),"填表备注含首尾空格或全角空格",""),IF(AND(OR(F72="高压三相笼型异步电动机",F72="异步起动三相永磁同步电动机",F72="变频调速永磁同步电动机"),OR(G72="3（3.3）",G72="6",G72="10"),I72=""),"高压电动机缺少冷却方式",""),IF(AND(F72="电梯用永磁同步电动机",L72=""),"电梯用永磁同步电动机缺少额定转速","")),"")</f>
        <v/>
      </c>
    </row>
    <row r="73" ht="42" customHeight="1" s="184">
      <c r="A73" s="224">
        <f>IF(COUNTA(B73,C73,D73,E73,F73,G73,H73,I73,J73,K73,L73,M73,R73,S73)&gt;0,ROW()-3,"")</f>
        <v/>
      </c>
      <c r="B73" s="176" t="n"/>
      <c r="C73" s="176" t="n"/>
      <c r="D73" s="228" t="n"/>
      <c r="E73" s="176" t="n"/>
      <c r="F73" s="218" t="n"/>
      <c r="G73" s="218" t="n"/>
      <c r="H73" s="176" t="n"/>
      <c r="I73" s="218" t="n"/>
      <c r="J73" s="229" t="n"/>
      <c r="K73" s="181" t="n"/>
      <c r="L73" s="229" t="n"/>
      <c r="M73" s="229" t="n"/>
      <c r="N73" s="227" t="n"/>
      <c r="O73" s="227" t="n"/>
      <c r="P73" s="227" t="n"/>
      <c r="Q73" s="81" t="n"/>
      <c r="R73" s="180" t="n"/>
      <c r="S73" s="180" t="n"/>
      <c r="T73" s="99">
        <f>IF(COUNTA(B73,C73,D73,E73,F73,G73,H73,I73,J73,K73,L73,M73,R73,S73)&gt;0,TEXTJOIN("；",TRUE,IF(B73="","缺少设备名称",""),IF(AND(ISTEXT(B73),OR(B73&lt;&gt;TRIM(B73),ISNUMBER(SEARCH("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",E73)))),"安装位置含首尾空格或全角空格",""),IF(F73="","缺少设备类别",""),IF(F73="","",IF(COUNTIF(EV_MOTOR_CATEGORY,F73)=0,"设备类别不在标准枚举中","")),IF(AND(ISTEXT(F73),OR(F73&lt;&gt;TRIM(F73),ISNUMBER(SEARCH("　",F73)))),"设备类别含首尾空格或全角空格",""),IF(G73="","缺少额定电压",""),IF(G73="","",IF(COUNTIF(EV_MOTOR_VOLTAGE,G73)=0,"额定电压不在标准枚举中","")),IF(AND(ISTEXT(G73),OR(G73&lt;&gt;TRIM(G73),ISNUMBER(SEARCH("　",G73)))),"额定电压含首尾空格或全角空格",""),IF(H73="","缺少额定频率",""),IF(AND(ISTEXT(H73),OR(H73&lt;&gt;TRIM(H73),ISNUMBER(SEARCH("　",H73)))),"额定频率含首尾空格或全角空格",""),IF(I73="","",IF(COUNTIF(EV_COOLING_MOTOR_HV,I73)=0,"冷却方式不在标准枚举中","")),IF(AND(ISTEXT(I73),OR(I73&lt;&gt;TRIM(I73),ISNUMBER(SEARCH("　",I73)))),"冷却方式含首尾空格或全角空格",""),IF(J73="","缺少额定功率",""),IF(J73="","",IF(NOT(ISNUMBER(J73)),"额定功率应为数值",IF(J73&lt;=0,"额定功率应大于0",""))),IF(K73="","缺少极数",""),IF(K73="","",IF(COUNTIF(EV_POLES_PMSM,K73)=0,"极数不在标准枚举中","")),IF(L73="","缺少额定转速",""),IF(L73="","",IF(NOT(ISNUMBER(L73)),"额定转速应为数值",IF(L73&lt;=0,"额定转速应大于0",""))),IF(M73="","缺少效率",""),IF(M73="","",IF(NOT(ISNUMBER(M73)),"效率应为数值",IF(OR(M73&lt;1,M73&gt;100),"效率应为1～100的百分数本值",""))),IF(R73="","缺少铭牌照片",""),IF(AND(ISTEXT(S73),OR(S73&lt;&gt;TRIM(S73),ISNUMBER(SEARCH("　",S73)))),"填表备注含首尾空格或全角空格",""),IF(AND(OR(F73="高压三相笼型异步电动机",F73="异步起动三相永磁同步电动机",F73="变频调速永磁同步电动机"),OR(G73="3（3.3）",G73="6",G73="10"),I73=""),"高压电动机缺少冷却方式",""),IF(AND(F73="电梯用永磁同步电动机",L73=""),"电梯用永磁同步电动机缺少额定转速","")),"")</f>
        <v/>
      </c>
    </row>
    <row r="74" ht="42" customHeight="1" s="184">
      <c r="A74" s="224">
        <f>IF(COUNTA(B74,C74,D74,E74,F74,G74,H74,I74,J74,K74,L74,M74,R74,S74)&gt;0,ROW()-3,"")</f>
        <v/>
      </c>
      <c r="B74" s="176" t="n"/>
      <c r="C74" s="176" t="n"/>
      <c r="D74" s="228" t="n"/>
      <c r="E74" s="176" t="n"/>
      <c r="F74" s="218" t="n"/>
      <c r="G74" s="218" t="n"/>
      <c r="H74" s="176" t="n"/>
      <c r="I74" s="218" t="n"/>
      <c r="J74" s="229" t="n"/>
      <c r="K74" s="181" t="n"/>
      <c r="L74" s="229" t="n"/>
      <c r="M74" s="229" t="n"/>
      <c r="N74" s="227" t="n"/>
      <c r="O74" s="227" t="n"/>
      <c r="P74" s="227" t="n"/>
      <c r="Q74" s="81" t="n"/>
      <c r="R74" s="180" t="n"/>
      <c r="S74" s="180" t="n"/>
      <c r="T74" s="99">
        <f>IF(COUNTA(B74,C74,D74,E74,F74,G74,H74,I74,J74,K74,L74,M74,R74,S74)&gt;0,TEXTJOIN("；",TRUE,IF(B74="","缺少设备名称",""),IF(AND(ISTEXT(B74),OR(B74&lt;&gt;TRIM(B74),ISNUMBER(SEARCH("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",E74)))),"安装位置含首尾空格或全角空格",""),IF(F74="","缺少设备类别",""),IF(F74="","",IF(COUNTIF(EV_MOTOR_CATEGORY,F74)=0,"设备类别不在标准枚举中","")),IF(AND(ISTEXT(F74),OR(F74&lt;&gt;TRIM(F74),ISNUMBER(SEARCH("　",F74)))),"设备类别含首尾空格或全角空格",""),IF(G74="","缺少额定电压",""),IF(G74="","",IF(COUNTIF(EV_MOTOR_VOLTAGE,G74)=0,"额定电压不在标准枚举中","")),IF(AND(ISTEXT(G74),OR(G74&lt;&gt;TRIM(G74),ISNUMBER(SEARCH("　",G74)))),"额定电压含首尾空格或全角空格",""),IF(H74="","缺少额定频率",""),IF(AND(ISTEXT(H74),OR(H74&lt;&gt;TRIM(H74),ISNUMBER(SEARCH("　",H74)))),"额定频率含首尾空格或全角空格",""),IF(I74="","",IF(COUNTIF(EV_COOLING_MOTOR_HV,I74)=0,"冷却方式不在标准枚举中","")),IF(AND(ISTEXT(I74),OR(I74&lt;&gt;TRIM(I74),ISNUMBER(SEARCH("　",I74)))),"冷却方式含首尾空格或全角空格",""),IF(J74="","缺少额定功率",""),IF(J74="","",IF(NOT(ISNUMBER(J74)),"额定功率应为数值",IF(J74&lt;=0,"额定功率应大于0",""))),IF(K74="","缺少极数",""),IF(K74="","",IF(COUNTIF(EV_POLES_PMSM,K74)=0,"极数不在标准枚举中","")),IF(L74="","缺少额定转速",""),IF(L74="","",IF(NOT(ISNUMBER(L74)),"额定转速应为数值",IF(L74&lt;=0,"额定转速应大于0",""))),IF(M74="","缺少效率",""),IF(M74="","",IF(NOT(ISNUMBER(M74)),"效率应为数值",IF(OR(M74&lt;1,M74&gt;100),"效率应为1～100的百分数本值",""))),IF(R74="","缺少铭牌照片",""),IF(AND(ISTEXT(S74),OR(S74&lt;&gt;TRIM(S74),ISNUMBER(SEARCH("　",S74)))),"填表备注含首尾空格或全角空格",""),IF(AND(OR(F74="高压三相笼型异步电动机",F74="异步起动三相永磁同步电动机",F74="变频调速永磁同步电动机"),OR(G74="3（3.3）",G74="6",G74="10"),I74=""),"高压电动机缺少冷却方式",""),IF(AND(F74="电梯用永磁同步电动机",L74=""),"电梯用永磁同步电动机缺少额定转速","")),"")</f>
        <v/>
      </c>
    </row>
    <row r="75" ht="42" customHeight="1" s="184">
      <c r="A75" s="224">
        <f>IF(COUNTA(B75,C75,D75,E75,F75,G75,H75,I75,J75,K75,L75,M75,R75,S75)&gt;0,ROW()-3,"")</f>
        <v/>
      </c>
      <c r="B75" s="176" t="n"/>
      <c r="C75" s="176" t="n"/>
      <c r="D75" s="228" t="n"/>
      <c r="E75" s="176" t="n"/>
      <c r="F75" s="218" t="n"/>
      <c r="G75" s="218" t="n"/>
      <c r="H75" s="176" t="n"/>
      <c r="I75" s="218" t="n"/>
      <c r="J75" s="229" t="n"/>
      <c r="K75" s="181" t="n"/>
      <c r="L75" s="229" t="n"/>
      <c r="M75" s="229" t="n"/>
      <c r="N75" s="227" t="n"/>
      <c r="O75" s="227" t="n"/>
      <c r="P75" s="227" t="n"/>
      <c r="Q75" s="81" t="n"/>
      <c r="R75" s="180" t="n"/>
      <c r="S75" s="180" t="n"/>
      <c r="T75" s="99">
        <f>IF(COUNTA(B75,C75,D75,E75,F75,G75,H75,I75,J75,K75,L75,M75,R75,S75)&gt;0,TEXTJOIN("；",TRUE,IF(B75="","缺少设备名称",""),IF(AND(ISTEXT(B75),OR(B75&lt;&gt;TRIM(B75),ISNUMBER(SEARCH("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",E75)))),"安装位置含首尾空格或全角空格",""),IF(F75="","缺少设备类别",""),IF(F75="","",IF(COUNTIF(EV_MOTOR_CATEGORY,F75)=0,"设备类别不在标准枚举中","")),IF(AND(ISTEXT(F75),OR(F75&lt;&gt;TRIM(F75),ISNUMBER(SEARCH("　",F75)))),"设备类别含首尾空格或全角空格",""),IF(G75="","缺少额定电压",""),IF(G75="","",IF(COUNTIF(EV_MOTOR_VOLTAGE,G75)=0,"额定电压不在标准枚举中","")),IF(AND(ISTEXT(G75),OR(G75&lt;&gt;TRIM(G75),ISNUMBER(SEARCH("　",G75)))),"额定电压含首尾空格或全角空格",""),IF(H75="","缺少额定频率",""),IF(AND(ISTEXT(H75),OR(H75&lt;&gt;TRIM(H75),ISNUMBER(SEARCH("　",H75)))),"额定频率含首尾空格或全角空格",""),IF(I75="","",IF(COUNTIF(EV_COOLING_MOTOR_HV,I75)=0,"冷却方式不在标准枚举中","")),IF(AND(ISTEXT(I75),OR(I75&lt;&gt;TRIM(I75),ISNUMBER(SEARCH("　",I75)))),"冷却方式含首尾空格或全角空格",""),IF(J75="","缺少额定功率",""),IF(J75="","",IF(NOT(ISNUMBER(J75)),"额定功率应为数值",IF(J75&lt;=0,"额定功率应大于0",""))),IF(K75="","缺少极数",""),IF(K75="","",IF(COUNTIF(EV_POLES_PMSM,K75)=0,"极数不在标准枚举中","")),IF(L75="","缺少额定转速",""),IF(L75="","",IF(NOT(ISNUMBER(L75)),"额定转速应为数值",IF(L75&lt;=0,"额定转速应大于0",""))),IF(M75="","缺少效率",""),IF(M75="","",IF(NOT(ISNUMBER(M75)),"效率应为数值",IF(OR(M75&lt;1,M75&gt;100),"效率应为1～100的百分数本值",""))),IF(R75="","缺少铭牌照片",""),IF(AND(ISTEXT(S75),OR(S75&lt;&gt;TRIM(S75),ISNUMBER(SEARCH("　",S75)))),"填表备注含首尾空格或全角空格",""),IF(AND(OR(F75="高压三相笼型异步电动机",F75="异步起动三相永磁同步电动机",F75="变频调速永磁同步电动机"),OR(G75="3（3.3）",G75="6",G75="10"),I75=""),"高压电动机缺少冷却方式",""),IF(AND(F75="电梯用永磁同步电动机",L75=""),"电梯用永磁同步电动机缺少额定转速","")),"")</f>
        <v/>
      </c>
    </row>
    <row r="76" ht="42" customHeight="1" s="184">
      <c r="A76" s="224">
        <f>IF(COUNTA(B76,C76,D76,E76,F76,G76,H76,I76,J76,K76,L76,M76,R76,S76)&gt;0,ROW()-3,"")</f>
        <v/>
      </c>
      <c r="B76" s="176" t="n"/>
      <c r="C76" s="176" t="n"/>
      <c r="D76" s="228" t="n"/>
      <c r="E76" s="176" t="n"/>
      <c r="F76" s="218" t="n"/>
      <c r="G76" s="218" t="n"/>
      <c r="H76" s="176" t="n"/>
      <c r="I76" s="218" t="n"/>
      <c r="J76" s="229" t="n"/>
      <c r="K76" s="181" t="n"/>
      <c r="L76" s="229" t="n"/>
      <c r="M76" s="229" t="n"/>
      <c r="N76" s="227" t="n"/>
      <c r="O76" s="227" t="n"/>
      <c r="P76" s="227" t="n"/>
      <c r="Q76" s="81" t="n"/>
      <c r="R76" s="180" t="n"/>
      <c r="S76" s="180" t="n"/>
      <c r="T76" s="99">
        <f>IF(COUNTA(B76,C76,D76,E76,F76,G76,H76,I76,J76,K76,L76,M76,R76,S76)&gt;0,TEXTJOIN("；",TRUE,IF(B76="","缺少设备名称",""),IF(AND(ISTEXT(B76),OR(B76&lt;&gt;TRIM(B76),ISNUMBER(SEARCH("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",E76)))),"安装位置含首尾空格或全角空格",""),IF(F76="","缺少设备类别",""),IF(F76="","",IF(COUNTIF(EV_MOTOR_CATEGORY,F76)=0,"设备类别不在标准枚举中","")),IF(AND(ISTEXT(F76),OR(F76&lt;&gt;TRIM(F76),ISNUMBER(SEARCH("　",F76)))),"设备类别含首尾空格或全角空格",""),IF(G76="","缺少额定电压",""),IF(G76="","",IF(COUNTIF(EV_MOTOR_VOLTAGE,G76)=0,"额定电压不在标准枚举中","")),IF(AND(ISTEXT(G76),OR(G76&lt;&gt;TRIM(G76),ISNUMBER(SEARCH("　",G76)))),"额定电压含首尾空格或全角空格",""),IF(H76="","缺少额定频率",""),IF(AND(ISTEXT(H76),OR(H76&lt;&gt;TRIM(H76),ISNUMBER(SEARCH("　",H76)))),"额定频率含首尾空格或全角空格",""),IF(I76="","",IF(COUNTIF(EV_COOLING_MOTOR_HV,I76)=0,"冷却方式不在标准枚举中","")),IF(AND(ISTEXT(I76),OR(I76&lt;&gt;TRIM(I76),ISNUMBER(SEARCH("　",I76)))),"冷却方式含首尾空格或全角空格",""),IF(J76="","缺少额定功率",""),IF(J76="","",IF(NOT(ISNUMBER(J76)),"额定功率应为数值",IF(J76&lt;=0,"额定功率应大于0",""))),IF(K76="","缺少极数",""),IF(K76="","",IF(COUNTIF(EV_POLES_PMSM,K76)=0,"极数不在标准枚举中","")),IF(L76="","缺少额定转速",""),IF(L76="","",IF(NOT(ISNUMBER(L76)),"额定转速应为数值",IF(L76&lt;=0,"额定转速应大于0",""))),IF(M76="","缺少效率",""),IF(M76="","",IF(NOT(ISNUMBER(M76)),"效率应为数值",IF(OR(M76&lt;1,M76&gt;100),"效率应为1～100的百分数本值",""))),IF(R76="","缺少铭牌照片",""),IF(AND(ISTEXT(S76),OR(S76&lt;&gt;TRIM(S76),ISNUMBER(SEARCH("　",S76)))),"填表备注含首尾空格或全角空格",""),IF(AND(OR(F76="高压三相笼型异步电动机",F76="异步起动三相永磁同步电动机",F76="变频调速永磁同步电动机"),OR(G76="3（3.3）",G76="6",G76="10"),I76=""),"高压电动机缺少冷却方式",""),IF(AND(F76="电梯用永磁同步电动机",L76=""),"电梯用永磁同步电动机缺少额定转速","")),"")</f>
        <v/>
      </c>
    </row>
    <row r="77" ht="42" customHeight="1" s="184">
      <c r="A77" s="224">
        <f>IF(COUNTA(B77,C77,D77,E77,F77,G77,H77,I77,J77,K77,L77,M77,R77,S77)&gt;0,ROW()-3,"")</f>
        <v/>
      </c>
      <c r="B77" s="176" t="n"/>
      <c r="C77" s="176" t="n"/>
      <c r="D77" s="228" t="n"/>
      <c r="E77" s="176" t="n"/>
      <c r="F77" s="218" t="n"/>
      <c r="G77" s="218" t="n"/>
      <c r="H77" s="176" t="n"/>
      <c r="I77" s="218" t="n"/>
      <c r="J77" s="229" t="n"/>
      <c r="K77" s="181" t="n"/>
      <c r="L77" s="229" t="n"/>
      <c r="M77" s="229" t="n"/>
      <c r="N77" s="227" t="n"/>
      <c r="O77" s="227" t="n"/>
      <c r="P77" s="227" t="n"/>
      <c r="Q77" s="81" t="n"/>
      <c r="R77" s="180" t="n"/>
      <c r="S77" s="180" t="n"/>
      <c r="T77" s="99">
        <f>IF(COUNTA(B77,C77,D77,E77,F77,G77,H77,I77,J77,K77,L77,M77,R77,S77)&gt;0,TEXTJOIN("；",TRUE,IF(B77="","缺少设备名称",""),IF(AND(ISTEXT(B77),OR(B77&lt;&gt;TRIM(B77),ISNUMBER(SEARCH("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",E77)))),"安装位置含首尾空格或全角空格",""),IF(F77="","缺少设备类别",""),IF(F77="","",IF(COUNTIF(EV_MOTOR_CATEGORY,F77)=0,"设备类别不在标准枚举中","")),IF(AND(ISTEXT(F77),OR(F77&lt;&gt;TRIM(F77),ISNUMBER(SEARCH("　",F77)))),"设备类别含首尾空格或全角空格",""),IF(G77="","缺少额定电压",""),IF(G77="","",IF(COUNTIF(EV_MOTOR_VOLTAGE,G77)=0,"额定电压不在标准枚举中","")),IF(AND(ISTEXT(G77),OR(G77&lt;&gt;TRIM(G77),ISNUMBER(SEARCH("　",G77)))),"额定电压含首尾空格或全角空格",""),IF(H77="","缺少额定频率",""),IF(AND(ISTEXT(H77),OR(H77&lt;&gt;TRIM(H77),ISNUMBER(SEARCH("　",H77)))),"额定频率含首尾空格或全角空格",""),IF(I77="","",IF(COUNTIF(EV_COOLING_MOTOR_HV,I77)=0,"冷却方式不在标准枚举中","")),IF(AND(ISTEXT(I77),OR(I77&lt;&gt;TRIM(I77),ISNUMBER(SEARCH("　",I77)))),"冷却方式含首尾空格或全角空格",""),IF(J77="","缺少额定功率",""),IF(J77="","",IF(NOT(ISNUMBER(J77)),"额定功率应为数值",IF(J77&lt;=0,"额定功率应大于0",""))),IF(K77="","缺少极数",""),IF(K77="","",IF(COUNTIF(EV_POLES_PMSM,K77)=0,"极数不在标准枚举中","")),IF(L77="","缺少额定转速",""),IF(L77="","",IF(NOT(ISNUMBER(L77)),"额定转速应为数值",IF(L77&lt;=0,"额定转速应大于0",""))),IF(M77="","缺少效率",""),IF(M77="","",IF(NOT(ISNUMBER(M77)),"效率应为数值",IF(OR(M77&lt;1,M77&gt;100),"效率应为1～100的百分数本值",""))),IF(R77="","缺少铭牌照片",""),IF(AND(ISTEXT(S77),OR(S77&lt;&gt;TRIM(S77),ISNUMBER(SEARCH("　",S77)))),"填表备注含首尾空格或全角空格",""),IF(AND(OR(F77="高压三相笼型异步电动机",F77="异步起动三相永磁同步电动机",F77="变频调速永磁同步电动机"),OR(G77="3（3.3）",G77="6",G77="10"),I77=""),"高压电动机缺少冷却方式",""),IF(AND(F77="电梯用永磁同步电动机",L77=""),"电梯用永磁同步电动机缺少额定转速","")),"")</f>
        <v/>
      </c>
    </row>
    <row r="78" ht="42" customHeight="1" s="184">
      <c r="A78" s="224">
        <f>IF(COUNTA(B78,C78,D78,E78,F78,G78,H78,I78,J78,K78,L78,M78,R78,S78)&gt;0,ROW()-3,"")</f>
        <v/>
      </c>
      <c r="B78" s="176" t="n"/>
      <c r="C78" s="176" t="n"/>
      <c r="D78" s="228" t="n"/>
      <c r="E78" s="176" t="n"/>
      <c r="F78" s="218" t="n"/>
      <c r="G78" s="218" t="n"/>
      <c r="H78" s="176" t="n"/>
      <c r="I78" s="218" t="n"/>
      <c r="J78" s="229" t="n"/>
      <c r="K78" s="181" t="n"/>
      <c r="L78" s="229" t="n"/>
      <c r="M78" s="229" t="n"/>
      <c r="N78" s="227" t="n"/>
      <c r="O78" s="227" t="n"/>
      <c r="P78" s="227" t="n"/>
      <c r="Q78" s="81" t="n"/>
      <c r="R78" s="180" t="n"/>
      <c r="S78" s="180" t="n"/>
      <c r="T78" s="99">
        <f>IF(COUNTA(B78,C78,D78,E78,F78,G78,H78,I78,J78,K78,L78,M78,R78,S78)&gt;0,TEXTJOIN("；",TRUE,IF(B78="","缺少设备名称",""),IF(AND(ISTEXT(B78),OR(B78&lt;&gt;TRIM(B78),ISNUMBER(SEARCH("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",E78)))),"安装位置含首尾空格或全角空格",""),IF(F78="","缺少设备类别",""),IF(F78="","",IF(COUNTIF(EV_MOTOR_CATEGORY,F78)=0,"设备类别不在标准枚举中","")),IF(AND(ISTEXT(F78),OR(F78&lt;&gt;TRIM(F78),ISNUMBER(SEARCH("　",F78)))),"设备类别含首尾空格或全角空格",""),IF(G78="","缺少额定电压",""),IF(G78="","",IF(COUNTIF(EV_MOTOR_VOLTAGE,G78)=0,"额定电压不在标准枚举中","")),IF(AND(ISTEXT(G78),OR(G78&lt;&gt;TRIM(G78),ISNUMBER(SEARCH("　",G78)))),"额定电压含首尾空格或全角空格",""),IF(H78="","缺少额定频率",""),IF(AND(ISTEXT(H78),OR(H78&lt;&gt;TRIM(H78),ISNUMBER(SEARCH("　",H78)))),"额定频率含首尾空格或全角空格",""),IF(I78="","",IF(COUNTIF(EV_COOLING_MOTOR_HV,I78)=0,"冷却方式不在标准枚举中","")),IF(AND(ISTEXT(I78),OR(I78&lt;&gt;TRIM(I78),ISNUMBER(SEARCH("　",I78)))),"冷却方式含首尾空格或全角空格",""),IF(J78="","缺少额定功率",""),IF(J78="","",IF(NOT(ISNUMBER(J78)),"额定功率应为数值",IF(J78&lt;=0,"额定功率应大于0",""))),IF(K78="","缺少极数",""),IF(K78="","",IF(COUNTIF(EV_POLES_PMSM,K78)=0,"极数不在标准枚举中","")),IF(L78="","缺少额定转速",""),IF(L78="","",IF(NOT(ISNUMBER(L78)),"额定转速应为数值",IF(L78&lt;=0,"额定转速应大于0",""))),IF(M78="","缺少效率",""),IF(M78="","",IF(NOT(ISNUMBER(M78)),"效率应为数值",IF(OR(M78&lt;1,M78&gt;100),"效率应为1～100的百分数本值",""))),IF(R78="","缺少铭牌照片",""),IF(AND(ISTEXT(S78),OR(S78&lt;&gt;TRIM(S78),ISNUMBER(SEARCH("　",S78)))),"填表备注含首尾空格或全角空格",""),IF(AND(OR(F78="高压三相笼型异步电动机",F78="异步起动三相永磁同步电动机",F78="变频调速永磁同步电动机"),OR(G78="3（3.3）",G78="6",G78="10"),I78=""),"高压电动机缺少冷却方式",""),IF(AND(F78="电梯用永磁同步电动机",L78=""),"电梯用永磁同步电动机缺少额定转速","")),"")</f>
        <v/>
      </c>
    </row>
    <row r="79" ht="42" customHeight="1" s="184">
      <c r="A79" s="224">
        <f>IF(COUNTA(B79,C79,D79,E79,F79,G79,H79,I79,J79,K79,L79,M79,R79,S79)&gt;0,ROW()-3,"")</f>
        <v/>
      </c>
      <c r="B79" s="176" t="n"/>
      <c r="C79" s="176" t="n"/>
      <c r="D79" s="228" t="n"/>
      <c r="E79" s="176" t="n"/>
      <c r="F79" s="218" t="n"/>
      <c r="G79" s="218" t="n"/>
      <c r="H79" s="176" t="n"/>
      <c r="I79" s="218" t="n"/>
      <c r="J79" s="229" t="n"/>
      <c r="K79" s="181" t="n"/>
      <c r="L79" s="229" t="n"/>
      <c r="M79" s="229" t="n"/>
      <c r="N79" s="227" t="n"/>
      <c r="O79" s="227" t="n"/>
      <c r="P79" s="227" t="n"/>
      <c r="Q79" s="81" t="n"/>
      <c r="R79" s="180" t="n"/>
      <c r="S79" s="180" t="n"/>
      <c r="T79" s="99">
        <f>IF(COUNTA(B79,C79,D79,E79,F79,G79,H79,I79,J79,K79,L79,M79,R79,S79)&gt;0,TEXTJOIN("；",TRUE,IF(B79="","缺少设备名称",""),IF(AND(ISTEXT(B79),OR(B79&lt;&gt;TRIM(B79),ISNUMBER(SEARCH("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",E79)))),"安装位置含首尾空格或全角空格",""),IF(F79="","缺少设备类别",""),IF(F79="","",IF(COUNTIF(EV_MOTOR_CATEGORY,F79)=0,"设备类别不在标准枚举中","")),IF(AND(ISTEXT(F79),OR(F79&lt;&gt;TRIM(F79),ISNUMBER(SEARCH("　",F79)))),"设备类别含首尾空格或全角空格",""),IF(G79="","缺少额定电压",""),IF(G79="","",IF(COUNTIF(EV_MOTOR_VOLTAGE,G79)=0,"额定电压不在标准枚举中","")),IF(AND(ISTEXT(G79),OR(G79&lt;&gt;TRIM(G79),ISNUMBER(SEARCH("　",G79)))),"额定电压含首尾空格或全角空格",""),IF(H79="","缺少额定频率",""),IF(AND(ISTEXT(H79),OR(H79&lt;&gt;TRIM(H79),ISNUMBER(SEARCH("　",H79)))),"额定频率含首尾空格或全角空格",""),IF(I79="","",IF(COUNTIF(EV_COOLING_MOTOR_HV,I79)=0,"冷却方式不在标准枚举中","")),IF(AND(ISTEXT(I79),OR(I79&lt;&gt;TRIM(I79),ISNUMBER(SEARCH("　",I79)))),"冷却方式含首尾空格或全角空格",""),IF(J79="","缺少额定功率",""),IF(J79="","",IF(NOT(ISNUMBER(J79)),"额定功率应为数值",IF(J79&lt;=0,"额定功率应大于0",""))),IF(K79="","缺少极数",""),IF(K79="","",IF(COUNTIF(EV_POLES_PMSM,K79)=0,"极数不在标准枚举中","")),IF(L79="","缺少额定转速",""),IF(L79="","",IF(NOT(ISNUMBER(L79)),"额定转速应为数值",IF(L79&lt;=0,"额定转速应大于0",""))),IF(M79="","缺少效率",""),IF(M79="","",IF(NOT(ISNUMBER(M79)),"效率应为数值",IF(OR(M79&lt;1,M79&gt;100),"效率应为1～100的百分数本值",""))),IF(R79="","缺少铭牌照片",""),IF(AND(ISTEXT(S79),OR(S79&lt;&gt;TRIM(S79),ISNUMBER(SEARCH("　",S79)))),"填表备注含首尾空格或全角空格",""),IF(AND(OR(F79="高压三相笼型异步电动机",F79="异步起动三相永磁同步电动机",F79="变频调速永磁同步电动机"),OR(G79="3（3.3）",G79="6",G79="10"),I79=""),"高压电动机缺少冷却方式",""),IF(AND(F79="电梯用永磁同步电动机",L79=""),"电梯用永磁同步电动机缺少额定转速","")),"")</f>
        <v/>
      </c>
    </row>
    <row r="80" ht="42" customHeight="1" s="184">
      <c r="A80" s="224">
        <f>IF(COUNTA(B80,C80,D80,E80,F80,G80,H80,I80,J80,K80,L80,M80,R80,S80)&gt;0,ROW()-3,"")</f>
        <v/>
      </c>
      <c r="B80" s="176" t="n"/>
      <c r="C80" s="176" t="n"/>
      <c r="D80" s="228" t="n"/>
      <c r="E80" s="176" t="n"/>
      <c r="F80" s="218" t="n"/>
      <c r="G80" s="218" t="n"/>
      <c r="H80" s="176" t="n"/>
      <c r="I80" s="218" t="n"/>
      <c r="J80" s="229" t="n"/>
      <c r="K80" s="181" t="n"/>
      <c r="L80" s="229" t="n"/>
      <c r="M80" s="229" t="n"/>
      <c r="N80" s="227" t="n"/>
      <c r="O80" s="227" t="n"/>
      <c r="P80" s="227" t="n"/>
      <c r="Q80" s="81" t="n"/>
      <c r="R80" s="180" t="n"/>
      <c r="S80" s="180" t="n"/>
      <c r="T80" s="99">
        <f>IF(COUNTA(B80,C80,D80,E80,F80,G80,H80,I80,J80,K80,L80,M80,R80,S80)&gt;0,TEXTJOIN("；",TRUE,IF(B80="","缺少设备名称",""),IF(AND(ISTEXT(B80),OR(B80&lt;&gt;TRIM(B80),ISNUMBER(SEARCH("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",E80)))),"安装位置含首尾空格或全角空格",""),IF(F80="","缺少设备类别",""),IF(F80="","",IF(COUNTIF(EV_MOTOR_CATEGORY,F80)=0,"设备类别不在标准枚举中","")),IF(AND(ISTEXT(F80),OR(F80&lt;&gt;TRIM(F80),ISNUMBER(SEARCH("　",F80)))),"设备类别含首尾空格或全角空格",""),IF(G80="","缺少额定电压",""),IF(G80="","",IF(COUNTIF(EV_MOTOR_VOLTAGE,G80)=0,"额定电压不在标准枚举中","")),IF(AND(ISTEXT(G80),OR(G80&lt;&gt;TRIM(G80),ISNUMBER(SEARCH("　",G80)))),"额定电压含首尾空格或全角空格",""),IF(H80="","缺少额定频率",""),IF(AND(ISTEXT(H80),OR(H80&lt;&gt;TRIM(H80),ISNUMBER(SEARCH("　",H80)))),"额定频率含首尾空格或全角空格",""),IF(I80="","",IF(COUNTIF(EV_COOLING_MOTOR_HV,I80)=0,"冷却方式不在标准枚举中","")),IF(AND(ISTEXT(I80),OR(I80&lt;&gt;TRIM(I80),ISNUMBER(SEARCH("　",I80)))),"冷却方式含首尾空格或全角空格",""),IF(J80="","缺少额定功率",""),IF(J80="","",IF(NOT(ISNUMBER(J80)),"额定功率应为数值",IF(J80&lt;=0,"额定功率应大于0",""))),IF(K80="","缺少极数",""),IF(K80="","",IF(COUNTIF(EV_POLES_PMSM,K80)=0,"极数不在标准枚举中","")),IF(L80="","缺少额定转速",""),IF(L80="","",IF(NOT(ISNUMBER(L80)),"额定转速应为数值",IF(L80&lt;=0,"额定转速应大于0",""))),IF(M80="","缺少效率",""),IF(M80="","",IF(NOT(ISNUMBER(M80)),"效率应为数值",IF(OR(M80&lt;1,M80&gt;100),"效率应为1～100的百分数本值",""))),IF(R80="","缺少铭牌照片",""),IF(AND(ISTEXT(S80),OR(S80&lt;&gt;TRIM(S80),ISNUMBER(SEARCH("　",S80)))),"填表备注含首尾空格或全角空格",""),IF(AND(OR(F80="高压三相笼型异步电动机",F80="异步起动三相永磁同步电动机",F80="变频调速永磁同步电动机"),OR(G80="3（3.3）",G80="6",G80="10"),I80=""),"高压电动机缺少冷却方式",""),IF(AND(F80="电梯用永磁同步电动机",L80=""),"电梯用永磁同步电动机缺少额定转速","")),"")</f>
        <v/>
      </c>
    </row>
    <row r="81" ht="42" customHeight="1" s="184">
      <c r="A81" s="224">
        <f>IF(COUNTA(B81,C81,D81,E81,F81,G81,H81,I81,J81,K81,L81,M81,R81,S81)&gt;0,ROW()-3,"")</f>
        <v/>
      </c>
      <c r="B81" s="176" t="n"/>
      <c r="C81" s="176" t="n"/>
      <c r="D81" s="228" t="n"/>
      <c r="E81" s="176" t="n"/>
      <c r="F81" s="218" t="n"/>
      <c r="G81" s="218" t="n"/>
      <c r="H81" s="176" t="n"/>
      <c r="I81" s="218" t="n"/>
      <c r="J81" s="229" t="n"/>
      <c r="K81" s="181" t="n"/>
      <c r="L81" s="229" t="n"/>
      <c r="M81" s="229" t="n"/>
      <c r="N81" s="227" t="n"/>
      <c r="O81" s="227" t="n"/>
      <c r="P81" s="227" t="n"/>
      <c r="Q81" s="81" t="n"/>
      <c r="R81" s="180" t="n"/>
      <c r="S81" s="180" t="n"/>
      <c r="T81" s="99">
        <f>IF(COUNTA(B81,C81,D81,E81,F81,G81,H81,I81,J81,K81,L81,M81,R81,S81)&gt;0,TEXTJOIN("；",TRUE,IF(B81="","缺少设备名称",""),IF(AND(ISTEXT(B81),OR(B81&lt;&gt;TRIM(B81),ISNUMBER(SEARCH("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",E81)))),"安装位置含首尾空格或全角空格",""),IF(F81="","缺少设备类别",""),IF(F81="","",IF(COUNTIF(EV_MOTOR_CATEGORY,F81)=0,"设备类别不在标准枚举中","")),IF(AND(ISTEXT(F81),OR(F81&lt;&gt;TRIM(F81),ISNUMBER(SEARCH("　",F81)))),"设备类别含首尾空格或全角空格",""),IF(G81="","缺少额定电压",""),IF(G81="","",IF(COUNTIF(EV_MOTOR_VOLTAGE,G81)=0,"额定电压不在标准枚举中","")),IF(AND(ISTEXT(G81),OR(G81&lt;&gt;TRIM(G81),ISNUMBER(SEARCH("　",G81)))),"额定电压含首尾空格或全角空格",""),IF(H81="","缺少额定频率",""),IF(AND(ISTEXT(H81),OR(H81&lt;&gt;TRIM(H81),ISNUMBER(SEARCH("　",H81)))),"额定频率含首尾空格或全角空格",""),IF(I81="","",IF(COUNTIF(EV_COOLING_MOTOR_HV,I81)=0,"冷却方式不在标准枚举中","")),IF(AND(ISTEXT(I81),OR(I81&lt;&gt;TRIM(I81),ISNUMBER(SEARCH("　",I81)))),"冷却方式含首尾空格或全角空格",""),IF(J81="","缺少额定功率",""),IF(J81="","",IF(NOT(ISNUMBER(J81)),"额定功率应为数值",IF(J81&lt;=0,"额定功率应大于0",""))),IF(K81="","缺少极数",""),IF(K81="","",IF(COUNTIF(EV_POLES_PMSM,K81)=0,"极数不在标准枚举中","")),IF(L81="","缺少额定转速",""),IF(L81="","",IF(NOT(ISNUMBER(L81)),"额定转速应为数值",IF(L81&lt;=0,"额定转速应大于0",""))),IF(M81="","缺少效率",""),IF(M81="","",IF(NOT(ISNUMBER(M81)),"效率应为数值",IF(OR(M81&lt;1,M81&gt;100),"效率应为1～100的百分数本值",""))),IF(R81="","缺少铭牌照片",""),IF(AND(ISTEXT(S81),OR(S81&lt;&gt;TRIM(S81),ISNUMBER(SEARCH("　",S81)))),"填表备注含首尾空格或全角空格",""),IF(AND(OR(F81="高压三相笼型异步电动机",F81="异步起动三相永磁同步电动机",F81="变频调速永磁同步电动机"),OR(G81="3（3.3）",G81="6",G81="10"),I81=""),"高压电动机缺少冷却方式",""),IF(AND(F81="电梯用永磁同步电动机",L81=""),"电梯用永磁同步电动机缺少额定转速","")),"")</f>
        <v/>
      </c>
    </row>
    <row r="82" ht="42" customHeight="1" s="184">
      <c r="A82" s="224">
        <f>IF(COUNTA(B82,C82,D82,E82,F82,G82,H82,I82,J82,K82,L82,M82,R82,S82)&gt;0,ROW()-3,"")</f>
        <v/>
      </c>
      <c r="B82" s="176" t="n"/>
      <c r="C82" s="176" t="n"/>
      <c r="D82" s="228" t="n"/>
      <c r="E82" s="176" t="n"/>
      <c r="F82" s="218" t="n"/>
      <c r="G82" s="218" t="n"/>
      <c r="H82" s="176" t="n"/>
      <c r="I82" s="218" t="n"/>
      <c r="J82" s="229" t="n"/>
      <c r="K82" s="181" t="n"/>
      <c r="L82" s="229" t="n"/>
      <c r="M82" s="229" t="n"/>
      <c r="N82" s="227" t="n"/>
      <c r="O82" s="227" t="n"/>
      <c r="P82" s="227" t="n"/>
      <c r="Q82" s="81" t="n"/>
      <c r="R82" s="180" t="n"/>
      <c r="S82" s="180" t="n"/>
      <c r="T82" s="99">
        <f>IF(COUNTA(B82,C82,D82,E82,F82,G82,H82,I82,J82,K82,L82,M82,R82,S82)&gt;0,TEXTJOIN("；",TRUE,IF(B82="","缺少设备名称",""),IF(AND(ISTEXT(B82),OR(B82&lt;&gt;TRIM(B82),ISNUMBER(SEARCH("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",E82)))),"安装位置含首尾空格或全角空格",""),IF(F82="","缺少设备类别",""),IF(F82="","",IF(COUNTIF(EV_MOTOR_CATEGORY,F82)=0,"设备类别不在标准枚举中","")),IF(AND(ISTEXT(F82),OR(F82&lt;&gt;TRIM(F82),ISNUMBER(SEARCH("　",F82)))),"设备类别含首尾空格或全角空格",""),IF(G82="","缺少额定电压",""),IF(G82="","",IF(COUNTIF(EV_MOTOR_VOLTAGE,G82)=0,"额定电压不在标准枚举中","")),IF(AND(ISTEXT(G82),OR(G82&lt;&gt;TRIM(G82),ISNUMBER(SEARCH("　",G82)))),"额定电压含首尾空格或全角空格",""),IF(H82="","缺少额定频率",""),IF(AND(ISTEXT(H82),OR(H82&lt;&gt;TRIM(H82),ISNUMBER(SEARCH("　",H82)))),"额定频率含首尾空格或全角空格",""),IF(I82="","",IF(COUNTIF(EV_COOLING_MOTOR_HV,I82)=0,"冷却方式不在标准枚举中","")),IF(AND(ISTEXT(I82),OR(I82&lt;&gt;TRIM(I82),ISNUMBER(SEARCH("　",I82)))),"冷却方式含首尾空格或全角空格",""),IF(J82="","缺少额定功率",""),IF(J82="","",IF(NOT(ISNUMBER(J82)),"额定功率应为数值",IF(J82&lt;=0,"额定功率应大于0",""))),IF(K82="","缺少极数",""),IF(K82="","",IF(COUNTIF(EV_POLES_PMSM,K82)=0,"极数不在标准枚举中","")),IF(L82="","缺少额定转速",""),IF(L82="","",IF(NOT(ISNUMBER(L82)),"额定转速应为数值",IF(L82&lt;=0,"额定转速应大于0",""))),IF(M82="","缺少效率",""),IF(M82="","",IF(NOT(ISNUMBER(M82)),"效率应为数值",IF(OR(M82&lt;1,M82&gt;100),"效率应为1～100的百分数本值",""))),IF(R82="","缺少铭牌照片",""),IF(AND(ISTEXT(S82),OR(S82&lt;&gt;TRIM(S82),ISNUMBER(SEARCH("　",S82)))),"填表备注含首尾空格或全角空格",""),IF(AND(OR(F82="高压三相笼型异步电动机",F82="异步起动三相永磁同步电动机",F82="变频调速永磁同步电动机"),OR(G82="3（3.3）",G82="6",G82="10"),I82=""),"高压电动机缺少冷却方式",""),IF(AND(F82="电梯用永磁同步电动机",L82=""),"电梯用永磁同步电动机缺少额定转速","")),"")</f>
        <v/>
      </c>
    </row>
    <row r="83" ht="42" customHeight="1" s="184">
      <c r="A83" s="224">
        <f>IF(COUNTA(B83,C83,D83,E83,F83,G83,H83,I83,J83,K83,L83,M83,R83,S83)&gt;0,ROW()-3,"")</f>
        <v/>
      </c>
      <c r="B83" s="176" t="n"/>
      <c r="C83" s="176" t="n"/>
      <c r="D83" s="228" t="n"/>
      <c r="E83" s="176" t="n"/>
      <c r="F83" s="218" t="n"/>
      <c r="G83" s="218" t="n"/>
      <c r="H83" s="176" t="n"/>
      <c r="I83" s="218" t="n"/>
      <c r="J83" s="229" t="n"/>
      <c r="K83" s="181" t="n"/>
      <c r="L83" s="229" t="n"/>
      <c r="M83" s="229" t="n"/>
      <c r="N83" s="227" t="n"/>
      <c r="O83" s="227" t="n"/>
      <c r="P83" s="227" t="n"/>
      <c r="Q83" s="81" t="n"/>
      <c r="R83" s="180" t="n"/>
      <c r="S83" s="180" t="n"/>
      <c r="T83" s="99">
        <f>IF(COUNTA(B83,C83,D83,E83,F83,G83,H83,I83,J83,K83,L83,M83,R83,S83)&gt;0,TEXTJOIN("；",TRUE,IF(B83="","缺少设备名称",""),IF(AND(ISTEXT(B83),OR(B83&lt;&gt;TRIM(B83),ISNUMBER(SEARCH("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",E83)))),"安装位置含首尾空格或全角空格",""),IF(F83="","缺少设备类别",""),IF(F83="","",IF(COUNTIF(EV_MOTOR_CATEGORY,F83)=0,"设备类别不在标准枚举中","")),IF(AND(ISTEXT(F83),OR(F83&lt;&gt;TRIM(F83),ISNUMBER(SEARCH("　",F83)))),"设备类别含首尾空格或全角空格",""),IF(G83="","缺少额定电压",""),IF(G83="","",IF(COUNTIF(EV_MOTOR_VOLTAGE,G83)=0,"额定电压不在标准枚举中","")),IF(AND(ISTEXT(G83),OR(G83&lt;&gt;TRIM(G83),ISNUMBER(SEARCH("　",G83)))),"额定电压含首尾空格或全角空格",""),IF(H83="","缺少额定频率",""),IF(AND(ISTEXT(H83),OR(H83&lt;&gt;TRIM(H83),ISNUMBER(SEARCH("　",H83)))),"额定频率含首尾空格或全角空格",""),IF(I83="","",IF(COUNTIF(EV_COOLING_MOTOR_HV,I83)=0,"冷却方式不在标准枚举中","")),IF(AND(ISTEXT(I83),OR(I83&lt;&gt;TRIM(I83),ISNUMBER(SEARCH("　",I83)))),"冷却方式含首尾空格或全角空格",""),IF(J83="","缺少额定功率",""),IF(J83="","",IF(NOT(ISNUMBER(J83)),"额定功率应为数值",IF(J83&lt;=0,"额定功率应大于0",""))),IF(K83="","缺少极数",""),IF(K83="","",IF(COUNTIF(EV_POLES_PMSM,K83)=0,"极数不在标准枚举中","")),IF(L83="","缺少额定转速",""),IF(L83="","",IF(NOT(ISNUMBER(L83)),"额定转速应为数值",IF(L83&lt;=0,"额定转速应大于0",""))),IF(M83="","缺少效率",""),IF(M83="","",IF(NOT(ISNUMBER(M83)),"效率应为数值",IF(OR(M83&lt;1,M83&gt;100),"效率应为1～100的百分数本值",""))),IF(R83="","缺少铭牌照片",""),IF(AND(ISTEXT(S83),OR(S83&lt;&gt;TRIM(S83),ISNUMBER(SEARCH("　",S83)))),"填表备注含首尾空格或全角空格",""),IF(AND(OR(F83="高压三相笼型异步电动机",F83="异步起动三相永磁同步电动机",F83="变频调速永磁同步电动机"),OR(G83="3（3.3）",G83="6",G83="10"),I83=""),"高压电动机缺少冷却方式",""),IF(AND(F83="电梯用永磁同步电动机",L83=""),"电梯用永磁同步电动机缺少额定转速","")),"")</f>
        <v/>
      </c>
    </row>
    <row r="84" ht="42" customHeight="1" s="184">
      <c r="A84" s="224">
        <f>IF(COUNTA(B84,C84,D84,E84,F84,G84,H84,I84,J84,K84,L84,M84,R84,S84)&gt;0,ROW()-3,"")</f>
        <v/>
      </c>
      <c r="B84" s="176" t="n"/>
      <c r="C84" s="176" t="n"/>
      <c r="D84" s="228" t="n"/>
      <c r="E84" s="176" t="n"/>
      <c r="F84" s="218" t="n"/>
      <c r="G84" s="218" t="n"/>
      <c r="H84" s="176" t="n"/>
      <c r="I84" s="218" t="n"/>
      <c r="J84" s="229" t="n"/>
      <c r="K84" s="181" t="n"/>
      <c r="L84" s="229" t="n"/>
      <c r="M84" s="229" t="n"/>
      <c r="N84" s="227" t="n"/>
      <c r="O84" s="227" t="n"/>
      <c r="P84" s="227" t="n"/>
      <c r="Q84" s="81" t="n"/>
      <c r="R84" s="180" t="n"/>
      <c r="S84" s="180" t="n"/>
      <c r="T84" s="99">
        <f>IF(COUNTA(B84,C84,D84,E84,F84,G84,H84,I84,J84,K84,L84,M84,R84,S84)&gt;0,TEXTJOIN("；",TRUE,IF(B84="","缺少设备名称",""),IF(AND(ISTEXT(B84),OR(B84&lt;&gt;TRIM(B84),ISNUMBER(SEARCH("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",E84)))),"安装位置含首尾空格或全角空格",""),IF(F84="","缺少设备类别",""),IF(F84="","",IF(COUNTIF(EV_MOTOR_CATEGORY,F84)=0,"设备类别不在标准枚举中","")),IF(AND(ISTEXT(F84),OR(F84&lt;&gt;TRIM(F84),ISNUMBER(SEARCH("　",F84)))),"设备类别含首尾空格或全角空格",""),IF(G84="","缺少额定电压",""),IF(G84="","",IF(COUNTIF(EV_MOTOR_VOLTAGE,G84)=0,"额定电压不在标准枚举中","")),IF(AND(ISTEXT(G84),OR(G84&lt;&gt;TRIM(G84),ISNUMBER(SEARCH("　",G84)))),"额定电压含首尾空格或全角空格",""),IF(H84="","缺少额定频率",""),IF(AND(ISTEXT(H84),OR(H84&lt;&gt;TRIM(H84),ISNUMBER(SEARCH("　",H84)))),"额定频率含首尾空格或全角空格",""),IF(I84="","",IF(COUNTIF(EV_COOLING_MOTOR_HV,I84)=0,"冷却方式不在标准枚举中","")),IF(AND(ISTEXT(I84),OR(I84&lt;&gt;TRIM(I84),ISNUMBER(SEARCH("　",I84)))),"冷却方式含首尾空格或全角空格",""),IF(J84="","缺少额定功率",""),IF(J84="","",IF(NOT(ISNUMBER(J84)),"额定功率应为数值",IF(J84&lt;=0,"额定功率应大于0",""))),IF(K84="","缺少极数",""),IF(K84="","",IF(COUNTIF(EV_POLES_PMSM,K84)=0,"极数不在标准枚举中","")),IF(L84="","缺少额定转速",""),IF(L84="","",IF(NOT(ISNUMBER(L84)),"额定转速应为数值",IF(L84&lt;=0,"额定转速应大于0",""))),IF(M84="","缺少效率",""),IF(M84="","",IF(NOT(ISNUMBER(M84)),"效率应为数值",IF(OR(M84&lt;1,M84&gt;100),"效率应为1～100的百分数本值",""))),IF(R84="","缺少铭牌照片",""),IF(AND(ISTEXT(S84),OR(S84&lt;&gt;TRIM(S84),ISNUMBER(SEARCH("　",S84)))),"填表备注含首尾空格或全角空格",""),IF(AND(OR(F84="高压三相笼型异步电动机",F84="异步起动三相永磁同步电动机",F84="变频调速永磁同步电动机"),OR(G84="3（3.3）",G84="6",G84="10"),I84=""),"高压电动机缺少冷却方式",""),IF(AND(F84="电梯用永磁同步电动机",L84=""),"电梯用永磁同步电动机缺少额定转速","")),"")</f>
        <v/>
      </c>
    </row>
    <row r="85" ht="42" customHeight="1" s="184">
      <c r="A85" s="224">
        <f>IF(COUNTA(B85,C85,D85,E85,F85,G85,H85,I85,J85,K85,L85,M85,R85,S85)&gt;0,ROW()-3,"")</f>
        <v/>
      </c>
      <c r="B85" s="176" t="n"/>
      <c r="C85" s="176" t="n"/>
      <c r="D85" s="228" t="n"/>
      <c r="E85" s="176" t="n"/>
      <c r="F85" s="218" t="n"/>
      <c r="G85" s="218" t="n"/>
      <c r="H85" s="176" t="n"/>
      <c r="I85" s="218" t="n"/>
      <c r="J85" s="229" t="n"/>
      <c r="K85" s="181" t="n"/>
      <c r="L85" s="229" t="n"/>
      <c r="M85" s="229" t="n"/>
      <c r="N85" s="227" t="n"/>
      <c r="O85" s="227" t="n"/>
      <c r="P85" s="227" t="n"/>
      <c r="Q85" s="81" t="n"/>
      <c r="R85" s="180" t="n"/>
      <c r="S85" s="180" t="n"/>
      <c r="T85" s="99">
        <f>IF(COUNTA(B85,C85,D85,E85,F85,G85,H85,I85,J85,K85,L85,M85,R85,S85)&gt;0,TEXTJOIN("；",TRUE,IF(B85="","缺少设备名称",""),IF(AND(ISTEXT(B85),OR(B85&lt;&gt;TRIM(B85),ISNUMBER(SEARCH("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",E85)))),"安装位置含首尾空格或全角空格",""),IF(F85="","缺少设备类别",""),IF(F85="","",IF(COUNTIF(EV_MOTOR_CATEGORY,F85)=0,"设备类别不在标准枚举中","")),IF(AND(ISTEXT(F85),OR(F85&lt;&gt;TRIM(F85),ISNUMBER(SEARCH("　",F85)))),"设备类别含首尾空格或全角空格",""),IF(G85="","缺少额定电压",""),IF(G85="","",IF(COUNTIF(EV_MOTOR_VOLTAGE,G85)=0,"额定电压不在标准枚举中","")),IF(AND(ISTEXT(G85),OR(G85&lt;&gt;TRIM(G85),ISNUMBER(SEARCH("　",G85)))),"额定电压含首尾空格或全角空格",""),IF(H85="","缺少额定频率",""),IF(AND(ISTEXT(H85),OR(H85&lt;&gt;TRIM(H85),ISNUMBER(SEARCH("　",H85)))),"额定频率含首尾空格或全角空格",""),IF(I85="","",IF(COUNTIF(EV_COOLING_MOTOR_HV,I85)=0,"冷却方式不在标准枚举中","")),IF(AND(ISTEXT(I85),OR(I85&lt;&gt;TRIM(I85),ISNUMBER(SEARCH("　",I85)))),"冷却方式含首尾空格或全角空格",""),IF(J85="","缺少额定功率",""),IF(J85="","",IF(NOT(ISNUMBER(J85)),"额定功率应为数值",IF(J85&lt;=0,"额定功率应大于0",""))),IF(K85="","缺少极数",""),IF(K85="","",IF(COUNTIF(EV_POLES_PMSM,K85)=0,"极数不在标准枚举中","")),IF(L85="","缺少额定转速",""),IF(L85="","",IF(NOT(ISNUMBER(L85)),"额定转速应为数值",IF(L85&lt;=0,"额定转速应大于0",""))),IF(M85="","缺少效率",""),IF(M85="","",IF(NOT(ISNUMBER(M85)),"效率应为数值",IF(OR(M85&lt;1,M85&gt;100),"效率应为1～100的百分数本值",""))),IF(R85="","缺少铭牌照片",""),IF(AND(ISTEXT(S85),OR(S85&lt;&gt;TRIM(S85),ISNUMBER(SEARCH("　",S85)))),"填表备注含首尾空格或全角空格",""),IF(AND(OR(F85="高压三相笼型异步电动机",F85="异步起动三相永磁同步电动机",F85="变频调速永磁同步电动机"),OR(G85="3（3.3）",G85="6",G85="10"),I85=""),"高压电动机缺少冷却方式",""),IF(AND(F85="电梯用永磁同步电动机",L85=""),"电梯用永磁同步电动机缺少额定转速","")),"")</f>
        <v/>
      </c>
    </row>
    <row r="86" ht="42" customHeight="1" s="184">
      <c r="A86" s="224">
        <f>IF(COUNTA(B86,C86,D86,E86,F86,G86,H86,I86,J86,K86,L86,M86,R86,S86)&gt;0,ROW()-3,"")</f>
        <v/>
      </c>
      <c r="B86" s="176" t="n"/>
      <c r="C86" s="176" t="n"/>
      <c r="D86" s="228" t="n"/>
      <c r="E86" s="176" t="n"/>
      <c r="F86" s="218" t="n"/>
      <c r="G86" s="218" t="n"/>
      <c r="H86" s="176" t="n"/>
      <c r="I86" s="218" t="n"/>
      <c r="J86" s="229" t="n"/>
      <c r="K86" s="181" t="n"/>
      <c r="L86" s="229" t="n"/>
      <c r="M86" s="229" t="n"/>
      <c r="N86" s="227" t="n"/>
      <c r="O86" s="227" t="n"/>
      <c r="P86" s="227" t="n"/>
      <c r="Q86" s="81" t="n"/>
      <c r="R86" s="180" t="n"/>
      <c r="S86" s="180" t="n"/>
      <c r="T86" s="99">
        <f>IF(COUNTA(B86,C86,D86,E86,F86,G86,H86,I86,J86,K86,L86,M86,R86,S86)&gt;0,TEXTJOIN("；",TRUE,IF(B86="","缺少设备名称",""),IF(AND(ISTEXT(B86),OR(B86&lt;&gt;TRIM(B86),ISNUMBER(SEARCH("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",E86)))),"安装位置含首尾空格或全角空格",""),IF(F86="","缺少设备类别",""),IF(F86="","",IF(COUNTIF(EV_MOTOR_CATEGORY,F86)=0,"设备类别不在标准枚举中","")),IF(AND(ISTEXT(F86),OR(F86&lt;&gt;TRIM(F86),ISNUMBER(SEARCH("　",F86)))),"设备类别含首尾空格或全角空格",""),IF(G86="","缺少额定电压",""),IF(G86="","",IF(COUNTIF(EV_MOTOR_VOLTAGE,G86)=0,"额定电压不在标准枚举中","")),IF(AND(ISTEXT(G86),OR(G86&lt;&gt;TRIM(G86),ISNUMBER(SEARCH("　",G86)))),"额定电压含首尾空格或全角空格",""),IF(H86="","缺少额定频率",""),IF(AND(ISTEXT(H86),OR(H86&lt;&gt;TRIM(H86),ISNUMBER(SEARCH("　",H86)))),"额定频率含首尾空格或全角空格",""),IF(I86="","",IF(COUNTIF(EV_COOLING_MOTOR_HV,I86)=0,"冷却方式不在标准枚举中","")),IF(AND(ISTEXT(I86),OR(I86&lt;&gt;TRIM(I86),ISNUMBER(SEARCH("　",I86)))),"冷却方式含首尾空格或全角空格",""),IF(J86="","缺少额定功率",""),IF(J86="","",IF(NOT(ISNUMBER(J86)),"额定功率应为数值",IF(J86&lt;=0,"额定功率应大于0",""))),IF(K86="","缺少极数",""),IF(K86="","",IF(COUNTIF(EV_POLES_PMSM,K86)=0,"极数不在标准枚举中","")),IF(L86="","缺少额定转速",""),IF(L86="","",IF(NOT(ISNUMBER(L86)),"额定转速应为数值",IF(L86&lt;=0,"额定转速应大于0",""))),IF(M86="","缺少效率",""),IF(M86="","",IF(NOT(ISNUMBER(M86)),"效率应为数值",IF(OR(M86&lt;1,M86&gt;100),"效率应为1～100的百分数本值",""))),IF(R86="","缺少铭牌照片",""),IF(AND(ISTEXT(S86),OR(S86&lt;&gt;TRIM(S86),ISNUMBER(SEARCH("　",S86)))),"填表备注含首尾空格或全角空格",""),IF(AND(OR(F86="高压三相笼型异步电动机",F86="异步起动三相永磁同步电动机",F86="变频调速永磁同步电动机"),OR(G86="3（3.3）",G86="6",G86="10"),I86=""),"高压电动机缺少冷却方式",""),IF(AND(F86="电梯用永磁同步电动机",L86=""),"电梯用永磁同步电动机缺少额定转速","")),"")</f>
        <v/>
      </c>
    </row>
    <row r="87" ht="42" customHeight="1" s="184">
      <c r="A87" s="224">
        <f>IF(COUNTA(B87,C87,D87,E87,F87,G87,H87,I87,J87,K87,L87,M87,R87,S87)&gt;0,ROW()-3,"")</f>
        <v/>
      </c>
      <c r="B87" s="176" t="n"/>
      <c r="C87" s="176" t="n"/>
      <c r="D87" s="228" t="n"/>
      <c r="E87" s="176" t="n"/>
      <c r="F87" s="218" t="n"/>
      <c r="G87" s="218" t="n"/>
      <c r="H87" s="176" t="n"/>
      <c r="I87" s="218" t="n"/>
      <c r="J87" s="229" t="n"/>
      <c r="K87" s="181" t="n"/>
      <c r="L87" s="229" t="n"/>
      <c r="M87" s="229" t="n"/>
      <c r="N87" s="227" t="n"/>
      <c r="O87" s="227" t="n"/>
      <c r="P87" s="227" t="n"/>
      <c r="Q87" s="81" t="n"/>
      <c r="R87" s="180" t="n"/>
      <c r="S87" s="180" t="n"/>
      <c r="T87" s="99">
        <f>IF(COUNTA(B87,C87,D87,E87,F87,G87,H87,I87,J87,K87,L87,M87,R87,S87)&gt;0,TEXTJOIN("；",TRUE,IF(B87="","缺少设备名称",""),IF(AND(ISTEXT(B87),OR(B87&lt;&gt;TRIM(B87),ISNUMBER(SEARCH("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",E87)))),"安装位置含首尾空格或全角空格",""),IF(F87="","缺少设备类别",""),IF(F87="","",IF(COUNTIF(EV_MOTOR_CATEGORY,F87)=0,"设备类别不在标准枚举中","")),IF(AND(ISTEXT(F87),OR(F87&lt;&gt;TRIM(F87),ISNUMBER(SEARCH("　",F87)))),"设备类别含首尾空格或全角空格",""),IF(G87="","缺少额定电压",""),IF(G87="","",IF(COUNTIF(EV_MOTOR_VOLTAGE,G87)=0,"额定电压不在标准枚举中","")),IF(AND(ISTEXT(G87),OR(G87&lt;&gt;TRIM(G87),ISNUMBER(SEARCH("　",G87)))),"额定电压含首尾空格或全角空格",""),IF(H87="","缺少额定频率",""),IF(AND(ISTEXT(H87),OR(H87&lt;&gt;TRIM(H87),ISNUMBER(SEARCH("　",H87)))),"额定频率含首尾空格或全角空格",""),IF(I87="","",IF(COUNTIF(EV_COOLING_MOTOR_HV,I87)=0,"冷却方式不在标准枚举中","")),IF(AND(ISTEXT(I87),OR(I87&lt;&gt;TRIM(I87),ISNUMBER(SEARCH("　",I87)))),"冷却方式含首尾空格或全角空格",""),IF(J87="","缺少额定功率",""),IF(J87="","",IF(NOT(ISNUMBER(J87)),"额定功率应为数值",IF(J87&lt;=0,"额定功率应大于0",""))),IF(K87="","缺少极数",""),IF(K87="","",IF(COUNTIF(EV_POLES_PMSM,K87)=0,"极数不在标准枚举中","")),IF(L87="","缺少额定转速",""),IF(L87="","",IF(NOT(ISNUMBER(L87)),"额定转速应为数值",IF(L87&lt;=0,"额定转速应大于0",""))),IF(M87="","缺少效率",""),IF(M87="","",IF(NOT(ISNUMBER(M87)),"效率应为数值",IF(OR(M87&lt;1,M87&gt;100),"效率应为1～100的百分数本值",""))),IF(R87="","缺少铭牌照片",""),IF(AND(ISTEXT(S87),OR(S87&lt;&gt;TRIM(S87),ISNUMBER(SEARCH("　",S87)))),"填表备注含首尾空格或全角空格",""),IF(AND(OR(F87="高压三相笼型异步电动机",F87="异步起动三相永磁同步电动机",F87="变频调速永磁同步电动机"),OR(G87="3（3.3）",G87="6",G87="10"),I87=""),"高压电动机缺少冷却方式",""),IF(AND(F87="电梯用永磁同步电动机",L87=""),"电梯用永磁同步电动机缺少额定转速","")),"")</f>
        <v/>
      </c>
    </row>
    <row r="88" ht="42" customHeight="1" s="184">
      <c r="A88" s="224">
        <f>IF(COUNTA(B88,C88,D88,E88,F88,G88,H88,I88,J88,K88,L88,M88,R88,S88)&gt;0,ROW()-3,"")</f>
        <v/>
      </c>
      <c r="B88" s="176" t="n"/>
      <c r="C88" s="176" t="n"/>
      <c r="D88" s="228" t="n"/>
      <c r="E88" s="176" t="n"/>
      <c r="F88" s="218" t="n"/>
      <c r="G88" s="218" t="n"/>
      <c r="H88" s="176" t="n"/>
      <c r="I88" s="218" t="n"/>
      <c r="J88" s="229" t="n"/>
      <c r="K88" s="181" t="n"/>
      <c r="L88" s="229" t="n"/>
      <c r="M88" s="229" t="n"/>
      <c r="N88" s="227" t="n"/>
      <c r="O88" s="227" t="n"/>
      <c r="P88" s="227" t="n"/>
      <c r="Q88" s="81" t="n"/>
      <c r="R88" s="180" t="n"/>
      <c r="S88" s="180" t="n"/>
      <c r="T88" s="99">
        <f>IF(COUNTA(B88,C88,D88,E88,F88,G88,H88,I88,J88,K88,L88,M88,R88,S88)&gt;0,TEXTJOIN("；",TRUE,IF(B88="","缺少设备名称",""),IF(AND(ISTEXT(B88),OR(B88&lt;&gt;TRIM(B88),ISNUMBER(SEARCH("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",E88)))),"安装位置含首尾空格或全角空格",""),IF(F88="","缺少设备类别",""),IF(F88="","",IF(COUNTIF(EV_MOTOR_CATEGORY,F88)=0,"设备类别不在标准枚举中","")),IF(AND(ISTEXT(F88),OR(F88&lt;&gt;TRIM(F88),ISNUMBER(SEARCH("　",F88)))),"设备类别含首尾空格或全角空格",""),IF(G88="","缺少额定电压",""),IF(G88="","",IF(COUNTIF(EV_MOTOR_VOLTAGE,G88)=0,"额定电压不在标准枚举中","")),IF(AND(ISTEXT(G88),OR(G88&lt;&gt;TRIM(G88),ISNUMBER(SEARCH("　",G88)))),"额定电压含首尾空格或全角空格",""),IF(H88="","缺少额定频率",""),IF(AND(ISTEXT(H88),OR(H88&lt;&gt;TRIM(H88),ISNUMBER(SEARCH("　",H88)))),"额定频率含首尾空格或全角空格",""),IF(I88="","",IF(COUNTIF(EV_COOLING_MOTOR_HV,I88)=0,"冷却方式不在标准枚举中","")),IF(AND(ISTEXT(I88),OR(I88&lt;&gt;TRIM(I88),ISNUMBER(SEARCH("　",I88)))),"冷却方式含首尾空格或全角空格",""),IF(J88="","缺少额定功率",""),IF(J88="","",IF(NOT(ISNUMBER(J88)),"额定功率应为数值",IF(J88&lt;=0,"额定功率应大于0",""))),IF(K88="","缺少极数",""),IF(K88="","",IF(COUNTIF(EV_POLES_PMSM,K88)=0,"极数不在标准枚举中","")),IF(L88="","缺少额定转速",""),IF(L88="","",IF(NOT(ISNUMBER(L88)),"额定转速应为数值",IF(L88&lt;=0,"额定转速应大于0",""))),IF(M88="","缺少效率",""),IF(M88="","",IF(NOT(ISNUMBER(M88)),"效率应为数值",IF(OR(M88&lt;1,M88&gt;100),"效率应为1～100的百分数本值",""))),IF(R88="","缺少铭牌照片",""),IF(AND(ISTEXT(S88),OR(S88&lt;&gt;TRIM(S88),ISNUMBER(SEARCH("　",S88)))),"填表备注含首尾空格或全角空格",""),IF(AND(OR(F88="高压三相笼型异步电动机",F88="异步起动三相永磁同步电动机",F88="变频调速永磁同步电动机"),OR(G88="3（3.3）",G88="6",G88="10"),I88=""),"高压电动机缺少冷却方式",""),IF(AND(F88="电梯用永磁同步电动机",L88=""),"电梯用永磁同步电动机缺少额定转速","")),"")</f>
        <v/>
      </c>
    </row>
    <row r="89" ht="42" customHeight="1" s="184">
      <c r="A89" s="224">
        <f>IF(COUNTA(B89,C89,D89,E89,F89,G89,H89,I89,J89,K89,L89,M89,R89,S89)&gt;0,ROW()-3,"")</f>
        <v/>
      </c>
      <c r="B89" s="176" t="n"/>
      <c r="C89" s="176" t="n"/>
      <c r="D89" s="228" t="n"/>
      <c r="E89" s="176" t="n"/>
      <c r="F89" s="218" t="n"/>
      <c r="G89" s="218" t="n"/>
      <c r="H89" s="176" t="n"/>
      <c r="I89" s="218" t="n"/>
      <c r="J89" s="229" t="n"/>
      <c r="K89" s="181" t="n"/>
      <c r="L89" s="229" t="n"/>
      <c r="M89" s="229" t="n"/>
      <c r="N89" s="227" t="n"/>
      <c r="O89" s="227" t="n"/>
      <c r="P89" s="227" t="n"/>
      <c r="Q89" s="81" t="n"/>
      <c r="R89" s="180" t="n"/>
      <c r="S89" s="180" t="n"/>
      <c r="T89" s="99">
        <f>IF(COUNTA(B89,C89,D89,E89,F89,G89,H89,I89,J89,K89,L89,M89,R89,S89)&gt;0,TEXTJOIN("；",TRUE,IF(B89="","缺少设备名称",""),IF(AND(ISTEXT(B89),OR(B89&lt;&gt;TRIM(B89),ISNUMBER(SEARCH("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",E89)))),"安装位置含首尾空格或全角空格",""),IF(F89="","缺少设备类别",""),IF(F89="","",IF(COUNTIF(EV_MOTOR_CATEGORY,F89)=0,"设备类别不在标准枚举中","")),IF(AND(ISTEXT(F89),OR(F89&lt;&gt;TRIM(F89),ISNUMBER(SEARCH("　",F89)))),"设备类别含首尾空格或全角空格",""),IF(G89="","缺少额定电压",""),IF(G89="","",IF(COUNTIF(EV_MOTOR_VOLTAGE,G89)=0,"额定电压不在标准枚举中","")),IF(AND(ISTEXT(G89),OR(G89&lt;&gt;TRIM(G89),ISNUMBER(SEARCH("　",G89)))),"额定电压含首尾空格或全角空格",""),IF(H89="","缺少额定频率",""),IF(AND(ISTEXT(H89),OR(H89&lt;&gt;TRIM(H89),ISNUMBER(SEARCH("　",H89)))),"额定频率含首尾空格或全角空格",""),IF(I89="","",IF(COUNTIF(EV_COOLING_MOTOR_HV,I89)=0,"冷却方式不在标准枚举中","")),IF(AND(ISTEXT(I89),OR(I89&lt;&gt;TRIM(I89),ISNUMBER(SEARCH("　",I89)))),"冷却方式含首尾空格或全角空格",""),IF(J89="","缺少额定功率",""),IF(J89="","",IF(NOT(ISNUMBER(J89)),"额定功率应为数值",IF(J89&lt;=0,"额定功率应大于0",""))),IF(K89="","缺少极数",""),IF(K89="","",IF(COUNTIF(EV_POLES_PMSM,K89)=0,"极数不在标准枚举中","")),IF(L89="","缺少额定转速",""),IF(L89="","",IF(NOT(ISNUMBER(L89)),"额定转速应为数值",IF(L89&lt;=0,"额定转速应大于0",""))),IF(M89="","缺少效率",""),IF(M89="","",IF(NOT(ISNUMBER(M89)),"效率应为数值",IF(OR(M89&lt;1,M89&gt;100),"效率应为1～100的百分数本值",""))),IF(R89="","缺少铭牌照片",""),IF(AND(ISTEXT(S89),OR(S89&lt;&gt;TRIM(S89),ISNUMBER(SEARCH("　",S89)))),"填表备注含首尾空格或全角空格",""),IF(AND(OR(F89="高压三相笼型异步电动机",F89="异步起动三相永磁同步电动机",F89="变频调速永磁同步电动机"),OR(G89="3（3.3）",G89="6",G89="10"),I89=""),"高压电动机缺少冷却方式",""),IF(AND(F89="电梯用永磁同步电动机",L89=""),"电梯用永磁同步电动机缺少额定转速","")),"")</f>
        <v/>
      </c>
    </row>
    <row r="90" ht="42" customHeight="1" s="184">
      <c r="A90" s="224">
        <f>IF(COUNTA(B90,C90,D90,E90,F90,G90,H90,I90,J90,K90,L90,M90,R90,S90)&gt;0,ROW()-3,"")</f>
        <v/>
      </c>
      <c r="B90" s="176" t="n"/>
      <c r="C90" s="176" t="n"/>
      <c r="D90" s="228" t="n"/>
      <c r="E90" s="176" t="n"/>
      <c r="F90" s="218" t="n"/>
      <c r="G90" s="218" t="n"/>
      <c r="H90" s="176" t="n"/>
      <c r="I90" s="218" t="n"/>
      <c r="J90" s="229" t="n"/>
      <c r="K90" s="181" t="n"/>
      <c r="L90" s="229" t="n"/>
      <c r="M90" s="229" t="n"/>
      <c r="N90" s="227" t="n"/>
      <c r="O90" s="227" t="n"/>
      <c r="P90" s="227" t="n"/>
      <c r="Q90" s="81" t="n"/>
      <c r="R90" s="180" t="n"/>
      <c r="S90" s="180" t="n"/>
      <c r="T90" s="99">
        <f>IF(COUNTA(B90,C90,D90,E90,F90,G90,H90,I90,J90,K90,L90,M90,R90,S90)&gt;0,TEXTJOIN("；",TRUE,IF(B90="","缺少设备名称",""),IF(AND(ISTEXT(B90),OR(B90&lt;&gt;TRIM(B90),ISNUMBER(SEARCH("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",E90)))),"安装位置含首尾空格或全角空格",""),IF(F90="","缺少设备类别",""),IF(F90="","",IF(COUNTIF(EV_MOTOR_CATEGORY,F90)=0,"设备类别不在标准枚举中","")),IF(AND(ISTEXT(F90),OR(F90&lt;&gt;TRIM(F90),ISNUMBER(SEARCH("　",F90)))),"设备类别含首尾空格或全角空格",""),IF(G90="","缺少额定电压",""),IF(G90="","",IF(COUNTIF(EV_MOTOR_VOLTAGE,G90)=0,"额定电压不在标准枚举中","")),IF(AND(ISTEXT(G90),OR(G90&lt;&gt;TRIM(G90),ISNUMBER(SEARCH("　",G90)))),"额定电压含首尾空格或全角空格",""),IF(H90="","缺少额定频率",""),IF(AND(ISTEXT(H90),OR(H90&lt;&gt;TRIM(H90),ISNUMBER(SEARCH("　",H90)))),"额定频率含首尾空格或全角空格",""),IF(I90="","",IF(COUNTIF(EV_COOLING_MOTOR_HV,I90)=0,"冷却方式不在标准枚举中","")),IF(AND(ISTEXT(I90),OR(I90&lt;&gt;TRIM(I90),ISNUMBER(SEARCH("　",I90)))),"冷却方式含首尾空格或全角空格",""),IF(J90="","缺少额定功率",""),IF(J90="","",IF(NOT(ISNUMBER(J90)),"额定功率应为数值",IF(J90&lt;=0,"额定功率应大于0",""))),IF(K90="","缺少极数",""),IF(K90="","",IF(COUNTIF(EV_POLES_PMSM,K90)=0,"极数不在标准枚举中","")),IF(L90="","缺少额定转速",""),IF(L90="","",IF(NOT(ISNUMBER(L90)),"额定转速应为数值",IF(L90&lt;=0,"额定转速应大于0",""))),IF(M90="","缺少效率",""),IF(M90="","",IF(NOT(ISNUMBER(M90)),"效率应为数值",IF(OR(M90&lt;1,M90&gt;100),"效率应为1～100的百分数本值",""))),IF(R90="","缺少铭牌照片",""),IF(AND(ISTEXT(S90),OR(S90&lt;&gt;TRIM(S90),ISNUMBER(SEARCH("　",S90)))),"填表备注含首尾空格或全角空格",""),IF(AND(OR(F90="高压三相笼型异步电动机",F90="异步起动三相永磁同步电动机",F90="变频调速永磁同步电动机"),OR(G90="3（3.3）",G90="6",G90="10"),I90=""),"高压电动机缺少冷却方式",""),IF(AND(F90="电梯用永磁同步电动机",L90=""),"电梯用永磁同步电动机缺少额定转速","")),"")</f>
        <v/>
      </c>
    </row>
    <row r="91" ht="42" customHeight="1" s="184">
      <c r="A91" s="224">
        <f>IF(COUNTA(B91,C91,D91,E91,F91,G91,H91,I91,J91,K91,L91,M91,R91,S91)&gt;0,ROW()-3,"")</f>
        <v/>
      </c>
      <c r="B91" s="176" t="n"/>
      <c r="C91" s="176" t="n"/>
      <c r="D91" s="228" t="n"/>
      <c r="E91" s="176" t="n"/>
      <c r="F91" s="218" t="n"/>
      <c r="G91" s="218" t="n"/>
      <c r="H91" s="176" t="n"/>
      <c r="I91" s="218" t="n"/>
      <c r="J91" s="229" t="n"/>
      <c r="K91" s="181" t="n"/>
      <c r="L91" s="229" t="n"/>
      <c r="M91" s="229" t="n"/>
      <c r="N91" s="227" t="n"/>
      <c r="O91" s="227" t="n"/>
      <c r="P91" s="227" t="n"/>
      <c r="Q91" s="81" t="n"/>
      <c r="R91" s="180" t="n"/>
      <c r="S91" s="180" t="n"/>
      <c r="T91" s="99">
        <f>IF(COUNTA(B91,C91,D91,E91,F91,G91,H91,I91,J91,K91,L91,M91,R91,S91)&gt;0,TEXTJOIN("；",TRUE,IF(B91="","缺少设备名称",""),IF(AND(ISTEXT(B91),OR(B91&lt;&gt;TRIM(B91),ISNUMBER(SEARCH("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",E91)))),"安装位置含首尾空格或全角空格",""),IF(F91="","缺少设备类别",""),IF(F91="","",IF(COUNTIF(EV_MOTOR_CATEGORY,F91)=0,"设备类别不在标准枚举中","")),IF(AND(ISTEXT(F91),OR(F91&lt;&gt;TRIM(F91),ISNUMBER(SEARCH("　",F91)))),"设备类别含首尾空格或全角空格",""),IF(G91="","缺少额定电压",""),IF(G91="","",IF(COUNTIF(EV_MOTOR_VOLTAGE,G91)=0,"额定电压不在标准枚举中","")),IF(AND(ISTEXT(G91),OR(G91&lt;&gt;TRIM(G91),ISNUMBER(SEARCH("　",G91)))),"额定电压含首尾空格或全角空格",""),IF(H91="","缺少额定频率",""),IF(AND(ISTEXT(H91),OR(H91&lt;&gt;TRIM(H91),ISNUMBER(SEARCH("　",H91)))),"额定频率含首尾空格或全角空格",""),IF(I91="","",IF(COUNTIF(EV_COOLING_MOTOR_HV,I91)=0,"冷却方式不在标准枚举中","")),IF(AND(ISTEXT(I91),OR(I91&lt;&gt;TRIM(I91),ISNUMBER(SEARCH("　",I91)))),"冷却方式含首尾空格或全角空格",""),IF(J91="","缺少额定功率",""),IF(J91="","",IF(NOT(ISNUMBER(J91)),"额定功率应为数值",IF(J91&lt;=0,"额定功率应大于0",""))),IF(K91="","缺少极数",""),IF(K91="","",IF(COUNTIF(EV_POLES_PMSM,K91)=0,"极数不在标准枚举中","")),IF(L91="","缺少额定转速",""),IF(L91="","",IF(NOT(ISNUMBER(L91)),"额定转速应为数值",IF(L91&lt;=0,"额定转速应大于0",""))),IF(M91="","缺少效率",""),IF(M91="","",IF(NOT(ISNUMBER(M91)),"效率应为数值",IF(OR(M91&lt;1,M91&gt;100),"效率应为1～100的百分数本值",""))),IF(R91="","缺少铭牌照片",""),IF(AND(ISTEXT(S91),OR(S91&lt;&gt;TRIM(S91),ISNUMBER(SEARCH("　",S91)))),"填表备注含首尾空格或全角空格",""),IF(AND(OR(F91="高压三相笼型异步电动机",F91="异步起动三相永磁同步电动机",F91="变频调速永磁同步电动机"),OR(G91="3（3.3）",G91="6",G91="10"),I91=""),"高压电动机缺少冷却方式",""),IF(AND(F91="电梯用永磁同步电动机",L91=""),"电梯用永磁同步电动机缺少额定转速","")),"")</f>
        <v/>
      </c>
    </row>
    <row r="92" ht="42" customHeight="1" s="184">
      <c r="A92" s="224">
        <f>IF(COUNTA(B92,C92,D92,E92,F92,G92,H92,I92,J92,K92,L92,M92,R92,S92)&gt;0,ROW()-3,"")</f>
        <v/>
      </c>
      <c r="B92" s="176" t="n"/>
      <c r="C92" s="176" t="n"/>
      <c r="D92" s="228" t="n"/>
      <c r="E92" s="176" t="n"/>
      <c r="F92" s="218" t="n"/>
      <c r="G92" s="218" t="n"/>
      <c r="H92" s="176" t="n"/>
      <c r="I92" s="218" t="n"/>
      <c r="J92" s="229" t="n"/>
      <c r="K92" s="181" t="n"/>
      <c r="L92" s="229" t="n"/>
      <c r="M92" s="229" t="n"/>
      <c r="N92" s="227" t="n"/>
      <c r="O92" s="227" t="n"/>
      <c r="P92" s="227" t="n"/>
      <c r="Q92" s="81" t="n"/>
      <c r="R92" s="180" t="n"/>
      <c r="S92" s="180" t="n"/>
      <c r="T92" s="99">
        <f>IF(COUNTA(B92,C92,D92,E92,F92,G92,H92,I92,J92,K92,L92,M92,R92,S92)&gt;0,TEXTJOIN("；",TRUE,IF(B92="","缺少设备名称",""),IF(AND(ISTEXT(B92),OR(B92&lt;&gt;TRIM(B92),ISNUMBER(SEARCH("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",E92)))),"安装位置含首尾空格或全角空格",""),IF(F92="","缺少设备类别",""),IF(F92="","",IF(COUNTIF(EV_MOTOR_CATEGORY,F92)=0,"设备类别不在标准枚举中","")),IF(AND(ISTEXT(F92),OR(F92&lt;&gt;TRIM(F92),ISNUMBER(SEARCH("　",F92)))),"设备类别含首尾空格或全角空格",""),IF(G92="","缺少额定电压",""),IF(G92="","",IF(COUNTIF(EV_MOTOR_VOLTAGE,G92)=0,"额定电压不在标准枚举中","")),IF(AND(ISTEXT(G92),OR(G92&lt;&gt;TRIM(G92),ISNUMBER(SEARCH("　",G92)))),"额定电压含首尾空格或全角空格",""),IF(H92="","缺少额定频率",""),IF(AND(ISTEXT(H92),OR(H92&lt;&gt;TRIM(H92),ISNUMBER(SEARCH("　",H92)))),"额定频率含首尾空格或全角空格",""),IF(I92="","",IF(COUNTIF(EV_COOLING_MOTOR_HV,I92)=0,"冷却方式不在标准枚举中","")),IF(AND(ISTEXT(I92),OR(I92&lt;&gt;TRIM(I92),ISNUMBER(SEARCH("　",I92)))),"冷却方式含首尾空格或全角空格",""),IF(J92="","缺少额定功率",""),IF(J92="","",IF(NOT(ISNUMBER(J92)),"额定功率应为数值",IF(J92&lt;=0,"额定功率应大于0",""))),IF(K92="","缺少极数",""),IF(K92="","",IF(COUNTIF(EV_POLES_PMSM,K92)=0,"极数不在标准枚举中","")),IF(L92="","缺少额定转速",""),IF(L92="","",IF(NOT(ISNUMBER(L92)),"额定转速应为数值",IF(L92&lt;=0,"额定转速应大于0",""))),IF(M92="","缺少效率",""),IF(M92="","",IF(NOT(ISNUMBER(M92)),"效率应为数值",IF(OR(M92&lt;1,M92&gt;100),"效率应为1～100的百分数本值",""))),IF(R92="","缺少铭牌照片",""),IF(AND(ISTEXT(S92),OR(S92&lt;&gt;TRIM(S92),ISNUMBER(SEARCH("　",S92)))),"填表备注含首尾空格或全角空格",""),IF(AND(OR(F92="高压三相笼型异步电动机",F92="异步起动三相永磁同步电动机",F92="变频调速永磁同步电动机"),OR(G92="3（3.3）",G92="6",G92="10"),I92=""),"高压电动机缺少冷却方式",""),IF(AND(F92="电梯用永磁同步电动机",L92=""),"电梯用永磁同步电动机缺少额定转速","")),"")</f>
        <v/>
      </c>
    </row>
    <row r="93" ht="42" customHeight="1" s="184">
      <c r="A93" s="224">
        <f>IF(COUNTA(B93,C93,D93,E93,F93,G93,H93,I93,J93,K93,L93,M93,R93,S93)&gt;0,ROW()-3,"")</f>
        <v/>
      </c>
      <c r="B93" s="176" t="n"/>
      <c r="C93" s="176" t="n"/>
      <c r="D93" s="228" t="n"/>
      <c r="E93" s="176" t="n"/>
      <c r="F93" s="218" t="n"/>
      <c r="G93" s="218" t="n"/>
      <c r="H93" s="176" t="n"/>
      <c r="I93" s="218" t="n"/>
      <c r="J93" s="229" t="n"/>
      <c r="K93" s="181" t="n"/>
      <c r="L93" s="229" t="n"/>
      <c r="M93" s="229" t="n"/>
      <c r="N93" s="227" t="n"/>
      <c r="O93" s="227" t="n"/>
      <c r="P93" s="227" t="n"/>
      <c r="Q93" s="81" t="n"/>
      <c r="R93" s="180" t="n"/>
      <c r="S93" s="180" t="n"/>
      <c r="T93" s="99">
        <f>IF(COUNTA(B93,C93,D93,E93,F93,G93,H93,I93,J93,K93,L93,M93,R93,S93)&gt;0,TEXTJOIN("；",TRUE,IF(B93="","缺少设备名称",""),IF(AND(ISTEXT(B93),OR(B93&lt;&gt;TRIM(B93),ISNUMBER(SEARCH("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",E93)))),"安装位置含首尾空格或全角空格",""),IF(F93="","缺少设备类别",""),IF(F93="","",IF(COUNTIF(EV_MOTOR_CATEGORY,F93)=0,"设备类别不在标准枚举中","")),IF(AND(ISTEXT(F93),OR(F93&lt;&gt;TRIM(F93),ISNUMBER(SEARCH("　",F93)))),"设备类别含首尾空格或全角空格",""),IF(G93="","缺少额定电压",""),IF(G93="","",IF(COUNTIF(EV_MOTOR_VOLTAGE,G93)=0,"额定电压不在标准枚举中","")),IF(AND(ISTEXT(G93),OR(G93&lt;&gt;TRIM(G93),ISNUMBER(SEARCH("　",G93)))),"额定电压含首尾空格或全角空格",""),IF(H93="","缺少额定频率",""),IF(AND(ISTEXT(H93),OR(H93&lt;&gt;TRIM(H93),ISNUMBER(SEARCH("　",H93)))),"额定频率含首尾空格或全角空格",""),IF(I93="","",IF(COUNTIF(EV_COOLING_MOTOR_HV,I93)=0,"冷却方式不在标准枚举中","")),IF(AND(ISTEXT(I93),OR(I93&lt;&gt;TRIM(I93),ISNUMBER(SEARCH("　",I93)))),"冷却方式含首尾空格或全角空格",""),IF(J93="","缺少额定功率",""),IF(J93="","",IF(NOT(ISNUMBER(J93)),"额定功率应为数值",IF(J93&lt;=0,"额定功率应大于0",""))),IF(K93="","缺少极数",""),IF(K93="","",IF(COUNTIF(EV_POLES_PMSM,K93)=0,"极数不在标准枚举中","")),IF(L93="","缺少额定转速",""),IF(L93="","",IF(NOT(ISNUMBER(L93)),"额定转速应为数值",IF(L93&lt;=0,"额定转速应大于0",""))),IF(M93="","缺少效率",""),IF(M93="","",IF(NOT(ISNUMBER(M93)),"效率应为数值",IF(OR(M93&lt;1,M93&gt;100),"效率应为1～100的百分数本值",""))),IF(R93="","缺少铭牌照片",""),IF(AND(ISTEXT(S93),OR(S93&lt;&gt;TRIM(S93),ISNUMBER(SEARCH("　",S93)))),"填表备注含首尾空格或全角空格",""),IF(AND(OR(F93="高压三相笼型异步电动机",F93="异步起动三相永磁同步电动机",F93="变频调速永磁同步电动机"),OR(G93="3（3.3）",G93="6",G93="10"),I93=""),"高压电动机缺少冷却方式",""),IF(AND(F93="电梯用永磁同步电动机",L93=""),"电梯用永磁同步电动机缺少额定转速","")),"")</f>
        <v/>
      </c>
    </row>
    <row r="94" ht="42" customHeight="1" s="184">
      <c r="A94" s="224">
        <f>IF(COUNTA(B94,C94,D94,E94,F94,G94,H94,I94,J94,K94,L94,M94,R94,S94)&gt;0,ROW()-3,"")</f>
        <v/>
      </c>
      <c r="B94" s="176" t="n"/>
      <c r="C94" s="176" t="n"/>
      <c r="D94" s="228" t="n"/>
      <c r="E94" s="176" t="n"/>
      <c r="F94" s="218" t="n"/>
      <c r="G94" s="218" t="n"/>
      <c r="H94" s="176" t="n"/>
      <c r="I94" s="218" t="n"/>
      <c r="J94" s="229" t="n"/>
      <c r="K94" s="181" t="n"/>
      <c r="L94" s="229" t="n"/>
      <c r="M94" s="229" t="n"/>
      <c r="N94" s="227" t="n"/>
      <c r="O94" s="227" t="n"/>
      <c r="P94" s="227" t="n"/>
      <c r="Q94" s="81" t="n"/>
      <c r="R94" s="180" t="n"/>
      <c r="S94" s="180" t="n"/>
      <c r="T94" s="99">
        <f>IF(COUNTA(B94,C94,D94,E94,F94,G94,H94,I94,J94,K94,L94,M94,R94,S94)&gt;0,TEXTJOIN("；",TRUE,IF(B94="","缺少设备名称",""),IF(AND(ISTEXT(B94),OR(B94&lt;&gt;TRIM(B94),ISNUMBER(SEARCH("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",E94)))),"安装位置含首尾空格或全角空格",""),IF(F94="","缺少设备类别",""),IF(F94="","",IF(COUNTIF(EV_MOTOR_CATEGORY,F94)=0,"设备类别不在标准枚举中","")),IF(AND(ISTEXT(F94),OR(F94&lt;&gt;TRIM(F94),ISNUMBER(SEARCH("　",F94)))),"设备类别含首尾空格或全角空格",""),IF(G94="","缺少额定电压",""),IF(G94="","",IF(COUNTIF(EV_MOTOR_VOLTAGE,G94)=0,"额定电压不在标准枚举中","")),IF(AND(ISTEXT(G94),OR(G94&lt;&gt;TRIM(G94),ISNUMBER(SEARCH("　",G94)))),"额定电压含首尾空格或全角空格",""),IF(H94="","缺少额定频率",""),IF(AND(ISTEXT(H94),OR(H94&lt;&gt;TRIM(H94),ISNUMBER(SEARCH("　",H94)))),"额定频率含首尾空格或全角空格",""),IF(I94="","",IF(COUNTIF(EV_COOLING_MOTOR_HV,I94)=0,"冷却方式不在标准枚举中","")),IF(AND(ISTEXT(I94),OR(I94&lt;&gt;TRIM(I94),ISNUMBER(SEARCH("　",I94)))),"冷却方式含首尾空格或全角空格",""),IF(J94="","缺少额定功率",""),IF(J94="","",IF(NOT(ISNUMBER(J94)),"额定功率应为数值",IF(J94&lt;=0,"额定功率应大于0",""))),IF(K94="","缺少极数",""),IF(K94="","",IF(COUNTIF(EV_POLES_PMSM,K94)=0,"极数不在标准枚举中","")),IF(L94="","缺少额定转速",""),IF(L94="","",IF(NOT(ISNUMBER(L94)),"额定转速应为数值",IF(L94&lt;=0,"额定转速应大于0",""))),IF(M94="","缺少效率",""),IF(M94="","",IF(NOT(ISNUMBER(M94)),"效率应为数值",IF(OR(M94&lt;1,M94&gt;100),"效率应为1～100的百分数本值",""))),IF(R94="","缺少铭牌照片",""),IF(AND(ISTEXT(S94),OR(S94&lt;&gt;TRIM(S94),ISNUMBER(SEARCH("　",S94)))),"填表备注含首尾空格或全角空格",""),IF(AND(OR(F94="高压三相笼型异步电动机",F94="异步起动三相永磁同步电动机",F94="变频调速永磁同步电动机"),OR(G94="3（3.3）",G94="6",G94="10"),I94=""),"高压电动机缺少冷却方式",""),IF(AND(F94="电梯用永磁同步电动机",L94=""),"电梯用永磁同步电动机缺少额定转速","")),"")</f>
        <v/>
      </c>
    </row>
    <row r="95" ht="42" customHeight="1" s="184">
      <c r="A95" s="224">
        <f>IF(COUNTA(B95,C95,D95,E95,F95,G95,H95,I95,J95,K95,L95,M95,R95,S95)&gt;0,ROW()-3,"")</f>
        <v/>
      </c>
      <c r="B95" s="176" t="n"/>
      <c r="C95" s="176" t="n"/>
      <c r="D95" s="228" t="n"/>
      <c r="E95" s="176" t="n"/>
      <c r="F95" s="218" t="n"/>
      <c r="G95" s="218" t="n"/>
      <c r="H95" s="176" t="n"/>
      <c r="I95" s="218" t="n"/>
      <c r="J95" s="229" t="n"/>
      <c r="K95" s="181" t="n"/>
      <c r="L95" s="229" t="n"/>
      <c r="M95" s="229" t="n"/>
      <c r="N95" s="227" t="n"/>
      <c r="O95" s="227" t="n"/>
      <c r="P95" s="227" t="n"/>
      <c r="Q95" s="81" t="n"/>
      <c r="R95" s="180" t="n"/>
      <c r="S95" s="180" t="n"/>
      <c r="T95" s="99">
        <f>IF(COUNTA(B95,C95,D95,E95,F95,G95,H95,I95,J95,K95,L95,M95,R95,S95)&gt;0,TEXTJOIN("；",TRUE,IF(B95="","缺少设备名称",""),IF(AND(ISTEXT(B95),OR(B95&lt;&gt;TRIM(B95),ISNUMBER(SEARCH("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",E95)))),"安装位置含首尾空格或全角空格",""),IF(F95="","缺少设备类别",""),IF(F95="","",IF(COUNTIF(EV_MOTOR_CATEGORY,F95)=0,"设备类别不在标准枚举中","")),IF(AND(ISTEXT(F95),OR(F95&lt;&gt;TRIM(F95),ISNUMBER(SEARCH("　",F95)))),"设备类别含首尾空格或全角空格",""),IF(G95="","缺少额定电压",""),IF(G95="","",IF(COUNTIF(EV_MOTOR_VOLTAGE,G95)=0,"额定电压不在标准枚举中","")),IF(AND(ISTEXT(G95),OR(G95&lt;&gt;TRIM(G95),ISNUMBER(SEARCH("　",G95)))),"额定电压含首尾空格或全角空格",""),IF(H95="","缺少额定频率",""),IF(AND(ISTEXT(H95),OR(H95&lt;&gt;TRIM(H95),ISNUMBER(SEARCH("　",H95)))),"额定频率含首尾空格或全角空格",""),IF(I95="","",IF(COUNTIF(EV_COOLING_MOTOR_HV,I95)=0,"冷却方式不在标准枚举中","")),IF(AND(ISTEXT(I95),OR(I95&lt;&gt;TRIM(I95),ISNUMBER(SEARCH("　",I95)))),"冷却方式含首尾空格或全角空格",""),IF(J95="","缺少额定功率",""),IF(J95="","",IF(NOT(ISNUMBER(J95)),"额定功率应为数值",IF(J95&lt;=0,"额定功率应大于0",""))),IF(K95="","缺少极数",""),IF(K95="","",IF(COUNTIF(EV_POLES_PMSM,K95)=0,"极数不在标准枚举中","")),IF(L95="","缺少额定转速",""),IF(L95="","",IF(NOT(ISNUMBER(L95)),"额定转速应为数值",IF(L95&lt;=0,"额定转速应大于0",""))),IF(M95="","缺少效率",""),IF(M95="","",IF(NOT(ISNUMBER(M95)),"效率应为数值",IF(OR(M95&lt;1,M95&gt;100),"效率应为1～100的百分数本值",""))),IF(R95="","缺少铭牌照片",""),IF(AND(ISTEXT(S95),OR(S95&lt;&gt;TRIM(S95),ISNUMBER(SEARCH("　",S95)))),"填表备注含首尾空格或全角空格",""),IF(AND(OR(F95="高压三相笼型异步电动机",F95="异步起动三相永磁同步电动机",F95="变频调速永磁同步电动机"),OR(G95="3（3.3）",G95="6",G95="10"),I95=""),"高压电动机缺少冷却方式",""),IF(AND(F95="电梯用永磁同步电动机",L95=""),"电梯用永磁同步电动机缺少额定转速","")),"")</f>
        <v/>
      </c>
    </row>
    <row r="96" ht="42" customHeight="1" s="184">
      <c r="A96" s="224">
        <f>IF(COUNTA(B96,C96,D96,E96,F96,G96,H96,I96,J96,K96,L96,M96,R96,S96)&gt;0,ROW()-3,"")</f>
        <v/>
      </c>
      <c r="B96" s="176" t="n"/>
      <c r="C96" s="176" t="n"/>
      <c r="D96" s="228" t="n"/>
      <c r="E96" s="176" t="n"/>
      <c r="F96" s="218" t="n"/>
      <c r="G96" s="218" t="n"/>
      <c r="H96" s="176" t="n"/>
      <c r="I96" s="218" t="n"/>
      <c r="J96" s="229" t="n"/>
      <c r="K96" s="181" t="n"/>
      <c r="L96" s="229" t="n"/>
      <c r="M96" s="229" t="n"/>
      <c r="N96" s="227" t="n"/>
      <c r="O96" s="227" t="n"/>
      <c r="P96" s="227" t="n"/>
      <c r="Q96" s="81" t="n"/>
      <c r="R96" s="180" t="n"/>
      <c r="S96" s="180" t="n"/>
      <c r="T96" s="99">
        <f>IF(COUNTA(B96,C96,D96,E96,F96,G96,H96,I96,J96,K96,L96,M96,R96,S96)&gt;0,TEXTJOIN("；",TRUE,IF(B96="","缺少设备名称",""),IF(AND(ISTEXT(B96),OR(B96&lt;&gt;TRIM(B96),ISNUMBER(SEARCH("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",E96)))),"安装位置含首尾空格或全角空格",""),IF(F96="","缺少设备类别",""),IF(F96="","",IF(COUNTIF(EV_MOTOR_CATEGORY,F96)=0,"设备类别不在标准枚举中","")),IF(AND(ISTEXT(F96),OR(F96&lt;&gt;TRIM(F96),ISNUMBER(SEARCH("　",F96)))),"设备类别含首尾空格或全角空格",""),IF(G96="","缺少额定电压",""),IF(G96="","",IF(COUNTIF(EV_MOTOR_VOLTAGE,G96)=0,"额定电压不在标准枚举中","")),IF(AND(ISTEXT(G96),OR(G96&lt;&gt;TRIM(G96),ISNUMBER(SEARCH("　",G96)))),"额定电压含首尾空格或全角空格",""),IF(H96="","缺少额定频率",""),IF(AND(ISTEXT(H96),OR(H96&lt;&gt;TRIM(H96),ISNUMBER(SEARCH("　",H96)))),"额定频率含首尾空格或全角空格",""),IF(I96="","",IF(COUNTIF(EV_COOLING_MOTOR_HV,I96)=0,"冷却方式不在标准枚举中","")),IF(AND(ISTEXT(I96),OR(I96&lt;&gt;TRIM(I96),ISNUMBER(SEARCH("　",I96)))),"冷却方式含首尾空格或全角空格",""),IF(J96="","缺少额定功率",""),IF(J96="","",IF(NOT(ISNUMBER(J96)),"额定功率应为数值",IF(J96&lt;=0,"额定功率应大于0",""))),IF(K96="","缺少极数",""),IF(K96="","",IF(COUNTIF(EV_POLES_PMSM,K96)=0,"极数不在标准枚举中","")),IF(L96="","缺少额定转速",""),IF(L96="","",IF(NOT(ISNUMBER(L96)),"额定转速应为数值",IF(L96&lt;=0,"额定转速应大于0",""))),IF(M96="","缺少效率",""),IF(M96="","",IF(NOT(ISNUMBER(M96)),"效率应为数值",IF(OR(M96&lt;1,M96&gt;100),"效率应为1～100的百分数本值",""))),IF(R96="","缺少铭牌照片",""),IF(AND(ISTEXT(S96),OR(S96&lt;&gt;TRIM(S96),ISNUMBER(SEARCH("　",S96)))),"填表备注含首尾空格或全角空格",""),IF(AND(OR(F96="高压三相笼型异步电动机",F96="异步起动三相永磁同步电动机",F96="变频调速永磁同步电动机"),OR(G96="3（3.3）",G96="6",G96="10"),I96=""),"高压电动机缺少冷却方式",""),IF(AND(F96="电梯用永磁同步电动机",L96=""),"电梯用永磁同步电动机缺少额定转速","")),"")</f>
        <v/>
      </c>
    </row>
    <row r="97" ht="42" customHeight="1" s="184">
      <c r="A97" s="224">
        <f>IF(COUNTA(B97,C97,D97,E97,F97,G97,H97,I97,J97,K97,L97,M97,R97,S97)&gt;0,ROW()-3,"")</f>
        <v/>
      </c>
      <c r="B97" s="176" t="n"/>
      <c r="C97" s="176" t="n"/>
      <c r="D97" s="228" t="n"/>
      <c r="E97" s="176" t="n"/>
      <c r="F97" s="218" t="n"/>
      <c r="G97" s="218" t="n"/>
      <c r="H97" s="176" t="n"/>
      <c r="I97" s="218" t="n"/>
      <c r="J97" s="229" t="n"/>
      <c r="K97" s="181" t="n"/>
      <c r="L97" s="229" t="n"/>
      <c r="M97" s="229" t="n"/>
      <c r="N97" s="227" t="n"/>
      <c r="O97" s="227" t="n"/>
      <c r="P97" s="227" t="n"/>
      <c r="Q97" s="81" t="n"/>
      <c r="R97" s="180" t="n"/>
      <c r="S97" s="180" t="n"/>
      <c r="T97" s="99">
        <f>IF(COUNTA(B97,C97,D97,E97,F97,G97,H97,I97,J97,K97,L97,M97,R97,S97)&gt;0,TEXTJOIN("；",TRUE,IF(B97="","缺少设备名称",""),IF(AND(ISTEXT(B97),OR(B97&lt;&gt;TRIM(B97),ISNUMBER(SEARCH("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",E97)))),"安装位置含首尾空格或全角空格",""),IF(F97="","缺少设备类别",""),IF(F97="","",IF(COUNTIF(EV_MOTOR_CATEGORY,F97)=0,"设备类别不在标准枚举中","")),IF(AND(ISTEXT(F97),OR(F97&lt;&gt;TRIM(F97),ISNUMBER(SEARCH("　",F97)))),"设备类别含首尾空格或全角空格",""),IF(G97="","缺少额定电压",""),IF(G97="","",IF(COUNTIF(EV_MOTOR_VOLTAGE,G97)=0,"额定电压不在标准枚举中","")),IF(AND(ISTEXT(G97),OR(G97&lt;&gt;TRIM(G97),ISNUMBER(SEARCH("　",G97)))),"额定电压含首尾空格或全角空格",""),IF(H97="","缺少额定频率",""),IF(AND(ISTEXT(H97),OR(H97&lt;&gt;TRIM(H97),ISNUMBER(SEARCH("　",H97)))),"额定频率含首尾空格或全角空格",""),IF(I97="","",IF(COUNTIF(EV_COOLING_MOTOR_HV,I97)=0,"冷却方式不在标准枚举中","")),IF(AND(ISTEXT(I97),OR(I97&lt;&gt;TRIM(I97),ISNUMBER(SEARCH("　",I97)))),"冷却方式含首尾空格或全角空格",""),IF(J97="","缺少额定功率",""),IF(J97="","",IF(NOT(ISNUMBER(J97)),"额定功率应为数值",IF(J97&lt;=0,"额定功率应大于0",""))),IF(K97="","缺少极数",""),IF(K97="","",IF(COUNTIF(EV_POLES_PMSM,K97)=0,"极数不在标准枚举中","")),IF(L97="","缺少额定转速",""),IF(L97="","",IF(NOT(ISNUMBER(L97)),"额定转速应为数值",IF(L97&lt;=0,"额定转速应大于0",""))),IF(M97="","缺少效率",""),IF(M97="","",IF(NOT(ISNUMBER(M97)),"效率应为数值",IF(OR(M97&lt;1,M97&gt;100),"效率应为1～100的百分数本值",""))),IF(R97="","缺少铭牌照片",""),IF(AND(ISTEXT(S97),OR(S97&lt;&gt;TRIM(S97),ISNUMBER(SEARCH("　",S97)))),"填表备注含首尾空格或全角空格",""),IF(AND(OR(F97="高压三相笼型异步电动机",F97="异步起动三相永磁同步电动机",F97="变频调速永磁同步电动机"),OR(G97="3（3.3）",G97="6",G97="10"),I97=""),"高压电动机缺少冷却方式",""),IF(AND(F97="电梯用永磁同步电动机",L97=""),"电梯用永磁同步电动机缺少额定转速","")),"")</f>
        <v/>
      </c>
    </row>
    <row r="98" ht="42" customHeight="1" s="184">
      <c r="A98" s="224">
        <f>IF(COUNTA(B98,C98,D98,E98,F98,G98,H98,I98,J98,K98,L98,M98,R98,S98)&gt;0,ROW()-3,"")</f>
        <v/>
      </c>
      <c r="B98" s="176" t="n"/>
      <c r="C98" s="176" t="n"/>
      <c r="D98" s="228" t="n"/>
      <c r="E98" s="176" t="n"/>
      <c r="F98" s="218" t="n"/>
      <c r="G98" s="218" t="n"/>
      <c r="H98" s="176" t="n"/>
      <c r="I98" s="218" t="n"/>
      <c r="J98" s="229" t="n"/>
      <c r="K98" s="181" t="n"/>
      <c r="L98" s="229" t="n"/>
      <c r="M98" s="229" t="n"/>
      <c r="N98" s="227" t="n"/>
      <c r="O98" s="227" t="n"/>
      <c r="P98" s="227" t="n"/>
      <c r="Q98" s="81" t="n"/>
      <c r="R98" s="180" t="n"/>
      <c r="S98" s="180" t="n"/>
      <c r="T98" s="99">
        <f>IF(COUNTA(B98,C98,D98,E98,F98,G98,H98,I98,J98,K98,L98,M98,R98,S98)&gt;0,TEXTJOIN("；",TRUE,IF(B98="","缺少设备名称",""),IF(AND(ISTEXT(B98),OR(B98&lt;&gt;TRIM(B98),ISNUMBER(SEARCH("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",E98)))),"安装位置含首尾空格或全角空格",""),IF(F98="","缺少设备类别",""),IF(F98="","",IF(COUNTIF(EV_MOTOR_CATEGORY,F98)=0,"设备类别不在标准枚举中","")),IF(AND(ISTEXT(F98),OR(F98&lt;&gt;TRIM(F98),ISNUMBER(SEARCH("　",F98)))),"设备类别含首尾空格或全角空格",""),IF(G98="","缺少额定电压",""),IF(G98="","",IF(COUNTIF(EV_MOTOR_VOLTAGE,G98)=0,"额定电压不在标准枚举中","")),IF(AND(ISTEXT(G98),OR(G98&lt;&gt;TRIM(G98),ISNUMBER(SEARCH("　",G98)))),"额定电压含首尾空格或全角空格",""),IF(H98="","缺少额定频率",""),IF(AND(ISTEXT(H98),OR(H98&lt;&gt;TRIM(H98),ISNUMBER(SEARCH("　",H98)))),"额定频率含首尾空格或全角空格",""),IF(I98="","",IF(COUNTIF(EV_COOLING_MOTOR_HV,I98)=0,"冷却方式不在标准枚举中","")),IF(AND(ISTEXT(I98),OR(I98&lt;&gt;TRIM(I98),ISNUMBER(SEARCH("　",I98)))),"冷却方式含首尾空格或全角空格",""),IF(J98="","缺少额定功率",""),IF(J98="","",IF(NOT(ISNUMBER(J98)),"额定功率应为数值",IF(J98&lt;=0,"额定功率应大于0",""))),IF(K98="","缺少极数",""),IF(K98="","",IF(COUNTIF(EV_POLES_PMSM,K98)=0,"极数不在标准枚举中","")),IF(L98="","缺少额定转速",""),IF(L98="","",IF(NOT(ISNUMBER(L98)),"额定转速应为数值",IF(L98&lt;=0,"额定转速应大于0",""))),IF(M98="","缺少效率",""),IF(M98="","",IF(NOT(ISNUMBER(M98)),"效率应为数值",IF(OR(M98&lt;1,M98&gt;100),"效率应为1～100的百分数本值",""))),IF(R98="","缺少铭牌照片",""),IF(AND(ISTEXT(S98),OR(S98&lt;&gt;TRIM(S98),ISNUMBER(SEARCH("　",S98)))),"填表备注含首尾空格或全角空格",""),IF(AND(OR(F98="高压三相笼型异步电动机",F98="异步起动三相永磁同步电动机",F98="变频调速永磁同步电动机"),OR(G98="3（3.3）",G98="6",G98="10"),I98=""),"高压电动机缺少冷却方式",""),IF(AND(F98="电梯用永磁同步电动机",L98=""),"电梯用永磁同步电动机缺少额定转速","")),"")</f>
        <v/>
      </c>
    </row>
    <row r="99" ht="42" customHeight="1" s="184">
      <c r="A99" s="224">
        <f>IF(COUNTA(B99,C99,D99,E99,F99,G99,H99,I99,J99,K99,L99,M99,R99,S99)&gt;0,ROW()-3,"")</f>
        <v/>
      </c>
      <c r="B99" s="176" t="n"/>
      <c r="C99" s="176" t="n"/>
      <c r="D99" s="228" t="n"/>
      <c r="E99" s="176" t="n"/>
      <c r="F99" s="218" t="n"/>
      <c r="G99" s="218" t="n"/>
      <c r="H99" s="176" t="n"/>
      <c r="I99" s="218" t="n"/>
      <c r="J99" s="229" t="n"/>
      <c r="K99" s="181" t="n"/>
      <c r="L99" s="229" t="n"/>
      <c r="M99" s="229" t="n"/>
      <c r="N99" s="227" t="n"/>
      <c r="O99" s="227" t="n"/>
      <c r="P99" s="227" t="n"/>
      <c r="Q99" s="81" t="n"/>
      <c r="R99" s="180" t="n"/>
      <c r="S99" s="180" t="n"/>
      <c r="T99" s="99">
        <f>IF(COUNTA(B99,C99,D99,E99,F99,G99,H99,I99,J99,K99,L99,M99,R99,S99)&gt;0,TEXTJOIN("；",TRUE,IF(B99="","缺少设备名称",""),IF(AND(ISTEXT(B99),OR(B99&lt;&gt;TRIM(B99),ISNUMBER(SEARCH("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",E99)))),"安装位置含首尾空格或全角空格",""),IF(F99="","缺少设备类别",""),IF(F99="","",IF(COUNTIF(EV_MOTOR_CATEGORY,F99)=0,"设备类别不在标准枚举中","")),IF(AND(ISTEXT(F99),OR(F99&lt;&gt;TRIM(F99),ISNUMBER(SEARCH("　",F99)))),"设备类别含首尾空格或全角空格",""),IF(G99="","缺少额定电压",""),IF(G99="","",IF(COUNTIF(EV_MOTOR_VOLTAGE,G99)=0,"额定电压不在标准枚举中","")),IF(AND(ISTEXT(G99),OR(G99&lt;&gt;TRIM(G99),ISNUMBER(SEARCH("　",G99)))),"额定电压含首尾空格或全角空格",""),IF(H99="","缺少额定频率",""),IF(AND(ISTEXT(H99),OR(H99&lt;&gt;TRIM(H99),ISNUMBER(SEARCH("　",H99)))),"额定频率含首尾空格或全角空格",""),IF(I99="","",IF(COUNTIF(EV_COOLING_MOTOR_HV,I99)=0,"冷却方式不在标准枚举中","")),IF(AND(ISTEXT(I99),OR(I99&lt;&gt;TRIM(I99),ISNUMBER(SEARCH("　",I99)))),"冷却方式含首尾空格或全角空格",""),IF(J99="","缺少额定功率",""),IF(J99="","",IF(NOT(ISNUMBER(J99)),"额定功率应为数值",IF(J99&lt;=0,"额定功率应大于0",""))),IF(K99="","缺少极数",""),IF(K99="","",IF(COUNTIF(EV_POLES_PMSM,K99)=0,"极数不在标准枚举中","")),IF(L99="","缺少额定转速",""),IF(L99="","",IF(NOT(ISNUMBER(L99)),"额定转速应为数值",IF(L99&lt;=0,"额定转速应大于0",""))),IF(M99="","缺少效率",""),IF(M99="","",IF(NOT(ISNUMBER(M99)),"效率应为数值",IF(OR(M99&lt;1,M99&gt;100),"效率应为1～100的百分数本值",""))),IF(R99="","缺少铭牌照片",""),IF(AND(ISTEXT(S99),OR(S99&lt;&gt;TRIM(S99),ISNUMBER(SEARCH("　",S99)))),"填表备注含首尾空格或全角空格",""),IF(AND(OR(F99="高压三相笼型异步电动机",F99="异步起动三相永磁同步电动机",F99="变频调速永磁同步电动机"),OR(G99="3（3.3）",G99="6",G99="10"),I99=""),"高压电动机缺少冷却方式",""),IF(AND(F99="电梯用永磁同步电动机",L99=""),"电梯用永磁同步电动机缺少额定转速","")),"")</f>
        <v/>
      </c>
    </row>
    <row r="100" ht="42" customHeight="1" s="184">
      <c r="A100" s="224">
        <f>IF(COUNTA(B100,C100,D100,E100,F100,G100,H100,I100,J100,K100,L100,M100,R100,S100)&gt;0,ROW()-3,"")</f>
        <v/>
      </c>
      <c r="B100" s="176" t="n"/>
      <c r="C100" s="176" t="n"/>
      <c r="D100" s="228" t="n"/>
      <c r="E100" s="176" t="n"/>
      <c r="F100" s="218" t="n"/>
      <c r="G100" s="218" t="n"/>
      <c r="H100" s="176" t="n"/>
      <c r="I100" s="218" t="n"/>
      <c r="J100" s="229" t="n"/>
      <c r="K100" s="181" t="n"/>
      <c r="L100" s="229" t="n"/>
      <c r="M100" s="229" t="n"/>
      <c r="N100" s="227" t="n"/>
      <c r="O100" s="227" t="n"/>
      <c r="P100" s="227" t="n"/>
      <c r="Q100" s="81" t="n"/>
      <c r="R100" s="180" t="n"/>
      <c r="S100" s="180" t="n"/>
      <c r="T100" s="99">
        <f>IF(COUNTA(B100,C100,D100,E100,F100,G100,H100,I100,J100,K100,L100,M100,R100,S100)&gt;0,TEXTJOIN("；",TRUE,IF(B100="","缺少设备名称",""),IF(AND(ISTEXT(B100),OR(B100&lt;&gt;TRIM(B100),ISNUMBER(SEARCH("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",E100)))),"安装位置含首尾空格或全角空格",""),IF(F100="","缺少设备类别",""),IF(F100="","",IF(COUNTIF(EV_MOTOR_CATEGORY,F100)=0,"设备类别不在标准枚举中","")),IF(AND(ISTEXT(F100),OR(F100&lt;&gt;TRIM(F100),ISNUMBER(SEARCH("　",F100)))),"设备类别含首尾空格或全角空格",""),IF(G100="","缺少额定电压",""),IF(G100="","",IF(COUNTIF(EV_MOTOR_VOLTAGE,G100)=0,"额定电压不在标准枚举中","")),IF(AND(ISTEXT(G100),OR(G100&lt;&gt;TRIM(G100),ISNUMBER(SEARCH("　",G100)))),"额定电压含首尾空格或全角空格",""),IF(H100="","缺少额定频率",""),IF(AND(ISTEXT(H100),OR(H100&lt;&gt;TRIM(H100),ISNUMBER(SEARCH("　",H100)))),"额定频率含首尾空格或全角空格",""),IF(I100="","",IF(COUNTIF(EV_COOLING_MOTOR_HV,I100)=0,"冷却方式不在标准枚举中","")),IF(AND(ISTEXT(I100),OR(I100&lt;&gt;TRIM(I100),ISNUMBER(SEARCH("　",I100)))),"冷却方式含首尾空格或全角空格",""),IF(J100="","缺少额定功率",""),IF(J100="","",IF(NOT(ISNUMBER(J100)),"额定功率应为数值",IF(J100&lt;=0,"额定功率应大于0",""))),IF(K100="","缺少极数",""),IF(K100="","",IF(COUNTIF(EV_POLES_PMSM,K100)=0,"极数不在标准枚举中","")),IF(L100="","缺少额定转速",""),IF(L100="","",IF(NOT(ISNUMBER(L100)),"额定转速应为数值",IF(L100&lt;=0,"额定转速应大于0",""))),IF(M100="","缺少效率",""),IF(M100="","",IF(NOT(ISNUMBER(M100)),"效率应为数值",IF(OR(M100&lt;1,M100&gt;100),"效率应为1～100的百分数本值",""))),IF(R100="","缺少铭牌照片",""),IF(AND(ISTEXT(S100),OR(S100&lt;&gt;TRIM(S100),ISNUMBER(SEARCH("　",S100)))),"填表备注含首尾空格或全角空格",""),IF(AND(OR(F100="高压三相笼型异步电动机",F100="异步起动三相永磁同步电动机",F100="变频调速永磁同步电动机"),OR(G100="3（3.3）",G100="6",G100="10"),I100=""),"高压电动机缺少冷却方式",""),IF(AND(F100="电梯用永磁同步电动机",L100=""),"电梯用永磁同步电动机缺少额定转速","")),"")</f>
        <v/>
      </c>
    </row>
    <row r="101" ht="42" customHeight="1" s="184">
      <c r="A101" s="224">
        <f>IF(COUNTA(B101,C101,D101,E101,F101,G101,H101,I101,J101,K101,L101,M101,R101,S101)&gt;0,ROW()-3,"")</f>
        <v/>
      </c>
      <c r="B101" s="176" t="n"/>
      <c r="C101" s="176" t="n"/>
      <c r="D101" s="228" t="n"/>
      <c r="E101" s="176" t="n"/>
      <c r="F101" s="218" t="n"/>
      <c r="G101" s="218" t="n"/>
      <c r="H101" s="176" t="n"/>
      <c r="I101" s="218" t="n"/>
      <c r="J101" s="229" t="n"/>
      <c r="K101" s="181" t="n"/>
      <c r="L101" s="229" t="n"/>
      <c r="M101" s="229" t="n"/>
      <c r="N101" s="227" t="n"/>
      <c r="O101" s="227" t="n"/>
      <c r="P101" s="227" t="n"/>
      <c r="Q101" s="81" t="n"/>
      <c r="R101" s="180" t="n"/>
      <c r="S101" s="180" t="n"/>
      <c r="T101" s="99">
        <f>IF(COUNTA(B101,C101,D101,E101,F101,G101,H101,I101,J101,K101,L101,M101,R101,S101)&gt;0,TEXTJOIN("；",TRUE,IF(B101="","缺少设备名称",""),IF(AND(ISTEXT(B101),OR(B101&lt;&gt;TRIM(B101),ISNUMBER(SEARCH("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",E101)))),"安装位置含首尾空格或全角空格",""),IF(F101="","缺少设备类别",""),IF(F101="","",IF(COUNTIF(EV_MOTOR_CATEGORY,F101)=0,"设备类别不在标准枚举中","")),IF(AND(ISTEXT(F101),OR(F101&lt;&gt;TRIM(F101),ISNUMBER(SEARCH("　",F101)))),"设备类别含首尾空格或全角空格",""),IF(G101="","缺少额定电压",""),IF(G101="","",IF(COUNTIF(EV_MOTOR_VOLTAGE,G101)=0,"额定电压不在标准枚举中","")),IF(AND(ISTEXT(G101),OR(G101&lt;&gt;TRIM(G101),ISNUMBER(SEARCH("　",G101)))),"额定电压含首尾空格或全角空格",""),IF(H101="","缺少额定频率",""),IF(AND(ISTEXT(H101),OR(H101&lt;&gt;TRIM(H101),ISNUMBER(SEARCH("　",H101)))),"额定频率含首尾空格或全角空格",""),IF(I101="","",IF(COUNTIF(EV_COOLING_MOTOR_HV,I101)=0,"冷却方式不在标准枚举中","")),IF(AND(ISTEXT(I101),OR(I101&lt;&gt;TRIM(I101),ISNUMBER(SEARCH("　",I101)))),"冷却方式含首尾空格或全角空格",""),IF(J101="","缺少额定功率",""),IF(J101="","",IF(NOT(ISNUMBER(J101)),"额定功率应为数值",IF(J101&lt;=0,"额定功率应大于0",""))),IF(K101="","缺少极数",""),IF(K101="","",IF(COUNTIF(EV_POLES_PMSM,K101)=0,"极数不在标准枚举中","")),IF(L101="","缺少额定转速",""),IF(L101="","",IF(NOT(ISNUMBER(L101)),"额定转速应为数值",IF(L101&lt;=0,"额定转速应大于0",""))),IF(M101="","缺少效率",""),IF(M101="","",IF(NOT(ISNUMBER(M101)),"效率应为数值",IF(OR(M101&lt;1,M101&gt;100),"效率应为1～100的百分数本值",""))),IF(R101="","缺少铭牌照片",""),IF(AND(ISTEXT(S101),OR(S101&lt;&gt;TRIM(S101),ISNUMBER(SEARCH("　",S101)))),"填表备注含首尾空格或全角空格",""),IF(AND(OR(F101="高压三相笼型异步电动机",F101="异步起动三相永磁同步电动机",F101="变频调速永磁同步电动机"),OR(G101="3（3.3）",G101="6",G101="10"),I101=""),"高压电动机缺少冷却方式",""),IF(AND(F101="电梯用永磁同步电动机",L101=""),"电梯用永磁同步电动机缺少额定转速","")),"")</f>
        <v/>
      </c>
    </row>
    <row r="102" ht="42" customHeight="1" s="184">
      <c r="A102" s="224">
        <f>IF(COUNTA(B102,C102,D102,E102,F102,G102,H102,I102,J102,K102,L102,M102,R102,S102)&gt;0,ROW()-3,"")</f>
        <v/>
      </c>
      <c r="B102" s="176" t="n"/>
      <c r="C102" s="176" t="n"/>
      <c r="D102" s="228" t="n"/>
      <c r="E102" s="176" t="n"/>
      <c r="F102" s="218" t="n"/>
      <c r="G102" s="218" t="n"/>
      <c r="H102" s="176" t="n"/>
      <c r="I102" s="218" t="n"/>
      <c r="J102" s="229" t="n"/>
      <c r="K102" s="181" t="n"/>
      <c r="L102" s="229" t="n"/>
      <c r="M102" s="229" t="n"/>
      <c r="N102" s="227" t="n"/>
      <c r="O102" s="227" t="n"/>
      <c r="P102" s="227" t="n"/>
      <c r="Q102" s="81" t="n"/>
      <c r="R102" s="180" t="n"/>
      <c r="S102" s="180" t="n"/>
      <c r="T102" s="99">
        <f>IF(COUNTA(B102,C102,D102,E102,F102,G102,H102,I102,J102,K102,L102,M102,R102,S102)&gt;0,TEXTJOIN("；",TRUE,IF(B102="","缺少设备名称",""),IF(AND(ISTEXT(B102),OR(B102&lt;&gt;TRIM(B102),ISNUMBER(SEARCH("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",E102)))),"安装位置含首尾空格或全角空格",""),IF(F102="","缺少设备类别",""),IF(F102="","",IF(COUNTIF(EV_MOTOR_CATEGORY,F102)=0,"设备类别不在标准枚举中","")),IF(AND(ISTEXT(F102),OR(F102&lt;&gt;TRIM(F102),ISNUMBER(SEARCH("　",F102)))),"设备类别含首尾空格或全角空格",""),IF(G102="","缺少额定电压",""),IF(G102="","",IF(COUNTIF(EV_MOTOR_VOLTAGE,G102)=0,"额定电压不在标准枚举中","")),IF(AND(ISTEXT(G102),OR(G102&lt;&gt;TRIM(G102),ISNUMBER(SEARCH("　",G102)))),"额定电压含首尾空格或全角空格",""),IF(H102="","缺少额定频率",""),IF(AND(ISTEXT(H102),OR(H102&lt;&gt;TRIM(H102),ISNUMBER(SEARCH("　",H102)))),"额定频率含首尾空格或全角空格",""),IF(I102="","",IF(COUNTIF(EV_COOLING_MOTOR_HV,I102)=0,"冷却方式不在标准枚举中","")),IF(AND(ISTEXT(I102),OR(I102&lt;&gt;TRIM(I102),ISNUMBER(SEARCH("　",I102)))),"冷却方式含首尾空格或全角空格",""),IF(J102="","缺少额定功率",""),IF(J102="","",IF(NOT(ISNUMBER(J102)),"额定功率应为数值",IF(J102&lt;=0,"额定功率应大于0",""))),IF(K102="","缺少极数",""),IF(K102="","",IF(COUNTIF(EV_POLES_PMSM,K102)=0,"极数不在标准枚举中","")),IF(L102="","缺少额定转速",""),IF(L102="","",IF(NOT(ISNUMBER(L102)),"额定转速应为数值",IF(L102&lt;=0,"额定转速应大于0",""))),IF(M102="","缺少效率",""),IF(M102="","",IF(NOT(ISNUMBER(M102)),"效率应为数值",IF(OR(M102&lt;1,M102&gt;100),"效率应为1～100的百分数本值",""))),IF(R102="","缺少铭牌照片",""),IF(AND(ISTEXT(S102),OR(S102&lt;&gt;TRIM(S102),ISNUMBER(SEARCH("　",S102)))),"填表备注含首尾空格或全角空格",""),IF(AND(OR(F102="高压三相笼型异步电动机",F102="异步起动三相永磁同步电动机",F102="变频调速永磁同步电动机"),OR(G102="3（3.3）",G102="6",G102="10"),I102=""),"高压电动机缺少冷却方式",""),IF(AND(F102="电梯用永磁同步电动机",L102=""),"电梯用永磁同步电动机缺少额定转速","")),"")</f>
        <v/>
      </c>
    </row>
    <row r="103" ht="42" customHeight="1" s="184">
      <c r="A103" s="224">
        <f>IF(COUNTA(B103,C103,D103,E103,F103,G103,H103,I103,J103,K103,L103,M103,R103,S103)&gt;0,ROW()-3,"")</f>
        <v/>
      </c>
      <c r="B103" s="176" t="n"/>
      <c r="C103" s="176" t="n"/>
      <c r="D103" s="228" t="n"/>
      <c r="E103" s="176" t="n"/>
      <c r="F103" s="218" t="n"/>
      <c r="G103" s="218" t="n"/>
      <c r="H103" s="176" t="n"/>
      <c r="I103" s="218" t="n"/>
      <c r="J103" s="229" t="n"/>
      <c r="K103" s="181" t="n"/>
      <c r="L103" s="229" t="n"/>
      <c r="M103" s="229" t="n"/>
      <c r="N103" s="227" t="n"/>
      <c r="O103" s="227" t="n"/>
      <c r="P103" s="227" t="n"/>
      <c r="Q103" s="81" t="n"/>
      <c r="R103" s="180" t="n"/>
      <c r="S103" s="180" t="n"/>
      <c r="T103" s="99">
        <f>IF(COUNTA(B103,C103,D103,E103,F103,G103,H103,I103,J103,K103,L103,M103,R103,S103)&gt;0,TEXTJOIN("；",TRUE,IF(B103="","缺少设备名称",""),IF(AND(ISTEXT(B103),OR(B103&lt;&gt;TRIM(B103),ISNUMBER(SEARCH("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",E103)))),"安装位置含首尾空格或全角空格",""),IF(F103="","缺少设备类别",""),IF(F103="","",IF(COUNTIF(EV_MOTOR_CATEGORY,F103)=0,"设备类别不在标准枚举中","")),IF(AND(ISTEXT(F103),OR(F103&lt;&gt;TRIM(F103),ISNUMBER(SEARCH("　",F103)))),"设备类别含首尾空格或全角空格",""),IF(G103="","缺少额定电压",""),IF(G103="","",IF(COUNTIF(EV_MOTOR_VOLTAGE,G103)=0,"额定电压不在标准枚举中","")),IF(AND(ISTEXT(G103),OR(G103&lt;&gt;TRIM(G103),ISNUMBER(SEARCH("　",G103)))),"额定电压含首尾空格或全角空格",""),IF(H103="","缺少额定频率",""),IF(AND(ISTEXT(H103),OR(H103&lt;&gt;TRIM(H103),ISNUMBER(SEARCH("　",H103)))),"额定频率含首尾空格或全角空格",""),IF(I103="","",IF(COUNTIF(EV_COOLING_MOTOR_HV,I103)=0,"冷却方式不在标准枚举中","")),IF(AND(ISTEXT(I103),OR(I103&lt;&gt;TRIM(I103),ISNUMBER(SEARCH("　",I103)))),"冷却方式含首尾空格或全角空格",""),IF(J103="","缺少额定功率",""),IF(J103="","",IF(NOT(ISNUMBER(J103)),"额定功率应为数值",IF(J103&lt;=0,"额定功率应大于0",""))),IF(K103="","缺少极数",""),IF(K103="","",IF(COUNTIF(EV_POLES_PMSM,K103)=0,"极数不在标准枚举中","")),IF(L103="","缺少额定转速",""),IF(L103="","",IF(NOT(ISNUMBER(L103)),"额定转速应为数值",IF(L103&lt;=0,"额定转速应大于0",""))),IF(M103="","缺少效率",""),IF(M103="","",IF(NOT(ISNUMBER(M103)),"效率应为数值",IF(OR(M103&lt;1,M103&gt;100),"效率应为1～100的百分数本值",""))),IF(R103="","缺少铭牌照片",""),IF(AND(ISTEXT(S103),OR(S103&lt;&gt;TRIM(S103),ISNUMBER(SEARCH("　",S103)))),"填表备注含首尾空格或全角空格",""),IF(AND(OR(F103="高压三相笼型异步电动机",F103="异步起动三相永磁同步电动机",F103="变频调速永磁同步电动机"),OR(G103="3（3.3）",G103="6",G103="10"),I103=""),"高压电动机缺少冷却方式",""),IF(AND(F103="电梯用永磁同步电动机",L103=""),"电梯用永磁同步电动机缺少额定转速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8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EV_MOTOR_CATEGORY</formula1>
    </dataValidation>
    <dataValidation sqref="G4:G103" showDropDown="0" showInputMessage="0" showErrorMessage="1" allowBlank="1" type="list" errorStyle="stop">
      <formula1>EV_MOTOR_VOLTAGE</formula1>
    </dataValidation>
    <dataValidation sqref="I4:I103" showDropDown="0" showInputMessage="0" showErrorMessage="1" allowBlank="1" type="list" errorStyle="stop">
      <formula1>EV_COOLING_MOTOR_HV</formula1>
    </dataValidation>
    <dataValidation sqref="J4:J103" showDropDown="0" showInputMessage="0" showErrorMessage="1" allowBlank="1" type="decimal" errorStyle="stop" operator="greaterThan">
      <formula1>0</formula1>
    </dataValidation>
    <dataValidation sqref="K4:K103" showDropDown="0" showInputMessage="0" showErrorMessage="1" allowBlank="1" type="list" errorStyle="stop">
      <formula1>EV_POLES_PMSM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6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5" customWidth="1" style="184" min="16" max="16"/>
    <col width="24" customWidth="1" style="184" min="17" max="17"/>
    <col width="42" customWidth="1" style="184" min="18" max="18"/>
  </cols>
  <sheetData>
    <row r="1" ht="32" customHeight="1" s="184">
      <c r="A1" s="12" t="inlineStr">
        <is>
          <t>容积式空气压缩机 - 《容积式空气压缩机能效限定值及能效等级》（GB 19153-2019）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10" t="inlineStr">
        <is>
          <t>数量合计</t>
        </is>
      </c>
      <c r="P1" s="220" t="n"/>
      <c r="Q1" s="11">
        <f>SUM(TblCompressor[数量])</f>
        <v/>
      </c>
      <c r="R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3" t="n"/>
      <c r="O2" s="70" t="inlineStr">
        <is>
          <t>结论</t>
        </is>
      </c>
      <c r="P2" s="82" t="inlineStr">
        <is>
          <t>附件备注</t>
        </is>
      </c>
      <c r="Q2" s="222" t="n"/>
      <c r="R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驱动电动机额定功率（合计）
(kW)</t>
        </is>
      </c>
      <c r="H3" s="55" t="inlineStr">
        <is>
          <t>容积流量
(m³/min)</t>
        </is>
      </c>
      <c r="I3" s="55" t="inlineStr">
        <is>
          <t>额定排气压力
(MPa)</t>
        </is>
      </c>
      <c r="J3" s="45" t="inlineStr">
        <is>
          <t>冷却方式</t>
        </is>
      </c>
      <c r="K3" s="55" t="inlineStr">
        <is>
          <t>机组比功率
(kW/(m³/min))</t>
        </is>
      </c>
      <c r="L3" s="63" t="inlineStr">
        <is>
          <t>1级机组比功率
(kW/(m³/min))</t>
        </is>
      </c>
      <c r="M3" s="63" t="inlineStr">
        <is>
          <t>2级机组比功率
(kW/(m³/min))</t>
        </is>
      </c>
      <c r="N3" s="63" t="inlineStr">
        <is>
          <t>3级机组比功率
(kW/(m³/min))</t>
        </is>
      </c>
      <c r="O3" s="76" t="inlineStr">
        <is>
          <t>能效等级</t>
        </is>
      </c>
      <c r="P3" s="88" t="inlineStr">
        <is>
          <t>铭牌照片</t>
        </is>
      </c>
      <c r="Q3" s="88" t="inlineStr">
        <is>
          <t>填表备注</t>
        </is>
      </c>
      <c r="R3" s="88" t="inlineStr">
        <is>
          <t>自动备注</t>
        </is>
      </c>
    </row>
    <row r="4" ht="42" customHeight="1" s="184">
      <c r="A4" s="224">
        <f>IF(COUNTA(B4,C4,D4,E4,F4,G4,H4,I4,J4,K4,P4,Q4)&gt;0,ROW()-3,"")</f>
        <v/>
      </c>
      <c r="B4" s="176" t="n"/>
      <c r="C4" s="176" t="n"/>
      <c r="D4" s="228" t="n"/>
      <c r="E4" s="176" t="n"/>
      <c r="F4" s="218" t="n"/>
      <c r="G4" s="229" t="n"/>
      <c r="H4" s="229" t="n"/>
      <c r="I4" s="229" t="n"/>
      <c r="J4" s="218" t="n"/>
      <c r="K4" s="229" t="n"/>
      <c r="L4" s="227" t="n"/>
      <c r="M4" s="227" t="n"/>
      <c r="N4" s="227" t="n"/>
      <c r="O4" s="81" t="n"/>
      <c r="P4" s="180" t="n"/>
      <c r="Q4" s="180" t="n"/>
      <c r="R4" s="99">
        <f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f>
        <v/>
      </c>
    </row>
    <row r="5" ht="42" customHeight="1" s="184">
      <c r="A5" s="224">
        <f>IF(COUNTA(B5,C5,D5,E5,F5,G5,H5,I5,J5,K5,P5,Q5)&gt;0,ROW()-3,"")</f>
        <v/>
      </c>
      <c r="B5" s="176" t="n"/>
      <c r="C5" s="176" t="n"/>
      <c r="D5" s="228" t="n"/>
      <c r="E5" s="176" t="n"/>
      <c r="F5" s="218" t="n"/>
      <c r="G5" s="229" t="n"/>
      <c r="H5" s="229" t="n"/>
      <c r="I5" s="229" t="n"/>
      <c r="J5" s="218" t="n"/>
      <c r="K5" s="229" t="n"/>
      <c r="L5" s="227" t="n"/>
      <c r="M5" s="227" t="n"/>
      <c r="N5" s="227" t="n"/>
      <c r="O5" s="81" t="n"/>
      <c r="P5" s="180" t="n"/>
      <c r="Q5" s="180" t="n"/>
      <c r="R5" s="99">
        <f>IF(COUNTA(B5,C5,D5,E5,F5,G5,H5,I5,J5,K5,P5,Q5)&gt;0,TEXTJOIN("；",TRUE,IF(B5="","缺少设备名称",""),IF(AND(ISTEXT(B5),OR(B5&lt;&gt;TRIM(B5),ISNUMBER(SEARCH("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",E5)))),"安装位置含首尾空格或全角空格",""),IF(F5="","缺少设备类别",""),IF(F5="","",IF(COUNTIF(EV_COMPRESSOR_CATEGORY,F5)=0,"设备类别不在标准枚举中","")),IF(AND(ISTEXT(F5),OR(F5&lt;&gt;TRIM(F5),ISNUMBER(SEARCH("　",F5)))),"设备类别含首尾空格或全角空格",""),IF(G5="","缺少驱动电动机额定功率（合计）",""),IF(G5="","",IF(NOT(ISNUMBER(G5)),"驱动电动机额定功率（合计）应为数值",IF(G5&lt;=0,"驱动电动机额定功率（合计）应大于0",""))),IF(H5="","缺少容积流量",""),IF(H5="","",IF(NOT(ISNUMBER(H5)),"容积流量应为数值",IF(H5&lt;=0,"容积流量应大于0",""))),IF(I5="","缺少额定排气压力",""),IF(I5="","",IF(NOT(ISNUMBER(I5)),"额定排气压力应为数值",IF(I5&lt;=0,"额定排气压力应大于0",""))),IF(J5="","缺少冷却方式",""),IF(J5="","",IF(COUNTIF(EV_COMPRESSOR_COOLING,J5)=0,"冷却方式不在标准枚举中","")),IF(AND(ISTEXT(J5),OR(J5&lt;&gt;TRIM(J5),ISNUMBER(SEARCH("　",J5)))),"冷却方式含首尾空格或全角空格",""),IF(K5="","缺少机组比功率",""),IF(K5="","",IF(NOT(ISNUMBER(K5)),"机组比功率应为数值",IF(K5&lt;=0,"机组比功率应大于0",""))),IF(P5="","缺少铭牌照片",""),IF(AND(ISTEXT(Q5),OR(Q5&lt;&gt;TRIM(Q5),ISNUMBER(SEARCH("　",Q5)))),"填表备注含首尾空格或全角空格",""),IF(AND(ISNUMBER(I5),OR(I5&lt;0.25,I5&gt;1.4)),"额定排气压力超出本标准表列范围0.25～1.4MPa",""),IF(AND(ISNUMBER(G5),ISNUMBER(H5),ISNUMBER(K5),H5&gt;0,G5/H5&gt;K5),"输入功率/流量大于所填机组比功率，请核对功率口径","")),"")</f>
        <v/>
      </c>
    </row>
    <row r="6" ht="42" customHeight="1" s="184">
      <c r="A6" s="224">
        <f>IF(COUNTA(B6,C6,D6,E6,F6,G6,H6,I6,J6,K6,P6,Q6)&gt;0,ROW()-3,"")</f>
        <v/>
      </c>
      <c r="B6" s="176" t="n"/>
      <c r="C6" s="176" t="n"/>
      <c r="D6" s="228" t="n"/>
      <c r="E6" s="176" t="n"/>
      <c r="F6" s="218" t="n"/>
      <c r="G6" s="229" t="n"/>
      <c r="H6" s="229" t="n"/>
      <c r="I6" s="229" t="n"/>
      <c r="J6" s="218" t="n"/>
      <c r="K6" s="229" t="n"/>
      <c r="L6" s="227" t="n"/>
      <c r="M6" s="227" t="n"/>
      <c r="N6" s="227" t="n"/>
      <c r="O6" s="81" t="n"/>
      <c r="P6" s="180" t="n"/>
      <c r="Q6" s="180" t="n"/>
      <c r="R6" s="99">
        <f>IF(COUNTA(B6,C6,D6,E6,F6,G6,H6,I6,J6,K6,P6,Q6)&gt;0,TEXTJOIN("；",TRUE,IF(B6="","缺少设备名称",""),IF(AND(ISTEXT(B6),OR(B6&lt;&gt;TRIM(B6),ISNUMBER(SEARCH("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",E6)))),"安装位置含首尾空格或全角空格",""),IF(F6="","缺少设备类别",""),IF(F6="","",IF(COUNTIF(EV_COMPRESSOR_CATEGORY,F6)=0,"设备类别不在标准枚举中","")),IF(AND(ISTEXT(F6),OR(F6&lt;&gt;TRIM(F6),ISNUMBER(SEARCH("　",F6)))),"设备类别含首尾空格或全角空格",""),IF(G6="","缺少驱动电动机额定功率（合计）",""),IF(G6="","",IF(NOT(ISNUMBER(G6)),"驱动电动机额定功率（合计）应为数值",IF(G6&lt;=0,"驱动电动机额定功率（合计）应大于0",""))),IF(H6="","缺少容积流量",""),IF(H6="","",IF(NOT(ISNUMBER(H6)),"容积流量应为数值",IF(H6&lt;=0,"容积流量应大于0",""))),IF(I6="","缺少额定排气压力",""),IF(I6="","",IF(NOT(ISNUMBER(I6)),"额定排气压力应为数值",IF(I6&lt;=0,"额定排气压力应大于0",""))),IF(J6="","缺少冷却方式",""),IF(J6="","",IF(COUNTIF(EV_COMPRESSOR_COOLING,J6)=0,"冷却方式不在标准枚举中","")),IF(AND(ISTEXT(J6),OR(J6&lt;&gt;TRIM(J6),ISNUMBER(SEARCH("　",J6)))),"冷却方式含首尾空格或全角空格",""),IF(K6="","缺少机组比功率",""),IF(K6="","",IF(NOT(ISNUMBER(K6)),"机组比功率应为数值",IF(K6&lt;=0,"机组比功率应大于0",""))),IF(P6="","缺少铭牌照片",""),IF(AND(ISTEXT(Q6),OR(Q6&lt;&gt;TRIM(Q6),ISNUMBER(SEARCH("　",Q6)))),"填表备注含首尾空格或全角空格",""),IF(AND(ISNUMBER(I6),OR(I6&lt;0.25,I6&gt;1.4)),"额定排气压力超出本标准表列范围0.25～1.4MPa",""),IF(AND(ISNUMBER(G6),ISNUMBER(H6),ISNUMBER(K6),H6&gt;0,G6/H6&gt;K6),"输入功率/流量大于所填机组比功率，请核对功率口径","")),"")</f>
        <v/>
      </c>
    </row>
    <row r="7" ht="42" customHeight="1" s="184">
      <c r="A7" s="224">
        <f>IF(COUNTA(B7,C7,D7,E7,F7,G7,H7,I7,J7,K7,P7,Q7)&gt;0,ROW()-3,"")</f>
        <v/>
      </c>
      <c r="B7" s="176" t="n"/>
      <c r="C7" s="176" t="n"/>
      <c r="D7" s="228" t="n"/>
      <c r="E7" s="176" t="n"/>
      <c r="F7" s="218" t="n"/>
      <c r="G7" s="229" t="n"/>
      <c r="H7" s="229" t="n"/>
      <c r="I7" s="229" t="n"/>
      <c r="J7" s="218" t="n"/>
      <c r="K7" s="229" t="n"/>
      <c r="L7" s="227" t="n"/>
      <c r="M7" s="227" t="n"/>
      <c r="N7" s="227" t="n"/>
      <c r="O7" s="81" t="n"/>
      <c r="P7" s="180" t="n"/>
      <c r="Q7" s="180" t="n"/>
      <c r="R7" s="99">
        <f>IF(COUNTA(B7,C7,D7,E7,F7,G7,H7,I7,J7,K7,P7,Q7)&gt;0,TEXTJOIN("；",TRUE,IF(B7="","缺少设备名称",""),IF(AND(ISTEXT(B7),OR(B7&lt;&gt;TRIM(B7),ISNUMBER(SEARCH("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",E7)))),"安装位置含首尾空格或全角空格",""),IF(F7="","缺少设备类别",""),IF(F7="","",IF(COUNTIF(EV_COMPRESSOR_CATEGORY,F7)=0,"设备类别不在标准枚举中","")),IF(AND(ISTEXT(F7),OR(F7&lt;&gt;TRIM(F7),ISNUMBER(SEARCH("　",F7)))),"设备类别含首尾空格或全角空格",""),IF(G7="","缺少驱动电动机额定功率（合计）",""),IF(G7="","",IF(NOT(ISNUMBER(G7)),"驱动电动机额定功率（合计）应为数值",IF(G7&lt;=0,"驱动电动机额定功率（合计）应大于0",""))),IF(H7="","缺少容积流量",""),IF(H7="","",IF(NOT(ISNUMBER(H7)),"容积流量应为数值",IF(H7&lt;=0,"容积流量应大于0",""))),IF(I7="","缺少额定排气压力",""),IF(I7="","",IF(NOT(ISNUMBER(I7)),"额定排气压力应为数值",IF(I7&lt;=0,"额定排气压力应大于0",""))),IF(J7="","缺少冷却方式",""),IF(J7="","",IF(COUNTIF(EV_COMPRESSOR_COOLING,J7)=0,"冷却方式不在标准枚举中","")),IF(AND(ISTEXT(J7),OR(J7&lt;&gt;TRIM(J7),ISNUMBER(SEARCH("　",J7)))),"冷却方式含首尾空格或全角空格",""),IF(K7="","缺少机组比功率",""),IF(K7="","",IF(NOT(ISNUMBER(K7)),"机组比功率应为数值",IF(K7&lt;=0,"机组比功率应大于0",""))),IF(P7="","缺少铭牌照片",""),IF(AND(ISTEXT(Q7),OR(Q7&lt;&gt;TRIM(Q7),ISNUMBER(SEARCH("　",Q7)))),"填表备注含首尾空格或全角空格",""),IF(AND(ISNUMBER(I7),OR(I7&lt;0.25,I7&gt;1.4)),"额定排气压力超出本标准表列范围0.25～1.4MPa",""),IF(AND(ISNUMBER(G7),ISNUMBER(H7),ISNUMBER(K7),H7&gt;0,G7/H7&gt;K7),"输入功率/流量大于所填机组比功率，请核对功率口径","")),"")</f>
        <v/>
      </c>
    </row>
    <row r="8" ht="42" customHeight="1" s="184">
      <c r="A8" s="224">
        <f>IF(COUNTA(B8,C8,D8,E8,F8,G8,H8,I8,J8,K8,P8,Q8)&gt;0,ROW()-3,"")</f>
        <v/>
      </c>
      <c r="B8" s="176" t="n"/>
      <c r="C8" s="176" t="n"/>
      <c r="D8" s="228" t="n"/>
      <c r="E8" s="176" t="n"/>
      <c r="F8" s="218" t="n"/>
      <c r="G8" s="229" t="n"/>
      <c r="H8" s="229" t="n"/>
      <c r="I8" s="229" t="n"/>
      <c r="J8" s="218" t="n"/>
      <c r="K8" s="229" t="n"/>
      <c r="L8" s="227" t="n"/>
      <c r="M8" s="227" t="n"/>
      <c r="N8" s="227" t="n"/>
      <c r="O8" s="81" t="n"/>
      <c r="P8" s="180" t="n"/>
      <c r="Q8" s="180" t="n"/>
      <c r="R8" s="99">
        <f>IF(COUNTA(B8,C8,D8,E8,F8,G8,H8,I8,J8,K8,P8,Q8)&gt;0,TEXTJOIN("；",TRUE,IF(B8="","缺少设备名称",""),IF(AND(ISTEXT(B8),OR(B8&lt;&gt;TRIM(B8),ISNUMBER(SEARCH("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",E8)))),"安装位置含首尾空格或全角空格",""),IF(F8="","缺少设备类别",""),IF(F8="","",IF(COUNTIF(EV_COMPRESSOR_CATEGORY,F8)=0,"设备类别不在标准枚举中","")),IF(AND(ISTEXT(F8),OR(F8&lt;&gt;TRIM(F8),ISNUMBER(SEARCH("　",F8)))),"设备类别含首尾空格或全角空格",""),IF(G8="","缺少驱动电动机额定功率（合计）",""),IF(G8="","",IF(NOT(ISNUMBER(G8)),"驱动电动机额定功率（合计）应为数值",IF(G8&lt;=0,"驱动电动机额定功率（合计）应大于0",""))),IF(H8="","缺少容积流量",""),IF(H8="","",IF(NOT(ISNUMBER(H8)),"容积流量应为数值",IF(H8&lt;=0,"容积流量应大于0",""))),IF(I8="","缺少额定排气压力",""),IF(I8="","",IF(NOT(ISNUMBER(I8)),"额定排气压力应为数值",IF(I8&lt;=0,"额定排气压力应大于0",""))),IF(J8="","缺少冷却方式",""),IF(J8="","",IF(COUNTIF(EV_COMPRESSOR_COOLING,J8)=0,"冷却方式不在标准枚举中","")),IF(AND(ISTEXT(J8),OR(J8&lt;&gt;TRIM(J8),ISNUMBER(SEARCH("　",J8)))),"冷却方式含首尾空格或全角空格",""),IF(K8="","缺少机组比功率",""),IF(K8="","",IF(NOT(ISNUMBER(K8)),"机组比功率应为数值",IF(K8&lt;=0,"机组比功率应大于0",""))),IF(P8="","缺少铭牌照片",""),IF(AND(ISTEXT(Q8),OR(Q8&lt;&gt;TRIM(Q8),ISNUMBER(SEARCH("　",Q8)))),"填表备注含首尾空格或全角空格",""),IF(AND(ISNUMBER(I8),OR(I8&lt;0.25,I8&gt;1.4)),"额定排气压力超出本标准表列范围0.25～1.4MPa",""),IF(AND(ISNUMBER(G8),ISNUMBER(H8),ISNUMBER(K8),H8&gt;0,G8/H8&gt;K8),"输入功率/流量大于所填机组比功率，请核对功率口径","")),"")</f>
        <v/>
      </c>
    </row>
    <row r="9" ht="42" customHeight="1" s="184">
      <c r="A9" s="224">
        <f>IF(COUNTA(B9,C9,D9,E9,F9,G9,H9,I9,J9,K9,P9,Q9)&gt;0,ROW()-3,"")</f>
        <v/>
      </c>
      <c r="B9" s="176" t="n"/>
      <c r="C9" s="176" t="n"/>
      <c r="D9" s="228" t="n"/>
      <c r="E9" s="176" t="n"/>
      <c r="F9" s="218" t="n"/>
      <c r="G9" s="229" t="n"/>
      <c r="H9" s="229" t="n"/>
      <c r="I9" s="229" t="n"/>
      <c r="J9" s="218" t="n"/>
      <c r="K9" s="229" t="n"/>
      <c r="L9" s="227" t="n"/>
      <c r="M9" s="227" t="n"/>
      <c r="N9" s="227" t="n"/>
      <c r="O9" s="81" t="n"/>
      <c r="P9" s="180" t="n"/>
      <c r="Q9" s="180" t="n"/>
      <c r="R9" s="99">
        <f>IF(COUNTA(B9,C9,D9,E9,F9,G9,H9,I9,J9,K9,P9,Q9)&gt;0,TEXTJOIN("；",TRUE,IF(B9="","缺少设备名称",""),IF(AND(ISTEXT(B9),OR(B9&lt;&gt;TRIM(B9),ISNUMBER(SEARCH("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",E9)))),"安装位置含首尾空格或全角空格",""),IF(F9="","缺少设备类别",""),IF(F9="","",IF(COUNTIF(EV_COMPRESSOR_CATEGORY,F9)=0,"设备类别不在标准枚举中","")),IF(AND(ISTEXT(F9),OR(F9&lt;&gt;TRIM(F9),ISNUMBER(SEARCH("　",F9)))),"设备类别含首尾空格或全角空格",""),IF(G9="","缺少驱动电动机额定功率（合计）",""),IF(G9="","",IF(NOT(ISNUMBER(G9)),"驱动电动机额定功率（合计）应为数值",IF(G9&lt;=0,"驱动电动机额定功率（合计）应大于0",""))),IF(H9="","缺少容积流量",""),IF(H9="","",IF(NOT(ISNUMBER(H9)),"容积流量应为数值",IF(H9&lt;=0,"容积流量应大于0",""))),IF(I9="","缺少额定排气压力",""),IF(I9="","",IF(NOT(ISNUMBER(I9)),"额定排气压力应为数值",IF(I9&lt;=0,"额定排气压力应大于0",""))),IF(J9="","缺少冷却方式",""),IF(J9="","",IF(COUNTIF(EV_COMPRESSOR_COOLING,J9)=0,"冷却方式不在标准枚举中","")),IF(AND(ISTEXT(J9),OR(J9&lt;&gt;TRIM(J9),ISNUMBER(SEARCH("　",J9)))),"冷却方式含首尾空格或全角空格",""),IF(K9="","缺少机组比功率",""),IF(K9="","",IF(NOT(ISNUMBER(K9)),"机组比功率应为数值",IF(K9&lt;=0,"机组比功率应大于0",""))),IF(P9="","缺少铭牌照片",""),IF(AND(ISTEXT(Q9),OR(Q9&lt;&gt;TRIM(Q9),ISNUMBER(SEARCH("　",Q9)))),"填表备注含首尾空格或全角空格",""),IF(AND(ISNUMBER(I9),OR(I9&lt;0.25,I9&gt;1.4)),"额定排气压力超出本标准表列范围0.25～1.4MPa",""),IF(AND(ISNUMBER(G9),ISNUMBER(H9),ISNUMBER(K9),H9&gt;0,G9/H9&gt;K9),"输入功率/流量大于所填机组比功率，请核对功率口径","")),"")</f>
        <v/>
      </c>
    </row>
    <row r="10" ht="42" customHeight="1" s="184">
      <c r="A10" s="224">
        <f>IF(COUNTA(B10,C10,D10,E10,F10,G10,H10,I10,J10,K10,P10,Q10)&gt;0,ROW()-3,"")</f>
        <v/>
      </c>
      <c r="B10" s="176" t="n"/>
      <c r="C10" s="176" t="n"/>
      <c r="D10" s="228" t="n"/>
      <c r="E10" s="176" t="n"/>
      <c r="F10" s="218" t="n"/>
      <c r="G10" s="229" t="n"/>
      <c r="H10" s="229" t="n"/>
      <c r="I10" s="229" t="n"/>
      <c r="J10" s="218" t="n"/>
      <c r="K10" s="229" t="n"/>
      <c r="L10" s="227" t="n"/>
      <c r="M10" s="227" t="n"/>
      <c r="N10" s="227" t="n"/>
      <c r="O10" s="81" t="n"/>
      <c r="P10" s="180" t="n"/>
      <c r="Q10" s="180" t="n"/>
      <c r="R10" s="99">
        <f>IF(COUNTA(B10,C10,D10,E10,F10,G10,H10,I10,J10,K10,P10,Q10)&gt;0,TEXTJOIN("；",TRUE,IF(B10="","缺少设备名称",""),IF(AND(ISTEXT(B10),OR(B10&lt;&gt;TRIM(B10),ISNUMBER(SEARCH("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",E10)))),"安装位置含首尾空格或全角空格",""),IF(F10="","缺少设备类别",""),IF(F10="","",IF(COUNTIF(EV_COMPRESSOR_CATEGORY,F10)=0,"设备类别不在标准枚举中","")),IF(AND(ISTEXT(F10),OR(F10&lt;&gt;TRIM(F10),ISNUMBER(SEARCH("　",F10)))),"设备类别含首尾空格或全角空格",""),IF(G10="","缺少驱动电动机额定功率（合计）",""),IF(G10="","",IF(NOT(ISNUMBER(G10)),"驱动电动机额定功率（合计）应为数值",IF(G10&lt;=0,"驱动电动机额定功率（合计）应大于0",""))),IF(H10="","缺少容积流量",""),IF(H10="","",IF(NOT(ISNUMBER(H10)),"容积流量应为数值",IF(H10&lt;=0,"容积流量应大于0",""))),IF(I10="","缺少额定排气压力",""),IF(I10="","",IF(NOT(ISNUMBER(I10)),"额定排气压力应为数值",IF(I10&lt;=0,"额定排气压力应大于0",""))),IF(J10="","缺少冷却方式",""),IF(J10="","",IF(COUNTIF(EV_COMPRESSOR_COOLING,J10)=0,"冷却方式不在标准枚举中","")),IF(AND(ISTEXT(J10),OR(J10&lt;&gt;TRIM(J10),ISNUMBER(SEARCH("　",J10)))),"冷却方式含首尾空格或全角空格",""),IF(K10="","缺少机组比功率",""),IF(K10="","",IF(NOT(ISNUMBER(K10)),"机组比功率应为数值",IF(K10&lt;=0,"机组比功率应大于0",""))),IF(P10="","缺少铭牌照片",""),IF(AND(ISTEXT(Q10),OR(Q10&lt;&gt;TRIM(Q10),ISNUMBER(SEARCH("　",Q10)))),"填表备注含首尾空格或全角空格",""),IF(AND(ISNUMBER(I10),OR(I10&lt;0.25,I10&gt;1.4)),"额定排气压力超出本标准表列范围0.25～1.4MPa",""),IF(AND(ISNUMBER(G10),ISNUMBER(H10),ISNUMBER(K10),H10&gt;0,G10/H10&gt;K10),"输入功率/流量大于所填机组比功率，请核对功率口径","")),"")</f>
        <v/>
      </c>
    </row>
    <row r="11" ht="42" customHeight="1" s="184">
      <c r="A11" s="224">
        <f>IF(COUNTA(B11,C11,D11,E11,F11,G11,H11,I11,J11,K11,P11,Q11)&gt;0,ROW()-3,"")</f>
        <v/>
      </c>
      <c r="B11" s="176" t="n"/>
      <c r="C11" s="176" t="n"/>
      <c r="D11" s="228" t="n"/>
      <c r="E11" s="176" t="n"/>
      <c r="F11" s="218" t="n"/>
      <c r="G11" s="229" t="n"/>
      <c r="H11" s="229" t="n"/>
      <c r="I11" s="229" t="n"/>
      <c r="J11" s="218" t="n"/>
      <c r="K11" s="229" t="n"/>
      <c r="L11" s="227" t="n"/>
      <c r="M11" s="227" t="n"/>
      <c r="N11" s="227" t="n"/>
      <c r="O11" s="81" t="n"/>
      <c r="P11" s="180" t="n"/>
      <c r="Q11" s="180" t="n"/>
      <c r="R11" s="99">
        <f>IF(COUNTA(B11,C11,D11,E11,F11,G11,H11,I11,J11,K11,P11,Q11)&gt;0,TEXTJOIN("；",TRUE,IF(B11="","缺少设备名称",""),IF(AND(ISTEXT(B11),OR(B11&lt;&gt;TRIM(B11),ISNUMBER(SEARCH("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",E11)))),"安装位置含首尾空格或全角空格",""),IF(F11="","缺少设备类别",""),IF(F11="","",IF(COUNTIF(EV_COMPRESSOR_CATEGORY,F11)=0,"设备类别不在标准枚举中","")),IF(AND(ISTEXT(F11),OR(F11&lt;&gt;TRIM(F11),ISNUMBER(SEARCH("　",F11)))),"设备类别含首尾空格或全角空格",""),IF(G11="","缺少驱动电动机额定功率（合计）",""),IF(G11="","",IF(NOT(ISNUMBER(G11)),"驱动电动机额定功率（合计）应为数值",IF(G11&lt;=0,"驱动电动机额定功率（合计）应大于0",""))),IF(H11="","缺少容积流量",""),IF(H11="","",IF(NOT(ISNUMBER(H11)),"容积流量应为数值",IF(H11&lt;=0,"容积流量应大于0",""))),IF(I11="","缺少额定排气压力",""),IF(I11="","",IF(NOT(ISNUMBER(I11)),"额定排气压力应为数值",IF(I11&lt;=0,"额定排气压力应大于0",""))),IF(J11="","缺少冷却方式",""),IF(J11="","",IF(COUNTIF(EV_COMPRESSOR_COOLING,J11)=0,"冷却方式不在标准枚举中","")),IF(AND(ISTEXT(J11),OR(J11&lt;&gt;TRIM(J11),ISNUMBER(SEARCH("　",J11)))),"冷却方式含首尾空格或全角空格",""),IF(K11="","缺少机组比功率",""),IF(K11="","",IF(NOT(ISNUMBER(K11)),"机组比功率应为数值",IF(K11&lt;=0,"机组比功率应大于0",""))),IF(P11="","缺少铭牌照片",""),IF(AND(ISTEXT(Q11),OR(Q11&lt;&gt;TRIM(Q11),ISNUMBER(SEARCH("　",Q11)))),"填表备注含首尾空格或全角空格",""),IF(AND(ISNUMBER(I11),OR(I11&lt;0.25,I11&gt;1.4)),"额定排气压力超出本标准表列范围0.25～1.4MPa",""),IF(AND(ISNUMBER(G11),ISNUMBER(H11),ISNUMBER(K11),H11&gt;0,G11/H11&gt;K11),"输入功率/流量大于所填机组比功率，请核对功率口径","")),"")</f>
        <v/>
      </c>
    </row>
    <row r="12" ht="42" customHeight="1" s="184">
      <c r="A12" s="224">
        <f>IF(COUNTA(B12,C12,D12,E12,F12,G12,H12,I12,J12,K12,P12,Q12)&gt;0,ROW()-3,"")</f>
        <v/>
      </c>
      <c r="B12" s="176" t="n"/>
      <c r="C12" s="176" t="n"/>
      <c r="D12" s="228" t="n"/>
      <c r="E12" s="176" t="n"/>
      <c r="F12" s="218" t="n"/>
      <c r="G12" s="229" t="n"/>
      <c r="H12" s="229" t="n"/>
      <c r="I12" s="229" t="n"/>
      <c r="J12" s="218" t="n"/>
      <c r="K12" s="229" t="n"/>
      <c r="L12" s="227" t="n"/>
      <c r="M12" s="227" t="n"/>
      <c r="N12" s="227" t="n"/>
      <c r="O12" s="81" t="n"/>
      <c r="P12" s="180" t="n"/>
      <c r="Q12" s="180" t="n"/>
      <c r="R12" s="99">
        <f>IF(COUNTA(B12,C12,D12,E12,F12,G12,H12,I12,J12,K12,P12,Q12)&gt;0,TEXTJOIN("；",TRUE,IF(B12="","缺少设备名称",""),IF(AND(ISTEXT(B12),OR(B12&lt;&gt;TRIM(B12),ISNUMBER(SEARCH("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",E12)))),"安装位置含首尾空格或全角空格",""),IF(F12="","缺少设备类别",""),IF(F12="","",IF(COUNTIF(EV_COMPRESSOR_CATEGORY,F12)=0,"设备类别不在标准枚举中","")),IF(AND(ISTEXT(F12),OR(F12&lt;&gt;TRIM(F12),ISNUMBER(SEARCH("　",F12)))),"设备类别含首尾空格或全角空格",""),IF(G12="","缺少驱动电动机额定功率（合计）",""),IF(G12="","",IF(NOT(ISNUMBER(G12)),"驱动电动机额定功率（合计）应为数值",IF(G12&lt;=0,"驱动电动机额定功率（合计）应大于0",""))),IF(H12="","缺少容积流量",""),IF(H12="","",IF(NOT(ISNUMBER(H12)),"容积流量应为数值",IF(H12&lt;=0,"容积流量应大于0",""))),IF(I12="","缺少额定排气压力",""),IF(I12="","",IF(NOT(ISNUMBER(I12)),"额定排气压力应为数值",IF(I12&lt;=0,"额定排气压力应大于0",""))),IF(J12="","缺少冷却方式",""),IF(J12="","",IF(COUNTIF(EV_COMPRESSOR_COOLING,J12)=0,"冷却方式不在标准枚举中","")),IF(AND(ISTEXT(J12),OR(J12&lt;&gt;TRIM(J12),ISNUMBER(SEARCH("　",J12)))),"冷却方式含首尾空格或全角空格",""),IF(K12="","缺少机组比功率",""),IF(K12="","",IF(NOT(ISNUMBER(K12)),"机组比功率应为数值",IF(K12&lt;=0,"机组比功率应大于0",""))),IF(P12="","缺少铭牌照片",""),IF(AND(ISTEXT(Q12),OR(Q12&lt;&gt;TRIM(Q12),ISNUMBER(SEARCH("　",Q12)))),"填表备注含首尾空格或全角空格",""),IF(AND(ISNUMBER(I12),OR(I12&lt;0.25,I12&gt;1.4)),"额定排气压力超出本标准表列范围0.25～1.4MPa",""),IF(AND(ISNUMBER(G12),ISNUMBER(H12),ISNUMBER(K12),H12&gt;0,G12/H12&gt;K12),"输入功率/流量大于所填机组比功率，请核对功率口径","")),"")</f>
        <v/>
      </c>
    </row>
    <row r="13" ht="42" customHeight="1" s="184">
      <c r="A13" s="224">
        <f>IF(COUNTA(B13,C13,D13,E13,F13,G13,H13,I13,J13,K13,P13,Q13)&gt;0,ROW()-3,"")</f>
        <v/>
      </c>
      <c r="B13" s="176" t="n"/>
      <c r="C13" s="176" t="n"/>
      <c r="D13" s="228" t="n"/>
      <c r="E13" s="176" t="n"/>
      <c r="F13" s="218" t="n"/>
      <c r="G13" s="229" t="n"/>
      <c r="H13" s="229" t="n"/>
      <c r="I13" s="229" t="n"/>
      <c r="J13" s="218" t="n"/>
      <c r="K13" s="229" t="n"/>
      <c r="L13" s="227" t="n"/>
      <c r="M13" s="227" t="n"/>
      <c r="N13" s="227" t="n"/>
      <c r="O13" s="81" t="n"/>
      <c r="P13" s="180" t="n"/>
      <c r="Q13" s="180" t="n"/>
      <c r="R13" s="99">
        <f>IF(COUNTA(B13,C13,D13,E13,F13,G13,H13,I13,J13,K13,P13,Q13)&gt;0,TEXTJOIN("；",TRUE,IF(B13="","缺少设备名称",""),IF(AND(ISTEXT(B13),OR(B13&lt;&gt;TRIM(B13),ISNUMBER(SEARCH("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",E13)))),"安装位置含首尾空格或全角空格",""),IF(F13="","缺少设备类别",""),IF(F13="","",IF(COUNTIF(EV_COMPRESSOR_CATEGORY,F13)=0,"设备类别不在标准枚举中","")),IF(AND(ISTEXT(F13),OR(F13&lt;&gt;TRIM(F13),ISNUMBER(SEARCH("　",F13)))),"设备类别含首尾空格或全角空格",""),IF(G13="","缺少驱动电动机额定功率（合计）",""),IF(G13="","",IF(NOT(ISNUMBER(G13)),"驱动电动机额定功率（合计）应为数值",IF(G13&lt;=0,"驱动电动机额定功率（合计）应大于0",""))),IF(H13="","缺少容积流量",""),IF(H13="","",IF(NOT(ISNUMBER(H13)),"容积流量应为数值",IF(H13&lt;=0,"容积流量应大于0",""))),IF(I13="","缺少额定排气压力",""),IF(I13="","",IF(NOT(ISNUMBER(I13)),"额定排气压力应为数值",IF(I13&lt;=0,"额定排气压力应大于0",""))),IF(J13="","缺少冷却方式",""),IF(J13="","",IF(COUNTIF(EV_COMPRESSOR_COOLING,J13)=0,"冷却方式不在标准枚举中","")),IF(AND(ISTEXT(J13),OR(J13&lt;&gt;TRIM(J13),ISNUMBER(SEARCH("　",J13)))),"冷却方式含首尾空格或全角空格",""),IF(K13="","缺少机组比功率",""),IF(K13="","",IF(NOT(ISNUMBER(K13)),"机组比功率应为数值",IF(K13&lt;=0,"机组比功率应大于0",""))),IF(P13="","缺少铭牌照片",""),IF(AND(ISTEXT(Q13),OR(Q13&lt;&gt;TRIM(Q13),ISNUMBER(SEARCH("　",Q13)))),"填表备注含首尾空格或全角空格",""),IF(AND(ISNUMBER(I13),OR(I13&lt;0.25,I13&gt;1.4)),"额定排气压力超出本标准表列范围0.25～1.4MPa",""),IF(AND(ISNUMBER(G13),ISNUMBER(H13),ISNUMBER(K13),H13&gt;0,G13/H13&gt;K13),"输入功率/流量大于所填机组比功率，请核对功率口径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Q1:R1"/>
    <mergeCell ref="A2:E2"/>
    <mergeCell ref="P2:R2"/>
    <mergeCell ref="O1:P1"/>
    <mergeCell ref="F2:K2"/>
    <mergeCell ref="L2:N2"/>
    <mergeCell ref="A1:N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EV_COMPRESSOR_CATEGORY</formula1>
    </dataValidation>
    <dataValidation sqref="G4:G13" showDropDown="0" showInputMessage="0" showErrorMessage="1" allowBlank="1" type="decimal" errorStyle="stop" operator="greaterThan">
      <formula1>0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list" errorStyle="stop">
      <formula1>EV_COMPRESSOR_COOLING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3"/>
  <sheetViews>
    <sheetView showGridLines="0" workbookViewId="0">
      <pane xSplit="3" ySplit="3" topLeftCell="D4" activePane="bottomRight" state="frozen"/>
      <selection pane="bottomRight" activeCell="D4" sqref="D4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3" customWidth="1" style="184" min="8" max="8"/>
    <col width="13" customWidth="1" style="184" min="9" max="9"/>
    <col width="13" customWidth="1" style="184" min="10" max="10"/>
    <col width="16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93" t="inlineStr">
        <is>
          <t>离心泵 - 《离心泵能效限定值及能效等级》（GB 19762-2025）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96" t="inlineStr">
        <is>
          <t>数量合计</t>
        </is>
      </c>
      <c r="Y1" s="220" t="n"/>
      <c r="Z1" s="230">
        <f>SUM(TblPump[数量])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204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202" t="inlineStr">
        <is>
          <t>计算辅助结果</t>
        </is>
      </c>
      <c r="O2" s="222" t="n"/>
      <c r="P2" s="222" t="n"/>
      <c r="Q2" s="222" t="n"/>
      <c r="R2" s="222" t="n"/>
      <c r="S2" s="222" t="n"/>
      <c r="T2" s="223" t="n"/>
      <c r="U2" s="202" t="inlineStr">
        <is>
          <t>标准查询结果</t>
        </is>
      </c>
      <c r="V2" s="222" t="n"/>
      <c r="W2" s="223" t="n"/>
      <c r="X2" s="203" t="inlineStr">
        <is>
          <t>结论</t>
        </is>
      </c>
      <c r="Y2" s="204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13" t="inlineStr">
        <is>
          <t>设备名称</t>
        </is>
      </c>
      <c r="C3" s="213" t="inlineStr">
        <is>
          <t>型号</t>
        </is>
      </c>
      <c r="D3" s="213" t="inlineStr">
        <is>
          <t>数量</t>
        </is>
      </c>
      <c r="E3" s="213" t="inlineStr">
        <is>
          <t>安装位置</t>
        </is>
      </c>
      <c r="F3" s="213" t="inlineStr">
        <is>
          <t>设备类别</t>
        </is>
      </c>
      <c r="G3" s="213" t="inlineStr">
        <is>
          <t>流量
(m³/h)</t>
        </is>
      </c>
      <c r="H3" s="213" t="inlineStr">
        <is>
          <t>扬程
(m)</t>
        </is>
      </c>
      <c r="I3" s="213" t="inlineStr">
        <is>
          <t>额定转速
(r/min)</t>
        </is>
      </c>
      <c r="J3" s="213" t="inlineStr">
        <is>
          <t>额定功率
(kW)</t>
        </is>
      </c>
      <c r="K3" s="213" t="inlineStr">
        <is>
          <t>单吸/双吸</t>
        </is>
      </c>
      <c r="L3" s="213" t="inlineStr">
        <is>
          <t>级数
(级)</t>
        </is>
      </c>
      <c r="M3" s="213" t="inlineStr">
        <is>
          <t>泵效率
(%)</t>
        </is>
      </c>
      <c r="N3" s="211" t="inlineStr">
        <is>
          <t>比转速</t>
        </is>
      </c>
      <c r="O3" s="211" t="inlineStr">
        <is>
          <t>C1</t>
        </is>
      </c>
      <c r="P3" s="211" t="inlineStr">
        <is>
          <t>C2</t>
        </is>
      </c>
      <c r="Q3" s="211" t="inlineStr">
        <is>
          <t>C3</t>
        </is>
      </c>
      <c r="R3" s="211" t="inlineStr">
        <is>
          <t>基准效率
(%)</t>
        </is>
      </c>
      <c r="S3" s="211" t="inlineStr">
        <is>
          <t>效率修正值
(%)</t>
        </is>
      </c>
      <c r="T3" s="211" t="inlineStr">
        <is>
          <t>规定点效率
(%)</t>
        </is>
      </c>
      <c r="U3" s="211" t="inlineStr">
        <is>
          <t>1级效率
(%)</t>
        </is>
      </c>
      <c r="V3" s="211" t="inlineStr">
        <is>
          <t>2级效率
(%)</t>
        </is>
      </c>
      <c r="W3" s="211" t="inlineStr">
        <is>
          <t>3级效率
(%)</t>
        </is>
      </c>
      <c r="X3" s="212" t="inlineStr">
        <is>
          <t>能效等级</t>
        </is>
      </c>
      <c r="Y3" s="213" t="inlineStr">
        <is>
          <t>铭牌照片</t>
        </is>
      </c>
      <c r="Z3" s="213" t="inlineStr">
        <is>
          <t>备注/其他证明材料</t>
        </is>
      </c>
      <c r="AA3" s="214" t="inlineStr">
        <is>
          <t>自动备注</t>
        </is>
      </c>
    </row>
    <row r="4" ht="42" customHeight="1" s="184">
      <c r="A4" s="224">
        <f>IF(OR(B4&lt;&gt;"",C4&lt;&gt;"",D4&lt;&gt;"",E4&lt;&gt;"",F4&lt;&gt;"",G4&lt;&gt;"",H4&lt;&gt;"",I4&lt;&gt;"",J4&lt;&gt;"",M4&lt;&gt;"",Y4&lt;&gt;"",Z4&lt;&gt;""),ROW()-3,"")</f>
        <v/>
      </c>
      <c r="B4" s="185" t="n"/>
      <c r="C4" s="185" t="n"/>
      <c r="D4" s="231" t="n"/>
      <c r="E4" s="185" t="n"/>
      <c r="F4" s="185" t="n"/>
      <c r="G4" s="232" t="n"/>
      <c r="H4" s="232" t="n"/>
      <c r="I4" s="231" t="n"/>
      <c r="J4" s="232" t="n"/>
      <c r="K4" s="185" t="n"/>
      <c r="L4" s="231" t="n"/>
      <c r="M4" s="232" t="n"/>
      <c r="N4" s="233" t="n"/>
      <c r="O4" s="233" t="n"/>
      <c r="P4" s="233" t="n"/>
      <c r="Q4" s="233" t="n"/>
      <c r="R4" s="234" t="n"/>
      <c r="S4" s="234" t="n"/>
      <c r="T4" s="234" t="n"/>
      <c r="U4" s="234" t="n"/>
      <c r="V4" s="234" t="n"/>
      <c r="W4" s="234" t="n"/>
      <c r="X4" s="190" t="n"/>
      <c r="Y4" s="185" t="n"/>
      <c r="Z4" s="185" t="n"/>
      <c r="AA4" s="191" t="n"/>
    </row>
    <row r="5" ht="42" customHeight="1" s="184">
      <c r="A5" s="224">
        <f>IF(OR(B5&lt;&gt;"",C5&lt;&gt;"",D5&lt;&gt;"",E5&lt;&gt;"",F5&lt;&gt;"",G5&lt;&gt;"",H5&lt;&gt;"",I5&lt;&gt;"",J5&lt;&gt;"",M5&lt;&gt;"",Y5&lt;&gt;"",Z5&lt;&gt;""),ROW()-3,"")</f>
        <v/>
      </c>
      <c r="B5" s="185" t="n"/>
      <c r="C5" s="185" t="n"/>
      <c r="D5" s="231" t="n"/>
      <c r="E5" s="185" t="n"/>
      <c r="F5" s="185" t="n"/>
      <c r="G5" s="232" t="n"/>
      <c r="H5" s="232" t="n"/>
      <c r="I5" s="231" t="n"/>
      <c r="J5" s="232" t="n"/>
      <c r="K5" s="185" t="n"/>
      <c r="L5" s="231" t="n"/>
      <c r="M5" s="232" t="n"/>
      <c r="N5" s="233" t="n"/>
      <c r="O5" s="233" t="n"/>
      <c r="P5" s="233" t="n"/>
      <c r="Q5" s="233" t="n"/>
      <c r="R5" s="234" t="n"/>
      <c r="S5" s="234" t="n"/>
      <c r="T5" s="234" t="n"/>
      <c r="U5" s="234" t="n"/>
      <c r="V5" s="234" t="n"/>
      <c r="W5" s="234" t="n"/>
      <c r="X5" s="190" t="n"/>
      <c r="Y5" s="185" t="n"/>
      <c r="Z5" s="185" t="n"/>
      <c r="AA5" s="191" t="n"/>
    </row>
    <row r="6" ht="42" customHeight="1" s="184">
      <c r="A6" s="224">
        <f>IF(OR(B6&lt;&gt;"",C6&lt;&gt;"",D6&lt;&gt;"",E6&lt;&gt;"",F6&lt;&gt;"",G6&lt;&gt;"",H6&lt;&gt;"",I6&lt;&gt;"",J6&lt;&gt;"",M6&lt;&gt;"",Y6&lt;&gt;"",Z6&lt;&gt;""),ROW()-3,"")</f>
        <v/>
      </c>
      <c r="B6" s="185" t="n"/>
      <c r="C6" s="185" t="n"/>
      <c r="D6" s="231" t="n"/>
      <c r="E6" s="185" t="n"/>
      <c r="F6" s="185" t="n"/>
      <c r="G6" s="232" t="n"/>
      <c r="H6" s="232" t="n"/>
      <c r="I6" s="231" t="n"/>
      <c r="J6" s="232" t="n"/>
      <c r="K6" s="185" t="n"/>
      <c r="L6" s="231" t="n"/>
      <c r="M6" s="232" t="n"/>
      <c r="N6" s="233" t="n"/>
      <c r="O6" s="233" t="n"/>
      <c r="P6" s="233" t="n"/>
      <c r="Q6" s="233" t="n"/>
      <c r="R6" s="234" t="n"/>
      <c r="S6" s="234" t="n"/>
      <c r="T6" s="234" t="n"/>
      <c r="U6" s="234" t="n"/>
      <c r="V6" s="234" t="n"/>
      <c r="W6" s="234" t="n"/>
      <c r="X6" s="190" t="n"/>
      <c r="Y6" s="185" t="n"/>
      <c r="Z6" s="185" t="n"/>
      <c r="AA6" s="191" t="n"/>
    </row>
    <row r="7" ht="42" customHeight="1" s="184">
      <c r="A7" s="224">
        <f>IF(OR(B7&lt;&gt;"",C7&lt;&gt;"",D7&lt;&gt;"",E7&lt;&gt;"",F7&lt;&gt;"",G7&lt;&gt;"",H7&lt;&gt;"",I7&lt;&gt;"",J7&lt;&gt;"",M7&lt;&gt;"",Y7&lt;&gt;"",Z7&lt;&gt;""),ROW()-3,"")</f>
        <v/>
      </c>
      <c r="B7" s="185" t="n"/>
      <c r="C7" s="185" t="n"/>
      <c r="D7" s="231" t="n"/>
      <c r="E7" s="185" t="n"/>
      <c r="F7" s="185" t="n"/>
      <c r="G7" s="232" t="n"/>
      <c r="H7" s="232" t="n"/>
      <c r="I7" s="231" t="n"/>
      <c r="J7" s="232" t="n"/>
      <c r="K7" s="185" t="n"/>
      <c r="L7" s="231" t="n"/>
      <c r="M7" s="232" t="n"/>
      <c r="N7" s="233" t="n"/>
      <c r="O7" s="233" t="n"/>
      <c r="P7" s="233" t="n"/>
      <c r="Q7" s="233" t="n"/>
      <c r="R7" s="234" t="n"/>
      <c r="S7" s="234" t="n"/>
      <c r="T7" s="234" t="n"/>
      <c r="U7" s="234" t="n"/>
      <c r="V7" s="234" t="n"/>
      <c r="W7" s="234" t="n"/>
      <c r="X7" s="190" t="n"/>
      <c r="Y7" s="185" t="n"/>
      <c r="Z7" s="185" t="n"/>
      <c r="AA7" s="191" t="n"/>
    </row>
    <row r="8" ht="42" customHeight="1" s="184">
      <c r="A8" s="224">
        <f>IF(OR(B8&lt;&gt;"",C8&lt;&gt;"",D8&lt;&gt;"",E8&lt;&gt;"",F8&lt;&gt;"",G8&lt;&gt;"",H8&lt;&gt;"",I8&lt;&gt;"",J8&lt;&gt;"",M8&lt;&gt;"",Y8&lt;&gt;"",Z8&lt;&gt;""),ROW()-3,"")</f>
        <v/>
      </c>
      <c r="B8" s="185" t="n"/>
      <c r="C8" s="185" t="n"/>
      <c r="D8" s="231" t="n"/>
      <c r="E8" s="185" t="n"/>
      <c r="F8" s="185" t="n"/>
      <c r="G8" s="232" t="n"/>
      <c r="H8" s="232" t="n"/>
      <c r="I8" s="231" t="n"/>
      <c r="J8" s="232" t="n"/>
      <c r="K8" s="185" t="n"/>
      <c r="L8" s="231" t="n"/>
      <c r="M8" s="232" t="n"/>
      <c r="N8" s="233" t="n"/>
      <c r="O8" s="233" t="n"/>
      <c r="P8" s="233" t="n"/>
      <c r="Q8" s="233" t="n"/>
      <c r="R8" s="234" t="n"/>
      <c r="S8" s="234" t="n"/>
      <c r="T8" s="234" t="n"/>
      <c r="U8" s="234" t="n"/>
      <c r="V8" s="234" t="n"/>
      <c r="W8" s="234" t="n"/>
      <c r="X8" s="190" t="n"/>
      <c r="Y8" s="185" t="n"/>
      <c r="Z8" s="185" t="n"/>
      <c r="AA8" s="191" t="n"/>
    </row>
    <row r="9" ht="42" customHeight="1" s="184">
      <c r="A9" s="224">
        <f>IF(OR(B9&lt;&gt;"",C9&lt;&gt;"",D9&lt;&gt;"",E9&lt;&gt;"",F9&lt;&gt;"",G9&lt;&gt;"",H9&lt;&gt;"",I9&lt;&gt;"",J9&lt;&gt;"",M9&lt;&gt;"",Y9&lt;&gt;"",Z9&lt;&gt;""),ROW()-3,"")</f>
        <v/>
      </c>
      <c r="B9" s="185" t="n"/>
      <c r="C9" s="185" t="n"/>
      <c r="D9" s="231" t="n"/>
      <c r="E9" s="185" t="n"/>
      <c r="F9" s="185" t="n"/>
      <c r="G9" s="232" t="n"/>
      <c r="H9" s="232" t="n"/>
      <c r="I9" s="231" t="n"/>
      <c r="J9" s="232" t="n"/>
      <c r="K9" s="185" t="n"/>
      <c r="L9" s="231" t="n"/>
      <c r="M9" s="232" t="n"/>
      <c r="N9" s="233" t="n"/>
      <c r="O9" s="233" t="n"/>
      <c r="P9" s="233" t="n"/>
      <c r="Q9" s="233" t="n"/>
      <c r="R9" s="234" t="n"/>
      <c r="S9" s="234" t="n"/>
      <c r="T9" s="234" t="n"/>
      <c r="U9" s="234" t="n"/>
      <c r="V9" s="234" t="n"/>
      <c r="W9" s="234" t="n"/>
      <c r="X9" s="190" t="n"/>
      <c r="Y9" s="185" t="n"/>
      <c r="Z9" s="185" t="n"/>
      <c r="AA9" s="191" t="n"/>
    </row>
    <row r="10" ht="42" customHeight="1" s="184">
      <c r="A10" s="224">
        <f>IF(OR(B10&lt;&gt;"",C10&lt;&gt;"",D10&lt;&gt;"",E10&lt;&gt;"",F10&lt;&gt;"",G10&lt;&gt;"",H10&lt;&gt;"",I10&lt;&gt;"",J10&lt;&gt;"",M10&lt;&gt;"",Y10&lt;&gt;"",Z10&lt;&gt;""),ROW()-3,"")</f>
        <v/>
      </c>
      <c r="B10" s="185" t="n"/>
      <c r="C10" s="185" t="n"/>
      <c r="D10" s="231" t="n"/>
      <c r="E10" s="185" t="n"/>
      <c r="F10" s="185" t="n"/>
      <c r="G10" s="232" t="n"/>
      <c r="H10" s="232" t="n"/>
      <c r="I10" s="231" t="n"/>
      <c r="J10" s="232" t="n"/>
      <c r="K10" s="185" t="n"/>
      <c r="L10" s="231" t="n"/>
      <c r="M10" s="232" t="n"/>
      <c r="N10" s="233" t="n"/>
      <c r="O10" s="233" t="n"/>
      <c r="P10" s="233" t="n"/>
      <c r="Q10" s="233" t="n"/>
      <c r="R10" s="234" t="n"/>
      <c r="S10" s="234" t="n"/>
      <c r="T10" s="234" t="n"/>
      <c r="U10" s="234" t="n"/>
      <c r="V10" s="234" t="n"/>
      <c r="W10" s="234" t="n"/>
      <c r="X10" s="190" t="n"/>
      <c r="Y10" s="185" t="n"/>
      <c r="Z10" s="185" t="n"/>
      <c r="AA10" s="191" t="n"/>
    </row>
    <row r="11" ht="42" customHeight="1" s="184">
      <c r="A11" s="224">
        <f>IF(OR(B11&lt;&gt;"",C11&lt;&gt;"",D11&lt;&gt;"",E11&lt;&gt;"",F11&lt;&gt;"",G11&lt;&gt;"",H11&lt;&gt;"",I11&lt;&gt;"",J11&lt;&gt;"",M11&lt;&gt;"",Y11&lt;&gt;"",Z11&lt;&gt;""),ROW()-3,"")</f>
        <v/>
      </c>
      <c r="B11" s="185" t="n"/>
      <c r="C11" s="185" t="n"/>
      <c r="D11" s="231" t="n"/>
      <c r="E11" s="185" t="n"/>
      <c r="F11" s="185" t="n"/>
      <c r="G11" s="232" t="n"/>
      <c r="H11" s="232" t="n"/>
      <c r="I11" s="231" t="n"/>
      <c r="J11" s="232" t="n"/>
      <c r="K11" s="185" t="n"/>
      <c r="L11" s="231" t="n"/>
      <c r="M11" s="232" t="n"/>
      <c r="N11" s="233" t="n"/>
      <c r="O11" s="233" t="n"/>
      <c r="P11" s="233" t="n"/>
      <c r="Q11" s="233" t="n"/>
      <c r="R11" s="234" t="n"/>
      <c r="S11" s="234" t="n"/>
      <c r="T11" s="234" t="n"/>
      <c r="U11" s="234" t="n"/>
      <c r="V11" s="234" t="n"/>
      <c r="W11" s="234" t="n"/>
      <c r="X11" s="190" t="n"/>
      <c r="Y11" s="185" t="n"/>
      <c r="Z11" s="185" t="n"/>
      <c r="AA11" s="191" t="n"/>
    </row>
    <row r="12" ht="42" customHeight="1" s="184">
      <c r="A12" s="224">
        <f>IF(OR(B12&lt;&gt;"",C12&lt;&gt;"",D12&lt;&gt;"",E12&lt;&gt;"",F12&lt;&gt;"",G12&lt;&gt;"",H12&lt;&gt;"",I12&lt;&gt;"",J12&lt;&gt;"",M12&lt;&gt;"",Y12&lt;&gt;"",Z12&lt;&gt;""),ROW()-3,"")</f>
        <v/>
      </c>
      <c r="B12" s="185" t="n"/>
      <c r="C12" s="185" t="n"/>
      <c r="D12" s="231" t="n"/>
      <c r="E12" s="185" t="n"/>
      <c r="F12" s="185" t="n"/>
      <c r="G12" s="232" t="n"/>
      <c r="H12" s="232" t="n"/>
      <c r="I12" s="231" t="n"/>
      <c r="J12" s="232" t="n"/>
      <c r="K12" s="185" t="n"/>
      <c r="L12" s="231" t="n"/>
      <c r="M12" s="232" t="n"/>
      <c r="N12" s="233" t="n"/>
      <c r="O12" s="233" t="n"/>
      <c r="P12" s="233" t="n"/>
      <c r="Q12" s="233" t="n"/>
      <c r="R12" s="234" t="n"/>
      <c r="S12" s="234" t="n"/>
      <c r="T12" s="234" t="n"/>
      <c r="U12" s="234" t="n"/>
      <c r="V12" s="234" t="n"/>
      <c r="W12" s="234" t="n"/>
      <c r="X12" s="190" t="n"/>
      <c r="Y12" s="185" t="n"/>
      <c r="Z12" s="185" t="n"/>
      <c r="AA12" s="191" t="n"/>
    </row>
    <row r="13" ht="42" customHeight="1" s="184">
      <c r="A13" s="224">
        <f>IF(OR(B13&lt;&gt;"",C13&lt;&gt;"",D13&lt;&gt;"",E13&lt;&gt;"",F13&lt;&gt;"",G13&lt;&gt;"",H13&lt;&gt;"",I13&lt;&gt;"",J13&lt;&gt;"",M13&lt;&gt;"",Y13&lt;&gt;"",Z13&lt;&gt;""),ROW()-3,"")</f>
        <v/>
      </c>
      <c r="B13" s="185" t="n"/>
      <c r="C13" s="185" t="n"/>
      <c r="D13" s="231" t="n"/>
      <c r="E13" s="185" t="n"/>
      <c r="F13" s="185" t="n"/>
      <c r="G13" s="232" t="n"/>
      <c r="H13" s="232" t="n"/>
      <c r="I13" s="231" t="n"/>
      <c r="J13" s="232" t="n"/>
      <c r="K13" s="185" t="n"/>
      <c r="L13" s="231" t="n"/>
      <c r="M13" s="232" t="n"/>
      <c r="N13" s="233" t="n"/>
      <c r="O13" s="233" t="n"/>
      <c r="P13" s="233" t="n"/>
      <c r="Q13" s="233" t="n"/>
      <c r="R13" s="234" t="n"/>
      <c r="S13" s="234" t="n"/>
      <c r="T13" s="234" t="n"/>
      <c r="U13" s="234" t="n"/>
      <c r="V13" s="234" t="n"/>
      <c r="W13" s="234" t="n"/>
      <c r="X13" s="190" t="n"/>
      <c r="Y13" s="185" t="n"/>
      <c r="Z13" s="185" t="n"/>
      <c r="AA13" s="191" t="n"/>
    </row>
    <row r="14" ht="42" customHeight="1" s="184">
      <c r="A14" s="224">
        <f>IF(OR(B14&lt;&gt;"",C14&lt;&gt;"",D14&lt;&gt;"",E14&lt;&gt;"",F14&lt;&gt;"",G14&lt;&gt;"",H14&lt;&gt;"",I14&lt;&gt;"",J14&lt;&gt;"",M14&lt;&gt;"",Y14&lt;&gt;"",Z14&lt;&gt;""),ROW()-3,"")</f>
        <v/>
      </c>
      <c r="B14" s="185" t="n"/>
      <c r="C14" s="185" t="n"/>
      <c r="D14" s="231" t="n"/>
      <c r="E14" s="185" t="n"/>
      <c r="F14" s="185" t="n"/>
      <c r="G14" s="232" t="n"/>
      <c r="H14" s="232" t="n"/>
      <c r="I14" s="231" t="n"/>
      <c r="J14" s="232" t="n"/>
      <c r="K14" s="185" t="n"/>
      <c r="L14" s="231" t="n"/>
      <c r="M14" s="232" t="n"/>
      <c r="N14" s="233" t="n"/>
      <c r="O14" s="233" t="n"/>
      <c r="P14" s="233" t="n"/>
      <c r="Q14" s="233" t="n"/>
      <c r="R14" s="234" t="n"/>
      <c r="S14" s="234" t="n"/>
      <c r="T14" s="234" t="n"/>
      <c r="U14" s="234" t="n"/>
      <c r="V14" s="234" t="n"/>
      <c r="W14" s="234" t="n"/>
      <c r="X14" s="190" t="n"/>
      <c r="Y14" s="185" t="n"/>
      <c r="Z14" s="185" t="n"/>
      <c r="AA14" s="191" t="n"/>
    </row>
    <row r="15" ht="42" customHeight="1" s="184">
      <c r="A15" s="224">
        <f>IF(OR(B15&lt;&gt;"",C15&lt;&gt;"",D15&lt;&gt;"",E15&lt;&gt;"",F15&lt;&gt;"",G15&lt;&gt;"",H15&lt;&gt;"",I15&lt;&gt;"",J15&lt;&gt;"",M15&lt;&gt;"",Y15&lt;&gt;"",Z15&lt;&gt;""),ROW()-3,"")</f>
        <v/>
      </c>
      <c r="B15" s="185" t="n"/>
      <c r="C15" s="185" t="n"/>
      <c r="D15" s="231" t="n"/>
      <c r="E15" s="185" t="n"/>
      <c r="F15" s="185" t="n"/>
      <c r="G15" s="232" t="n"/>
      <c r="H15" s="232" t="n"/>
      <c r="I15" s="231" t="n"/>
      <c r="J15" s="232" t="n"/>
      <c r="K15" s="185" t="n"/>
      <c r="L15" s="231" t="n"/>
      <c r="M15" s="232" t="n"/>
      <c r="N15" s="233" t="n"/>
      <c r="O15" s="233" t="n"/>
      <c r="P15" s="233" t="n"/>
      <c r="Q15" s="233" t="n"/>
      <c r="R15" s="234" t="n"/>
      <c r="S15" s="234" t="n"/>
      <c r="T15" s="234" t="n"/>
      <c r="U15" s="234" t="n"/>
      <c r="V15" s="234" t="n"/>
      <c r="W15" s="234" t="n"/>
      <c r="X15" s="190" t="n"/>
      <c r="Y15" s="185" t="n"/>
      <c r="Z15" s="185" t="n"/>
      <c r="AA15" s="191" t="n"/>
    </row>
    <row r="16" ht="42" customHeight="1" s="184">
      <c r="A16" s="224">
        <f>IF(OR(B16&lt;&gt;"",C16&lt;&gt;"",D16&lt;&gt;"",E16&lt;&gt;"",F16&lt;&gt;"",G16&lt;&gt;"",H16&lt;&gt;"",I16&lt;&gt;"",J16&lt;&gt;"",M16&lt;&gt;"",Y16&lt;&gt;"",Z16&lt;&gt;""),ROW()-3,"")</f>
        <v/>
      </c>
      <c r="B16" s="185" t="n"/>
      <c r="C16" s="185" t="n"/>
      <c r="D16" s="231" t="n"/>
      <c r="E16" s="185" t="n"/>
      <c r="F16" s="185" t="n"/>
      <c r="G16" s="232" t="n"/>
      <c r="H16" s="232" t="n"/>
      <c r="I16" s="231" t="n"/>
      <c r="J16" s="232" t="n"/>
      <c r="K16" s="185" t="n"/>
      <c r="L16" s="231" t="n"/>
      <c r="M16" s="232" t="n"/>
      <c r="N16" s="233" t="n"/>
      <c r="O16" s="233" t="n"/>
      <c r="P16" s="233" t="n"/>
      <c r="Q16" s="233" t="n"/>
      <c r="R16" s="234" t="n"/>
      <c r="S16" s="234" t="n"/>
      <c r="T16" s="234" t="n"/>
      <c r="U16" s="234" t="n"/>
      <c r="V16" s="234" t="n"/>
      <c r="W16" s="234" t="n"/>
      <c r="X16" s="190" t="n"/>
      <c r="Y16" s="185" t="n"/>
      <c r="Z16" s="185" t="n"/>
      <c r="AA16" s="191" t="n"/>
    </row>
    <row r="17" ht="42" customHeight="1" s="184">
      <c r="A17" s="224">
        <f>IF(OR(B17&lt;&gt;"",C17&lt;&gt;"",D17&lt;&gt;"",E17&lt;&gt;"",F17&lt;&gt;"",G17&lt;&gt;"",H17&lt;&gt;"",I17&lt;&gt;"",J17&lt;&gt;"",M17&lt;&gt;"",Y17&lt;&gt;"",Z17&lt;&gt;""),ROW()-3,"")</f>
        <v/>
      </c>
      <c r="B17" s="185" t="n"/>
      <c r="C17" s="185" t="n"/>
      <c r="D17" s="231" t="n"/>
      <c r="E17" s="185" t="n"/>
      <c r="F17" s="185" t="n"/>
      <c r="G17" s="232" t="n"/>
      <c r="H17" s="232" t="n"/>
      <c r="I17" s="231" t="n"/>
      <c r="J17" s="232" t="n"/>
      <c r="K17" s="185" t="n"/>
      <c r="L17" s="231" t="n"/>
      <c r="M17" s="232" t="n"/>
      <c r="N17" s="233" t="n"/>
      <c r="O17" s="233" t="n"/>
      <c r="P17" s="233" t="n"/>
      <c r="Q17" s="233" t="n"/>
      <c r="R17" s="234" t="n"/>
      <c r="S17" s="234" t="n"/>
      <c r="T17" s="234" t="n"/>
      <c r="U17" s="234" t="n"/>
      <c r="V17" s="234" t="n"/>
      <c r="W17" s="234" t="n"/>
      <c r="X17" s="190" t="n"/>
      <c r="Y17" s="185" t="n"/>
      <c r="Z17" s="185" t="n"/>
      <c r="AA17" s="191" t="n"/>
    </row>
    <row r="18" ht="42" customHeight="1" s="184">
      <c r="A18" s="224">
        <f>IF(OR(B18&lt;&gt;"",C18&lt;&gt;"",D18&lt;&gt;"",E18&lt;&gt;"",F18&lt;&gt;"",G18&lt;&gt;"",H18&lt;&gt;"",I18&lt;&gt;"",J18&lt;&gt;"",M18&lt;&gt;"",Y18&lt;&gt;"",Z18&lt;&gt;""),ROW()-3,"")</f>
        <v/>
      </c>
      <c r="B18" s="185" t="n"/>
      <c r="C18" s="185" t="n"/>
      <c r="D18" s="231" t="n"/>
      <c r="E18" s="185" t="n"/>
      <c r="F18" s="185" t="n"/>
      <c r="G18" s="232" t="n"/>
      <c r="H18" s="232" t="n"/>
      <c r="I18" s="231" t="n"/>
      <c r="J18" s="232" t="n"/>
      <c r="K18" s="185" t="n"/>
      <c r="L18" s="231" t="n"/>
      <c r="M18" s="232" t="n"/>
      <c r="N18" s="233" t="n"/>
      <c r="O18" s="233" t="n"/>
      <c r="P18" s="233" t="n"/>
      <c r="Q18" s="233" t="n"/>
      <c r="R18" s="234" t="n"/>
      <c r="S18" s="234" t="n"/>
      <c r="T18" s="234" t="n"/>
      <c r="U18" s="234" t="n"/>
      <c r="V18" s="234" t="n"/>
      <c r="W18" s="234" t="n"/>
      <c r="X18" s="190" t="n"/>
      <c r="Y18" s="185" t="n"/>
      <c r="Z18" s="185" t="n"/>
      <c r="AA18" s="191" t="n"/>
    </row>
    <row r="19" ht="42" customHeight="1" s="184">
      <c r="A19" s="224">
        <f>IF(OR(B19&lt;&gt;"",C19&lt;&gt;"",D19&lt;&gt;"",E19&lt;&gt;"",F19&lt;&gt;"",G19&lt;&gt;"",H19&lt;&gt;"",I19&lt;&gt;"",J19&lt;&gt;"",M19&lt;&gt;"",Y19&lt;&gt;"",Z19&lt;&gt;""),ROW()-3,"")</f>
        <v/>
      </c>
      <c r="B19" s="185" t="n"/>
      <c r="C19" s="185" t="n"/>
      <c r="D19" s="231" t="n"/>
      <c r="E19" s="185" t="n"/>
      <c r="F19" s="185" t="n"/>
      <c r="G19" s="232" t="n"/>
      <c r="H19" s="232" t="n"/>
      <c r="I19" s="231" t="n"/>
      <c r="J19" s="232" t="n"/>
      <c r="K19" s="185" t="n"/>
      <c r="L19" s="231" t="n"/>
      <c r="M19" s="232" t="n"/>
      <c r="N19" s="233" t="n"/>
      <c r="O19" s="233" t="n"/>
      <c r="P19" s="233" t="n"/>
      <c r="Q19" s="233" t="n"/>
      <c r="R19" s="234" t="n"/>
      <c r="S19" s="234" t="n"/>
      <c r="T19" s="234" t="n"/>
      <c r="U19" s="234" t="n"/>
      <c r="V19" s="234" t="n"/>
      <c r="W19" s="234" t="n"/>
      <c r="X19" s="190" t="n"/>
      <c r="Y19" s="185" t="n"/>
      <c r="Z19" s="185" t="n"/>
      <c r="AA19" s="191" t="n"/>
    </row>
    <row r="20" ht="42" customHeight="1" s="184">
      <c r="A20" s="224">
        <f>IF(OR(B20&lt;&gt;"",C20&lt;&gt;"",D20&lt;&gt;"",E20&lt;&gt;"",F20&lt;&gt;"",G20&lt;&gt;"",H20&lt;&gt;"",I20&lt;&gt;"",J20&lt;&gt;"",M20&lt;&gt;"",Y20&lt;&gt;"",Z20&lt;&gt;""),ROW()-3,"")</f>
        <v/>
      </c>
      <c r="B20" s="185" t="n"/>
      <c r="C20" s="185" t="n"/>
      <c r="D20" s="231" t="n"/>
      <c r="E20" s="185" t="n"/>
      <c r="F20" s="185" t="n"/>
      <c r="G20" s="232" t="n"/>
      <c r="H20" s="232" t="n"/>
      <c r="I20" s="231" t="n"/>
      <c r="J20" s="232" t="n"/>
      <c r="K20" s="185" t="n"/>
      <c r="L20" s="231" t="n"/>
      <c r="M20" s="232" t="n"/>
      <c r="N20" s="233" t="n"/>
      <c r="O20" s="233" t="n"/>
      <c r="P20" s="233" t="n"/>
      <c r="Q20" s="233" t="n"/>
      <c r="R20" s="234" t="n"/>
      <c r="S20" s="234" t="n"/>
      <c r="T20" s="234" t="n"/>
      <c r="U20" s="234" t="n"/>
      <c r="V20" s="234" t="n"/>
      <c r="W20" s="234" t="n"/>
      <c r="X20" s="190" t="n"/>
      <c r="Y20" s="185" t="n"/>
      <c r="Z20" s="185" t="n"/>
      <c r="AA20" s="191" t="n"/>
    </row>
    <row r="21" ht="42" customHeight="1" s="184">
      <c r="A21" s="224">
        <f>IF(OR(B21&lt;&gt;"",C21&lt;&gt;"",D21&lt;&gt;"",E21&lt;&gt;"",F21&lt;&gt;"",G21&lt;&gt;"",H21&lt;&gt;"",I21&lt;&gt;"",J21&lt;&gt;"",M21&lt;&gt;"",Y21&lt;&gt;"",Z21&lt;&gt;""),ROW()-3,"")</f>
        <v/>
      </c>
      <c r="B21" s="185" t="n"/>
      <c r="C21" s="185" t="n"/>
      <c r="D21" s="231" t="n"/>
      <c r="E21" s="185" t="n"/>
      <c r="F21" s="185" t="n"/>
      <c r="G21" s="232" t="n"/>
      <c r="H21" s="232" t="n"/>
      <c r="I21" s="231" t="n"/>
      <c r="J21" s="232" t="n"/>
      <c r="K21" s="185" t="n"/>
      <c r="L21" s="231" t="n"/>
      <c r="M21" s="232" t="n"/>
      <c r="N21" s="233" t="n"/>
      <c r="O21" s="233" t="n"/>
      <c r="P21" s="233" t="n"/>
      <c r="Q21" s="233" t="n"/>
      <c r="R21" s="234" t="n"/>
      <c r="S21" s="234" t="n"/>
      <c r="T21" s="234" t="n"/>
      <c r="U21" s="234" t="n"/>
      <c r="V21" s="234" t="n"/>
      <c r="W21" s="234" t="n"/>
      <c r="X21" s="190" t="n"/>
      <c r="Y21" s="185" t="n"/>
      <c r="Z21" s="185" t="n"/>
      <c r="AA21" s="191" t="n"/>
    </row>
    <row r="22" ht="42" customHeight="1" s="184">
      <c r="A22" s="224">
        <f>IF(OR(B22&lt;&gt;"",C22&lt;&gt;"",D22&lt;&gt;"",E22&lt;&gt;"",F22&lt;&gt;"",G22&lt;&gt;"",H22&lt;&gt;"",I22&lt;&gt;"",J22&lt;&gt;"",M22&lt;&gt;"",Y22&lt;&gt;"",Z22&lt;&gt;""),ROW()-3,"")</f>
        <v/>
      </c>
      <c r="B22" s="185" t="n"/>
      <c r="C22" s="185" t="n"/>
      <c r="D22" s="231" t="n"/>
      <c r="E22" s="185" t="n"/>
      <c r="F22" s="185" t="n"/>
      <c r="G22" s="232" t="n"/>
      <c r="H22" s="232" t="n"/>
      <c r="I22" s="231" t="n"/>
      <c r="J22" s="232" t="n"/>
      <c r="K22" s="185" t="n"/>
      <c r="L22" s="231" t="n"/>
      <c r="M22" s="232" t="n"/>
      <c r="N22" s="233" t="n"/>
      <c r="O22" s="233" t="n"/>
      <c r="P22" s="233" t="n"/>
      <c r="Q22" s="233" t="n"/>
      <c r="R22" s="234" t="n"/>
      <c r="S22" s="234" t="n"/>
      <c r="T22" s="234" t="n"/>
      <c r="U22" s="234" t="n"/>
      <c r="V22" s="234" t="n"/>
      <c r="W22" s="234" t="n"/>
      <c r="X22" s="190" t="n"/>
      <c r="Y22" s="185" t="n"/>
      <c r="Z22" s="185" t="n"/>
      <c r="AA22" s="191" t="n"/>
    </row>
    <row r="23" ht="42" customHeight="1" s="184">
      <c r="A23" s="224">
        <f>IF(OR(B23&lt;&gt;"",C23&lt;&gt;"",D23&lt;&gt;"",E23&lt;&gt;"",F23&lt;&gt;"",G23&lt;&gt;"",H23&lt;&gt;"",I23&lt;&gt;"",J23&lt;&gt;"",M23&lt;&gt;"",Y23&lt;&gt;"",Z23&lt;&gt;""),ROW()-3,"")</f>
        <v/>
      </c>
      <c r="B23" s="185" t="n"/>
      <c r="C23" s="185" t="n"/>
      <c r="D23" s="231" t="n"/>
      <c r="E23" s="185" t="n"/>
      <c r="F23" s="185" t="n"/>
      <c r="G23" s="232" t="n"/>
      <c r="H23" s="232" t="n"/>
      <c r="I23" s="231" t="n"/>
      <c r="J23" s="232" t="n"/>
      <c r="K23" s="185" t="n"/>
      <c r="L23" s="231" t="n"/>
      <c r="M23" s="232" t="n"/>
      <c r="N23" s="233" t="n"/>
      <c r="O23" s="233" t="n"/>
      <c r="P23" s="233" t="n"/>
      <c r="Q23" s="233" t="n"/>
      <c r="R23" s="234" t="n"/>
      <c r="S23" s="234" t="n"/>
      <c r="T23" s="234" t="n"/>
      <c r="U23" s="234" t="n"/>
      <c r="V23" s="234" t="n"/>
      <c r="W23" s="234" t="n"/>
      <c r="X23" s="190" t="n"/>
      <c r="Y23" s="185" t="n"/>
      <c r="Z23" s="185" t="n"/>
      <c r="AA23" s="191" t="n"/>
    </row>
    <row r="24" ht="42" customHeight="1" s="184">
      <c r="A24" s="224">
        <f>IF(OR(B24&lt;&gt;"",C24&lt;&gt;"",D24&lt;&gt;"",E24&lt;&gt;"",F24&lt;&gt;"",G24&lt;&gt;"",H24&lt;&gt;"",I24&lt;&gt;"",J24&lt;&gt;"",M24&lt;&gt;"",Y24&lt;&gt;"",Z24&lt;&gt;""),ROW()-3,"")</f>
        <v/>
      </c>
      <c r="B24" s="185" t="n"/>
      <c r="C24" s="185" t="n"/>
      <c r="D24" s="231" t="n"/>
      <c r="E24" s="185" t="n"/>
      <c r="F24" s="185" t="n"/>
      <c r="G24" s="232" t="n"/>
      <c r="H24" s="232" t="n"/>
      <c r="I24" s="231" t="n"/>
      <c r="J24" s="232" t="n"/>
      <c r="K24" s="185" t="n"/>
      <c r="L24" s="231" t="n"/>
      <c r="M24" s="232" t="n"/>
      <c r="N24" s="233" t="n"/>
      <c r="O24" s="233" t="n"/>
      <c r="P24" s="233" t="n"/>
      <c r="Q24" s="233" t="n"/>
      <c r="R24" s="234" t="n"/>
      <c r="S24" s="234" t="n"/>
      <c r="T24" s="234" t="n"/>
      <c r="U24" s="234" t="n"/>
      <c r="V24" s="234" t="n"/>
      <c r="W24" s="234" t="n"/>
      <c r="X24" s="190" t="n"/>
      <c r="Y24" s="185" t="n"/>
      <c r="Z24" s="185" t="n"/>
      <c r="AA24" s="191" t="n"/>
    </row>
    <row r="25" ht="42" customHeight="1" s="184">
      <c r="A25" s="224">
        <f>IF(OR(B25&lt;&gt;"",C25&lt;&gt;"",D25&lt;&gt;"",E25&lt;&gt;"",F25&lt;&gt;"",G25&lt;&gt;"",H25&lt;&gt;"",I25&lt;&gt;"",J25&lt;&gt;"",M25&lt;&gt;"",Y25&lt;&gt;"",Z25&lt;&gt;""),ROW()-3,"")</f>
        <v/>
      </c>
      <c r="B25" s="185" t="n"/>
      <c r="C25" s="185" t="n"/>
      <c r="D25" s="231" t="n"/>
      <c r="E25" s="185" t="n"/>
      <c r="F25" s="185" t="n"/>
      <c r="G25" s="232" t="n"/>
      <c r="H25" s="232" t="n"/>
      <c r="I25" s="231" t="n"/>
      <c r="J25" s="232" t="n"/>
      <c r="K25" s="185" t="n"/>
      <c r="L25" s="231" t="n"/>
      <c r="M25" s="232" t="n"/>
      <c r="N25" s="233" t="n"/>
      <c r="O25" s="233" t="n"/>
      <c r="P25" s="233" t="n"/>
      <c r="Q25" s="233" t="n"/>
      <c r="R25" s="234" t="n"/>
      <c r="S25" s="234" t="n"/>
      <c r="T25" s="234" t="n"/>
      <c r="U25" s="234" t="n"/>
      <c r="V25" s="234" t="n"/>
      <c r="W25" s="234" t="n"/>
      <c r="X25" s="190" t="n"/>
      <c r="Y25" s="185" t="n"/>
      <c r="Z25" s="185" t="n"/>
      <c r="AA25" s="191" t="n"/>
    </row>
    <row r="26" ht="42" customHeight="1" s="184">
      <c r="A26" s="224">
        <f>IF(OR(B26&lt;&gt;"",C26&lt;&gt;"",D26&lt;&gt;"",E26&lt;&gt;"",F26&lt;&gt;"",G26&lt;&gt;"",H26&lt;&gt;"",I26&lt;&gt;"",J26&lt;&gt;"",M26&lt;&gt;"",Y26&lt;&gt;"",Z26&lt;&gt;""),ROW()-3,"")</f>
        <v/>
      </c>
      <c r="B26" s="185" t="n"/>
      <c r="C26" s="185" t="n"/>
      <c r="D26" s="231" t="n"/>
      <c r="E26" s="185" t="n"/>
      <c r="F26" s="185" t="n"/>
      <c r="G26" s="232" t="n"/>
      <c r="H26" s="232" t="n"/>
      <c r="I26" s="231" t="n"/>
      <c r="J26" s="232" t="n"/>
      <c r="K26" s="185" t="n"/>
      <c r="L26" s="231" t="n"/>
      <c r="M26" s="232" t="n"/>
      <c r="N26" s="233" t="n"/>
      <c r="O26" s="233" t="n"/>
      <c r="P26" s="233" t="n"/>
      <c r="Q26" s="233" t="n"/>
      <c r="R26" s="234" t="n"/>
      <c r="S26" s="234" t="n"/>
      <c r="T26" s="234" t="n"/>
      <c r="U26" s="234" t="n"/>
      <c r="V26" s="234" t="n"/>
      <c r="W26" s="234" t="n"/>
      <c r="X26" s="190" t="n"/>
      <c r="Y26" s="185" t="n"/>
      <c r="Z26" s="185" t="n"/>
      <c r="AA26" s="191" t="n"/>
    </row>
    <row r="27" ht="42" customHeight="1" s="184">
      <c r="A27" s="224">
        <f>IF(OR(B27&lt;&gt;"",C27&lt;&gt;"",D27&lt;&gt;"",E27&lt;&gt;"",F27&lt;&gt;"",G27&lt;&gt;"",H27&lt;&gt;"",I27&lt;&gt;"",J27&lt;&gt;"",M27&lt;&gt;"",Y27&lt;&gt;"",Z27&lt;&gt;""),ROW()-3,"")</f>
        <v/>
      </c>
      <c r="B27" s="185" t="n"/>
      <c r="C27" s="185" t="n"/>
      <c r="D27" s="231" t="n"/>
      <c r="E27" s="185" t="n"/>
      <c r="F27" s="185" t="n"/>
      <c r="G27" s="232" t="n"/>
      <c r="H27" s="232" t="n"/>
      <c r="I27" s="231" t="n"/>
      <c r="J27" s="232" t="n"/>
      <c r="K27" s="185" t="n"/>
      <c r="L27" s="231" t="n"/>
      <c r="M27" s="232" t="n"/>
      <c r="N27" s="233" t="n"/>
      <c r="O27" s="233" t="n"/>
      <c r="P27" s="233" t="n"/>
      <c r="Q27" s="233" t="n"/>
      <c r="R27" s="234" t="n"/>
      <c r="S27" s="234" t="n"/>
      <c r="T27" s="234" t="n"/>
      <c r="U27" s="234" t="n"/>
      <c r="V27" s="234" t="n"/>
      <c r="W27" s="234" t="n"/>
      <c r="X27" s="190" t="n"/>
      <c r="Y27" s="185" t="n"/>
      <c r="Z27" s="185" t="n"/>
      <c r="AA27" s="191" t="n"/>
    </row>
    <row r="28" ht="42" customHeight="1" s="184">
      <c r="A28" s="224">
        <f>IF(OR(B28&lt;&gt;"",C28&lt;&gt;"",D28&lt;&gt;"",E28&lt;&gt;"",F28&lt;&gt;"",G28&lt;&gt;"",H28&lt;&gt;"",I28&lt;&gt;"",J28&lt;&gt;"",M28&lt;&gt;"",Y28&lt;&gt;"",Z28&lt;&gt;""),ROW()-3,"")</f>
        <v/>
      </c>
      <c r="B28" s="185" t="n"/>
      <c r="C28" s="185" t="n"/>
      <c r="D28" s="231" t="n"/>
      <c r="E28" s="185" t="n"/>
      <c r="F28" s="185" t="n"/>
      <c r="G28" s="232" t="n"/>
      <c r="H28" s="232" t="n"/>
      <c r="I28" s="231" t="n"/>
      <c r="J28" s="232" t="n"/>
      <c r="K28" s="185" t="n"/>
      <c r="L28" s="231" t="n"/>
      <c r="M28" s="232" t="n"/>
      <c r="N28" s="233" t="n"/>
      <c r="O28" s="233" t="n"/>
      <c r="P28" s="233" t="n"/>
      <c r="Q28" s="233" t="n"/>
      <c r="R28" s="234" t="n"/>
      <c r="S28" s="234" t="n"/>
      <c r="T28" s="234" t="n"/>
      <c r="U28" s="234" t="n"/>
      <c r="V28" s="234" t="n"/>
      <c r="W28" s="234" t="n"/>
      <c r="X28" s="190" t="n"/>
      <c r="Y28" s="185" t="n"/>
      <c r="Z28" s="185" t="n"/>
      <c r="AA28" s="191" t="n"/>
    </row>
    <row r="29" ht="42" customHeight="1" s="184">
      <c r="A29" s="224">
        <f>IF(OR(B29&lt;&gt;"",C29&lt;&gt;"",D29&lt;&gt;"",E29&lt;&gt;"",F29&lt;&gt;"",G29&lt;&gt;"",H29&lt;&gt;"",I29&lt;&gt;"",J29&lt;&gt;"",M29&lt;&gt;"",Y29&lt;&gt;"",Z29&lt;&gt;""),ROW()-3,"")</f>
        <v/>
      </c>
      <c r="B29" s="185" t="n"/>
      <c r="C29" s="185" t="n"/>
      <c r="D29" s="231" t="n"/>
      <c r="E29" s="185" t="n"/>
      <c r="F29" s="185" t="n"/>
      <c r="G29" s="232" t="n"/>
      <c r="H29" s="232" t="n"/>
      <c r="I29" s="231" t="n"/>
      <c r="J29" s="232" t="n"/>
      <c r="K29" s="185" t="n"/>
      <c r="L29" s="231" t="n"/>
      <c r="M29" s="232" t="n"/>
      <c r="N29" s="233" t="n"/>
      <c r="O29" s="233" t="n"/>
      <c r="P29" s="233" t="n"/>
      <c r="Q29" s="233" t="n"/>
      <c r="R29" s="234" t="n"/>
      <c r="S29" s="234" t="n"/>
      <c r="T29" s="234" t="n"/>
      <c r="U29" s="234" t="n"/>
      <c r="V29" s="234" t="n"/>
      <c r="W29" s="234" t="n"/>
      <c r="X29" s="190" t="n"/>
      <c r="Y29" s="185" t="n"/>
      <c r="Z29" s="185" t="n"/>
      <c r="AA29" s="191" t="n"/>
    </row>
    <row r="30" ht="42" customHeight="1" s="184">
      <c r="A30" s="224">
        <f>IF(OR(B30&lt;&gt;"",C30&lt;&gt;"",D30&lt;&gt;"",E30&lt;&gt;"",F30&lt;&gt;"",G30&lt;&gt;"",H30&lt;&gt;"",I30&lt;&gt;"",J30&lt;&gt;"",M30&lt;&gt;"",Y30&lt;&gt;"",Z30&lt;&gt;""),ROW()-3,"")</f>
        <v/>
      </c>
      <c r="B30" s="185" t="n"/>
      <c r="C30" s="185" t="n"/>
      <c r="D30" s="231" t="n"/>
      <c r="E30" s="185" t="n"/>
      <c r="F30" s="185" t="n"/>
      <c r="G30" s="232" t="n"/>
      <c r="H30" s="232" t="n"/>
      <c r="I30" s="231" t="n"/>
      <c r="J30" s="232" t="n"/>
      <c r="K30" s="185" t="n"/>
      <c r="L30" s="231" t="n"/>
      <c r="M30" s="232" t="n"/>
      <c r="N30" s="233" t="n"/>
      <c r="O30" s="233" t="n"/>
      <c r="P30" s="233" t="n"/>
      <c r="Q30" s="233" t="n"/>
      <c r="R30" s="234" t="n"/>
      <c r="S30" s="234" t="n"/>
      <c r="T30" s="234" t="n"/>
      <c r="U30" s="234" t="n"/>
      <c r="V30" s="234" t="n"/>
      <c r="W30" s="234" t="n"/>
      <c r="X30" s="190" t="n"/>
      <c r="Y30" s="185" t="n"/>
      <c r="Z30" s="185" t="n"/>
      <c r="AA30" s="191" t="n"/>
    </row>
    <row r="31" ht="42" customHeight="1" s="184">
      <c r="A31" s="224">
        <f>IF(OR(B31&lt;&gt;"",C31&lt;&gt;"",D31&lt;&gt;"",E31&lt;&gt;"",F31&lt;&gt;"",G31&lt;&gt;"",H31&lt;&gt;"",I31&lt;&gt;"",J31&lt;&gt;"",M31&lt;&gt;"",Y31&lt;&gt;"",Z31&lt;&gt;""),ROW()-3,"")</f>
        <v/>
      </c>
      <c r="B31" s="185" t="n"/>
      <c r="C31" s="185" t="n"/>
      <c r="D31" s="231" t="n"/>
      <c r="E31" s="185" t="n"/>
      <c r="F31" s="185" t="n"/>
      <c r="G31" s="232" t="n"/>
      <c r="H31" s="232" t="n"/>
      <c r="I31" s="231" t="n"/>
      <c r="J31" s="232" t="n"/>
      <c r="K31" s="185" t="n"/>
      <c r="L31" s="231" t="n"/>
      <c r="M31" s="232" t="n"/>
      <c r="N31" s="233" t="n"/>
      <c r="O31" s="233" t="n"/>
      <c r="P31" s="233" t="n"/>
      <c r="Q31" s="233" t="n"/>
      <c r="R31" s="234" t="n"/>
      <c r="S31" s="234" t="n"/>
      <c r="T31" s="234" t="n"/>
      <c r="U31" s="234" t="n"/>
      <c r="V31" s="234" t="n"/>
      <c r="W31" s="234" t="n"/>
      <c r="X31" s="190" t="n"/>
      <c r="Y31" s="185" t="n"/>
      <c r="Z31" s="185" t="n"/>
      <c r="AA31" s="191" t="n"/>
    </row>
    <row r="32" ht="42" customHeight="1" s="184">
      <c r="A32" s="224">
        <f>IF(OR(B32&lt;&gt;"",C32&lt;&gt;"",D32&lt;&gt;"",E32&lt;&gt;"",F32&lt;&gt;"",G32&lt;&gt;"",H32&lt;&gt;"",I32&lt;&gt;"",J32&lt;&gt;"",M32&lt;&gt;"",Y32&lt;&gt;"",Z32&lt;&gt;""),ROW()-3,"")</f>
        <v/>
      </c>
      <c r="B32" s="185" t="n"/>
      <c r="C32" s="185" t="n"/>
      <c r="D32" s="231" t="n"/>
      <c r="E32" s="185" t="n"/>
      <c r="F32" s="185" t="n"/>
      <c r="G32" s="232" t="n"/>
      <c r="H32" s="232" t="n"/>
      <c r="I32" s="231" t="n"/>
      <c r="J32" s="232" t="n"/>
      <c r="K32" s="185" t="n"/>
      <c r="L32" s="231" t="n"/>
      <c r="M32" s="232" t="n"/>
      <c r="N32" s="233" t="n"/>
      <c r="O32" s="233" t="n"/>
      <c r="P32" s="233" t="n"/>
      <c r="Q32" s="233" t="n"/>
      <c r="R32" s="234" t="n"/>
      <c r="S32" s="234" t="n"/>
      <c r="T32" s="234" t="n"/>
      <c r="U32" s="234" t="n"/>
      <c r="V32" s="234" t="n"/>
      <c r="W32" s="234" t="n"/>
      <c r="X32" s="190" t="n"/>
      <c r="Y32" s="185" t="n"/>
      <c r="Z32" s="185" t="n"/>
      <c r="AA32" s="191" t="n"/>
    </row>
    <row r="33" ht="42" customHeight="1" s="184">
      <c r="A33" s="224">
        <f>IF(OR(B33&lt;&gt;"",C33&lt;&gt;"",D33&lt;&gt;"",E33&lt;&gt;"",F33&lt;&gt;"",G33&lt;&gt;"",H33&lt;&gt;"",I33&lt;&gt;"",J33&lt;&gt;"",M33&lt;&gt;"",Y33&lt;&gt;"",Z33&lt;&gt;""),ROW()-3,"")</f>
        <v/>
      </c>
      <c r="B33" s="185" t="n"/>
      <c r="C33" s="185" t="n"/>
      <c r="D33" s="231" t="n"/>
      <c r="E33" s="185" t="n"/>
      <c r="F33" s="185" t="n"/>
      <c r="G33" s="232" t="n"/>
      <c r="H33" s="232" t="n"/>
      <c r="I33" s="231" t="n"/>
      <c r="J33" s="232" t="n"/>
      <c r="K33" s="185" t="n"/>
      <c r="L33" s="231" t="n"/>
      <c r="M33" s="232" t="n"/>
      <c r="N33" s="233" t="n"/>
      <c r="O33" s="233" t="n"/>
      <c r="P33" s="233" t="n"/>
      <c r="Q33" s="233" t="n"/>
      <c r="R33" s="234" t="n"/>
      <c r="S33" s="234" t="n"/>
      <c r="T33" s="234" t="n"/>
      <c r="U33" s="234" t="n"/>
      <c r="V33" s="234" t="n"/>
      <c r="W33" s="234" t="n"/>
      <c r="X33" s="190" t="n"/>
      <c r="Y33" s="185" t="n"/>
      <c r="Z33" s="185" t="n"/>
      <c r="AA33" s="191" t="n"/>
    </row>
    <row r="34" ht="42" customHeight="1" s="184">
      <c r="A34" s="224">
        <f>IF(OR(B34&lt;&gt;"",C34&lt;&gt;"",D34&lt;&gt;"",E34&lt;&gt;"",F34&lt;&gt;"",G34&lt;&gt;"",H34&lt;&gt;"",I34&lt;&gt;"",J34&lt;&gt;"",M34&lt;&gt;"",Y34&lt;&gt;"",Z34&lt;&gt;""),ROW()-3,"")</f>
        <v/>
      </c>
      <c r="B34" s="185" t="n"/>
      <c r="C34" s="185" t="n"/>
      <c r="D34" s="231" t="n"/>
      <c r="E34" s="185" t="n"/>
      <c r="F34" s="185" t="n"/>
      <c r="G34" s="232" t="n"/>
      <c r="H34" s="232" t="n"/>
      <c r="I34" s="231" t="n"/>
      <c r="J34" s="232" t="n"/>
      <c r="K34" s="185" t="n"/>
      <c r="L34" s="231" t="n"/>
      <c r="M34" s="232" t="n"/>
      <c r="N34" s="233" t="n"/>
      <c r="O34" s="233" t="n"/>
      <c r="P34" s="233" t="n"/>
      <c r="Q34" s="233" t="n"/>
      <c r="R34" s="234" t="n"/>
      <c r="S34" s="234" t="n"/>
      <c r="T34" s="234" t="n"/>
      <c r="U34" s="234" t="n"/>
      <c r="V34" s="234" t="n"/>
      <c r="W34" s="234" t="n"/>
      <c r="X34" s="190" t="n"/>
      <c r="Y34" s="185" t="n"/>
      <c r="Z34" s="185" t="n"/>
      <c r="AA34" s="191" t="n"/>
    </row>
    <row r="35" ht="42" customHeight="1" s="184">
      <c r="A35" s="224">
        <f>IF(OR(B35&lt;&gt;"",C35&lt;&gt;"",D35&lt;&gt;"",E35&lt;&gt;"",F35&lt;&gt;"",G35&lt;&gt;"",H35&lt;&gt;"",I35&lt;&gt;"",J35&lt;&gt;"",M35&lt;&gt;"",Y35&lt;&gt;"",Z35&lt;&gt;""),ROW()-3,"")</f>
        <v/>
      </c>
      <c r="B35" s="185" t="n"/>
      <c r="C35" s="185" t="n"/>
      <c r="D35" s="231" t="n"/>
      <c r="E35" s="185" t="n"/>
      <c r="F35" s="185" t="n"/>
      <c r="G35" s="232" t="n"/>
      <c r="H35" s="232" t="n"/>
      <c r="I35" s="231" t="n"/>
      <c r="J35" s="232" t="n"/>
      <c r="K35" s="185" t="n"/>
      <c r="L35" s="231" t="n"/>
      <c r="M35" s="232" t="n"/>
      <c r="N35" s="233" t="n"/>
      <c r="O35" s="233" t="n"/>
      <c r="P35" s="233" t="n"/>
      <c r="Q35" s="233" t="n"/>
      <c r="R35" s="234" t="n"/>
      <c r="S35" s="234" t="n"/>
      <c r="T35" s="234" t="n"/>
      <c r="U35" s="234" t="n"/>
      <c r="V35" s="234" t="n"/>
      <c r="W35" s="234" t="n"/>
      <c r="X35" s="190" t="n"/>
      <c r="Y35" s="185" t="n"/>
      <c r="Z35" s="185" t="n"/>
      <c r="AA35" s="191" t="n"/>
    </row>
    <row r="36" ht="42" customHeight="1" s="184">
      <c r="A36" s="224">
        <f>IF(OR(B36&lt;&gt;"",C36&lt;&gt;"",D36&lt;&gt;"",E36&lt;&gt;"",F36&lt;&gt;"",G36&lt;&gt;"",H36&lt;&gt;"",I36&lt;&gt;"",J36&lt;&gt;"",M36&lt;&gt;"",Y36&lt;&gt;"",Z36&lt;&gt;""),ROW()-3,"")</f>
        <v/>
      </c>
      <c r="B36" s="185" t="n"/>
      <c r="C36" s="185" t="n"/>
      <c r="D36" s="231" t="n"/>
      <c r="E36" s="185" t="n"/>
      <c r="F36" s="185" t="n"/>
      <c r="G36" s="232" t="n"/>
      <c r="H36" s="232" t="n"/>
      <c r="I36" s="231" t="n"/>
      <c r="J36" s="232" t="n"/>
      <c r="K36" s="185" t="n"/>
      <c r="L36" s="231" t="n"/>
      <c r="M36" s="232" t="n"/>
      <c r="N36" s="233" t="n"/>
      <c r="O36" s="233" t="n"/>
      <c r="P36" s="233" t="n"/>
      <c r="Q36" s="233" t="n"/>
      <c r="R36" s="234" t="n"/>
      <c r="S36" s="234" t="n"/>
      <c r="T36" s="234" t="n"/>
      <c r="U36" s="234" t="n"/>
      <c r="V36" s="234" t="n"/>
      <c r="W36" s="234" t="n"/>
      <c r="X36" s="190" t="n"/>
      <c r="Y36" s="185" t="n"/>
      <c r="Z36" s="185" t="n"/>
      <c r="AA36" s="191" t="n"/>
    </row>
    <row r="37" ht="42" customHeight="1" s="184">
      <c r="A37" s="224">
        <f>IF(OR(B37&lt;&gt;"",C37&lt;&gt;"",D37&lt;&gt;"",E37&lt;&gt;"",F37&lt;&gt;"",G37&lt;&gt;"",H37&lt;&gt;"",I37&lt;&gt;"",J37&lt;&gt;"",M37&lt;&gt;"",Y37&lt;&gt;"",Z37&lt;&gt;""),ROW()-3,"")</f>
        <v/>
      </c>
      <c r="B37" s="185" t="n"/>
      <c r="C37" s="185" t="n"/>
      <c r="D37" s="231" t="n"/>
      <c r="E37" s="185" t="n"/>
      <c r="F37" s="185" t="n"/>
      <c r="G37" s="232" t="n"/>
      <c r="H37" s="232" t="n"/>
      <c r="I37" s="231" t="n"/>
      <c r="J37" s="232" t="n"/>
      <c r="K37" s="185" t="n"/>
      <c r="L37" s="231" t="n"/>
      <c r="M37" s="232" t="n"/>
      <c r="N37" s="233" t="n"/>
      <c r="O37" s="233" t="n"/>
      <c r="P37" s="233" t="n"/>
      <c r="Q37" s="233" t="n"/>
      <c r="R37" s="234" t="n"/>
      <c r="S37" s="234" t="n"/>
      <c r="T37" s="234" t="n"/>
      <c r="U37" s="234" t="n"/>
      <c r="V37" s="234" t="n"/>
      <c r="W37" s="234" t="n"/>
      <c r="X37" s="190" t="n"/>
      <c r="Y37" s="185" t="n"/>
      <c r="Z37" s="185" t="n"/>
      <c r="AA37" s="191" t="n"/>
    </row>
    <row r="38" ht="42" customHeight="1" s="184">
      <c r="A38" s="224">
        <f>IF(OR(B38&lt;&gt;"",C38&lt;&gt;"",D38&lt;&gt;"",E38&lt;&gt;"",F38&lt;&gt;"",G38&lt;&gt;"",H38&lt;&gt;"",I38&lt;&gt;"",J38&lt;&gt;"",M38&lt;&gt;"",Y38&lt;&gt;"",Z38&lt;&gt;""),ROW()-3,"")</f>
        <v/>
      </c>
      <c r="B38" s="185" t="n"/>
      <c r="C38" s="185" t="n"/>
      <c r="D38" s="231" t="n"/>
      <c r="E38" s="185" t="n"/>
      <c r="F38" s="185" t="n"/>
      <c r="G38" s="232" t="n"/>
      <c r="H38" s="232" t="n"/>
      <c r="I38" s="231" t="n"/>
      <c r="J38" s="232" t="n"/>
      <c r="K38" s="185" t="n"/>
      <c r="L38" s="231" t="n"/>
      <c r="M38" s="232" t="n"/>
      <c r="N38" s="233" t="n"/>
      <c r="O38" s="233" t="n"/>
      <c r="P38" s="233" t="n"/>
      <c r="Q38" s="233" t="n"/>
      <c r="R38" s="234" t="n"/>
      <c r="S38" s="234" t="n"/>
      <c r="T38" s="234" t="n"/>
      <c r="U38" s="234" t="n"/>
      <c r="V38" s="234" t="n"/>
      <c r="W38" s="234" t="n"/>
      <c r="X38" s="190" t="n"/>
      <c r="Y38" s="185" t="n"/>
      <c r="Z38" s="185" t="n"/>
      <c r="AA38" s="191" t="n"/>
    </row>
    <row r="39" ht="42" customHeight="1" s="184">
      <c r="A39" s="224">
        <f>IF(OR(B39&lt;&gt;"",C39&lt;&gt;"",D39&lt;&gt;"",E39&lt;&gt;"",F39&lt;&gt;"",G39&lt;&gt;"",H39&lt;&gt;"",I39&lt;&gt;"",J39&lt;&gt;"",M39&lt;&gt;"",Y39&lt;&gt;"",Z39&lt;&gt;""),ROW()-3,"")</f>
        <v/>
      </c>
      <c r="B39" s="185" t="n"/>
      <c r="C39" s="185" t="n"/>
      <c r="D39" s="231" t="n"/>
      <c r="E39" s="185" t="n"/>
      <c r="F39" s="185" t="n"/>
      <c r="G39" s="232" t="n"/>
      <c r="H39" s="232" t="n"/>
      <c r="I39" s="231" t="n"/>
      <c r="J39" s="232" t="n"/>
      <c r="K39" s="185" t="n"/>
      <c r="L39" s="231" t="n"/>
      <c r="M39" s="232" t="n"/>
      <c r="N39" s="233" t="n"/>
      <c r="O39" s="233" t="n"/>
      <c r="P39" s="233" t="n"/>
      <c r="Q39" s="233" t="n"/>
      <c r="R39" s="234" t="n"/>
      <c r="S39" s="234" t="n"/>
      <c r="T39" s="234" t="n"/>
      <c r="U39" s="234" t="n"/>
      <c r="V39" s="234" t="n"/>
      <c r="W39" s="234" t="n"/>
      <c r="X39" s="190" t="n"/>
      <c r="Y39" s="185" t="n"/>
      <c r="Z39" s="185" t="n"/>
      <c r="AA39" s="191" t="n"/>
    </row>
    <row r="40" ht="42" customHeight="1" s="184">
      <c r="A40" s="224">
        <f>IF(OR(B40&lt;&gt;"",C40&lt;&gt;"",D40&lt;&gt;"",E40&lt;&gt;"",F40&lt;&gt;"",G40&lt;&gt;"",H40&lt;&gt;"",I40&lt;&gt;"",J40&lt;&gt;"",M40&lt;&gt;"",Y40&lt;&gt;"",Z40&lt;&gt;""),ROW()-3,"")</f>
        <v/>
      </c>
      <c r="B40" s="185" t="n"/>
      <c r="C40" s="185" t="n"/>
      <c r="D40" s="231" t="n"/>
      <c r="E40" s="185" t="n"/>
      <c r="F40" s="185" t="n"/>
      <c r="G40" s="232" t="n"/>
      <c r="H40" s="232" t="n"/>
      <c r="I40" s="231" t="n"/>
      <c r="J40" s="232" t="n"/>
      <c r="K40" s="185" t="n"/>
      <c r="L40" s="231" t="n"/>
      <c r="M40" s="232" t="n"/>
      <c r="N40" s="233" t="n"/>
      <c r="O40" s="233" t="n"/>
      <c r="P40" s="233" t="n"/>
      <c r="Q40" s="233" t="n"/>
      <c r="R40" s="234" t="n"/>
      <c r="S40" s="234" t="n"/>
      <c r="T40" s="234" t="n"/>
      <c r="U40" s="234" t="n"/>
      <c r="V40" s="234" t="n"/>
      <c r="W40" s="234" t="n"/>
      <c r="X40" s="190" t="n"/>
      <c r="Y40" s="185" t="n"/>
      <c r="Z40" s="185" t="n"/>
      <c r="AA40" s="191" t="n"/>
    </row>
    <row r="41" ht="42" customHeight="1" s="184">
      <c r="A41" s="224">
        <f>IF(OR(B41&lt;&gt;"",C41&lt;&gt;"",D41&lt;&gt;"",E41&lt;&gt;"",F41&lt;&gt;"",G41&lt;&gt;"",H41&lt;&gt;"",I41&lt;&gt;"",J41&lt;&gt;"",M41&lt;&gt;"",Y41&lt;&gt;"",Z41&lt;&gt;""),ROW()-3,"")</f>
        <v/>
      </c>
      <c r="B41" s="185" t="n"/>
      <c r="C41" s="185" t="n"/>
      <c r="D41" s="231" t="n"/>
      <c r="E41" s="185" t="n"/>
      <c r="F41" s="185" t="n"/>
      <c r="G41" s="232" t="n"/>
      <c r="H41" s="232" t="n"/>
      <c r="I41" s="231" t="n"/>
      <c r="J41" s="232" t="n"/>
      <c r="K41" s="185" t="n"/>
      <c r="L41" s="231" t="n"/>
      <c r="M41" s="232" t="n"/>
      <c r="N41" s="233" t="n"/>
      <c r="O41" s="233" t="n"/>
      <c r="P41" s="233" t="n"/>
      <c r="Q41" s="233" t="n"/>
      <c r="R41" s="234" t="n"/>
      <c r="S41" s="234" t="n"/>
      <c r="T41" s="234" t="n"/>
      <c r="U41" s="234" t="n"/>
      <c r="V41" s="234" t="n"/>
      <c r="W41" s="234" t="n"/>
      <c r="X41" s="190" t="n"/>
      <c r="Y41" s="185" t="n"/>
      <c r="Z41" s="185" t="n"/>
      <c r="AA41" s="191" t="n"/>
    </row>
    <row r="42" ht="42" customHeight="1" s="184">
      <c r="A42" s="224">
        <f>IF(OR(B42&lt;&gt;"",C42&lt;&gt;"",D42&lt;&gt;"",E42&lt;&gt;"",F42&lt;&gt;"",G42&lt;&gt;"",H42&lt;&gt;"",I42&lt;&gt;"",J42&lt;&gt;"",M42&lt;&gt;"",Y42&lt;&gt;"",Z42&lt;&gt;""),ROW()-3,"")</f>
        <v/>
      </c>
      <c r="B42" s="185" t="n"/>
      <c r="C42" s="185" t="n"/>
      <c r="D42" s="231" t="n"/>
      <c r="E42" s="185" t="n"/>
      <c r="F42" s="185" t="n"/>
      <c r="G42" s="232" t="n"/>
      <c r="H42" s="232" t="n"/>
      <c r="I42" s="231" t="n"/>
      <c r="J42" s="232" t="n"/>
      <c r="K42" s="185" t="n"/>
      <c r="L42" s="231" t="n"/>
      <c r="M42" s="232" t="n"/>
      <c r="N42" s="233" t="n"/>
      <c r="O42" s="233" t="n"/>
      <c r="P42" s="233" t="n"/>
      <c r="Q42" s="233" t="n"/>
      <c r="R42" s="234" t="n"/>
      <c r="S42" s="234" t="n"/>
      <c r="T42" s="234" t="n"/>
      <c r="U42" s="234" t="n"/>
      <c r="V42" s="234" t="n"/>
      <c r="W42" s="234" t="n"/>
      <c r="X42" s="190" t="n"/>
      <c r="Y42" s="185" t="n"/>
      <c r="Z42" s="185" t="n"/>
      <c r="AA42" s="191" t="n"/>
    </row>
    <row r="43" ht="42" customHeight="1" s="184">
      <c r="A43" s="224">
        <f>IF(OR(B43&lt;&gt;"",C43&lt;&gt;"",D43&lt;&gt;"",E43&lt;&gt;"",F43&lt;&gt;"",G43&lt;&gt;"",H43&lt;&gt;"",I43&lt;&gt;"",J43&lt;&gt;"",M43&lt;&gt;"",Y43&lt;&gt;"",Z43&lt;&gt;""),ROW()-3,"")</f>
        <v/>
      </c>
      <c r="B43" s="185" t="n"/>
      <c r="C43" s="185" t="n"/>
      <c r="D43" s="231" t="n"/>
      <c r="E43" s="185" t="n"/>
      <c r="F43" s="185" t="n"/>
      <c r="G43" s="232" t="n"/>
      <c r="H43" s="232" t="n"/>
      <c r="I43" s="231" t="n"/>
      <c r="J43" s="232" t="n"/>
      <c r="K43" s="185" t="n"/>
      <c r="L43" s="231" t="n"/>
      <c r="M43" s="232" t="n"/>
      <c r="N43" s="233" t="n"/>
      <c r="O43" s="233" t="n"/>
      <c r="P43" s="233" t="n"/>
      <c r="Q43" s="233" t="n"/>
      <c r="R43" s="234" t="n"/>
      <c r="S43" s="234" t="n"/>
      <c r="T43" s="234" t="n"/>
      <c r="U43" s="234" t="n"/>
      <c r="V43" s="234" t="n"/>
      <c r="W43" s="234" t="n"/>
      <c r="X43" s="190" t="n"/>
      <c r="Y43" s="185" t="n"/>
      <c r="Z43" s="185" t="n"/>
      <c r="AA43" s="191" t="n"/>
    </row>
    <row r="44" ht="42" customHeight="1" s="184">
      <c r="A44" s="224">
        <f>IF(OR(B44&lt;&gt;"",C44&lt;&gt;"",D44&lt;&gt;"",E44&lt;&gt;"",F44&lt;&gt;"",G44&lt;&gt;"",H44&lt;&gt;"",I44&lt;&gt;"",J44&lt;&gt;"",M44&lt;&gt;"",Y44&lt;&gt;"",Z44&lt;&gt;""),ROW()-3,"")</f>
        <v/>
      </c>
      <c r="B44" s="185" t="n"/>
      <c r="C44" s="185" t="n"/>
      <c r="D44" s="231" t="n"/>
      <c r="E44" s="185" t="n"/>
      <c r="F44" s="185" t="n"/>
      <c r="G44" s="232" t="n"/>
      <c r="H44" s="232" t="n"/>
      <c r="I44" s="231" t="n"/>
      <c r="J44" s="232" t="n"/>
      <c r="K44" s="185" t="n"/>
      <c r="L44" s="231" t="n"/>
      <c r="M44" s="232" t="n"/>
      <c r="N44" s="233" t="n"/>
      <c r="O44" s="233" t="n"/>
      <c r="P44" s="233" t="n"/>
      <c r="Q44" s="233" t="n"/>
      <c r="R44" s="234" t="n"/>
      <c r="S44" s="234" t="n"/>
      <c r="T44" s="234" t="n"/>
      <c r="U44" s="234" t="n"/>
      <c r="V44" s="234" t="n"/>
      <c r="W44" s="234" t="n"/>
      <c r="X44" s="190" t="n"/>
      <c r="Y44" s="185" t="n"/>
      <c r="Z44" s="185" t="n"/>
      <c r="AA44" s="191" t="n"/>
    </row>
    <row r="45" ht="42" customHeight="1" s="184">
      <c r="A45" s="224">
        <f>IF(OR(B45&lt;&gt;"",C45&lt;&gt;"",D45&lt;&gt;"",E45&lt;&gt;"",F45&lt;&gt;"",G45&lt;&gt;"",H45&lt;&gt;"",I45&lt;&gt;"",J45&lt;&gt;"",M45&lt;&gt;"",Y45&lt;&gt;"",Z45&lt;&gt;""),ROW()-3,"")</f>
        <v/>
      </c>
      <c r="B45" s="185" t="n"/>
      <c r="C45" s="185" t="n"/>
      <c r="D45" s="231" t="n"/>
      <c r="E45" s="185" t="n"/>
      <c r="F45" s="185" t="n"/>
      <c r="G45" s="232" t="n"/>
      <c r="H45" s="232" t="n"/>
      <c r="I45" s="231" t="n"/>
      <c r="J45" s="232" t="n"/>
      <c r="K45" s="185" t="n"/>
      <c r="L45" s="231" t="n"/>
      <c r="M45" s="232" t="n"/>
      <c r="N45" s="233" t="n"/>
      <c r="O45" s="233" t="n"/>
      <c r="P45" s="233" t="n"/>
      <c r="Q45" s="233" t="n"/>
      <c r="R45" s="234" t="n"/>
      <c r="S45" s="234" t="n"/>
      <c r="T45" s="234" t="n"/>
      <c r="U45" s="234" t="n"/>
      <c r="V45" s="234" t="n"/>
      <c r="W45" s="234" t="n"/>
      <c r="X45" s="190" t="n"/>
      <c r="Y45" s="185" t="n"/>
      <c r="Z45" s="185" t="n"/>
      <c r="AA45" s="191" t="n"/>
    </row>
    <row r="46" ht="42" customHeight="1" s="184">
      <c r="A46" s="224">
        <f>IF(OR(B46&lt;&gt;"",C46&lt;&gt;"",D46&lt;&gt;"",E46&lt;&gt;"",F46&lt;&gt;"",G46&lt;&gt;"",H46&lt;&gt;"",I46&lt;&gt;"",J46&lt;&gt;"",M46&lt;&gt;"",Y46&lt;&gt;"",Z46&lt;&gt;""),ROW()-3,"")</f>
        <v/>
      </c>
      <c r="B46" s="185" t="n"/>
      <c r="C46" s="185" t="n"/>
      <c r="D46" s="231" t="n"/>
      <c r="E46" s="185" t="n"/>
      <c r="F46" s="185" t="n"/>
      <c r="G46" s="232" t="n"/>
      <c r="H46" s="232" t="n"/>
      <c r="I46" s="231" t="n"/>
      <c r="J46" s="232" t="n"/>
      <c r="K46" s="185" t="n"/>
      <c r="L46" s="231" t="n"/>
      <c r="M46" s="232" t="n"/>
      <c r="N46" s="233" t="n"/>
      <c r="O46" s="233" t="n"/>
      <c r="P46" s="233" t="n"/>
      <c r="Q46" s="233" t="n"/>
      <c r="R46" s="234" t="n"/>
      <c r="S46" s="234" t="n"/>
      <c r="T46" s="234" t="n"/>
      <c r="U46" s="234" t="n"/>
      <c r="V46" s="234" t="n"/>
      <c r="W46" s="234" t="n"/>
      <c r="X46" s="190" t="n"/>
      <c r="Y46" s="185" t="n"/>
      <c r="Z46" s="185" t="n"/>
      <c r="AA46" s="191" t="n"/>
    </row>
    <row r="47" ht="42" customHeight="1" s="184">
      <c r="A47" s="224">
        <f>IF(OR(B47&lt;&gt;"",C47&lt;&gt;"",D47&lt;&gt;"",E47&lt;&gt;"",F47&lt;&gt;"",G47&lt;&gt;"",H47&lt;&gt;"",I47&lt;&gt;"",J47&lt;&gt;"",M47&lt;&gt;"",Y47&lt;&gt;"",Z47&lt;&gt;""),ROW()-3,"")</f>
        <v/>
      </c>
      <c r="B47" s="185" t="n"/>
      <c r="C47" s="185" t="n"/>
      <c r="D47" s="231" t="n"/>
      <c r="E47" s="185" t="n"/>
      <c r="F47" s="185" t="n"/>
      <c r="G47" s="232" t="n"/>
      <c r="H47" s="232" t="n"/>
      <c r="I47" s="231" t="n"/>
      <c r="J47" s="232" t="n"/>
      <c r="K47" s="185" t="n"/>
      <c r="L47" s="231" t="n"/>
      <c r="M47" s="232" t="n"/>
      <c r="N47" s="233" t="n"/>
      <c r="O47" s="233" t="n"/>
      <c r="P47" s="233" t="n"/>
      <c r="Q47" s="233" t="n"/>
      <c r="R47" s="234" t="n"/>
      <c r="S47" s="234" t="n"/>
      <c r="T47" s="234" t="n"/>
      <c r="U47" s="234" t="n"/>
      <c r="V47" s="234" t="n"/>
      <c r="W47" s="234" t="n"/>
      <c r="X47" s="190" t="n"/>
      <c r="Y47" s="185" t="n"/>
      <c r="Z47" s="185" t="n"/>
      <c r="AA47" s="191" t="n"/>
    </row>
    <row r="48" ht="42" customHeight="1" s="184">
      <c r="A48" s="224">
        <f>IF(OR(B48&lt;&gt;"",C48&lt;&gt;"",D48&lt;&gt;"",E48&lt;&gt;"",F48&lt;&gt;"",G48&lt;&gt;"",H48&lt;&gt;"",I48&lt;&gt;"",J48&lt;&gt;"",M48&lt;&gt;"",Y48&lt;&gt;"",Z48&lt;&gt;""),ROW()-3,"")</f>
        <v/>
      </c>
      <c r="B48" s="185" t="n"/>
      <c r="C48" s="185" t="n"/>
      <c r="D48" s="231" t="n"/>
      <c r="E48" s="185" t="n"/>
      <c r="F48" s="185" t="n"/>
      <c r="G48" s="232" t="n"/>
      <c r="H48" s="232" t="n"/>
      <c r="I48" s="231" t="n"/>
      <c r="J48" s="232" t="n"/>
      <c r="K48" s="185" t="n"/>
      <c r="L48" s="231" t="n"/>
      <c r="M48" s="232" t="n"/>
      <c r="N48" s="233" t="n"/>
      <c r="O48" s="233" t="n"/>
      <c r="P48" s="233" t="n"/>
      <c r="Q48" s="233" t="n"/>
      <c r="R48" s="234" t="n"/>
      <c r="S48" s="234" t="n"/>
      <c r="T48" s="234" t="n"/>
      <c r="U48" s="234" t="n"/>
      <c r="V48" s="234" t="n"/>
      <c r="W48" s="234" t="n"/>
      <c r="X48" s="190" t="n"/>
      <c r="Y48" s="185" t="n"/>
      <c r="Z48" s="185" t="n"/>
      <c r="AA48" s="191" t="n"/>
    </row>
    <row r="49" ht="42" customHeight="1" s="184">
      <c r="A49" s="224">
        <f>IF(OR(B49&lt;&gt;"",C49&lt;&gt;"",D49&lt;&gt;"",E49&lt;&gt;"",F49&lt;&gt;"",G49&lt;&gt;"",H49&lt;&gt;"",I49&lt;&gt;"",J49&lt;&gt;"",M49&lt;&gt;"",Y49&lt;&gt;"",Z49&lt;&gt;""),ROW()-3,"")</f>
        <v/>
      </c>
      <c r="B49" s="185" t="n"/>
      <c r="C49" s="185" t="n"/>
      <c r="D49" s="231" t="n"/>
      <c r="E49" s="185" t="n"/>
      <c r="F49" s="185" t="n"/>
      <c r="G49" s="232" t="n"/>
      <c r="H49" s="232" t="n"/>
      <c r="I49" s="231" t="n"/>
      <c r="J49" s="232" t="n"/>
      <c r="K49" s="185" t="n"/>
      <c r="L49" s="231" t="n"/>
      <c r="M49" s="232" t="n"/>
      <c r="N49" s="233" t="n"/>
      <c r="O49" s="233" t="n"/>
      <c r="P49" s="233" t="n"/>
      <c r="Q49" s="233" t="n"/>
      <c r="R49" s="234" t="n"/>
      <c r="S49" s="234" t="n"/>
      <c r="T49" s="234" t="n"/>
      <c r="U49" s="234" t="n"/>
      <c r="V49" s="234" t="n"/>
      <c r="W49" s="234" t="n"/>
      <c r="X49" s="190" t="n"/>
      <c r="Y49" s="185" t="n"/>
      <c r="Z49" s="185" t="n"/>
      <c r="AA49" s="191" t="n"/>
    </row>
    <row r="50" ht="42" customHeight="1" s="184">
      <c r="A50" s="224">
        <f>IF(OR(B50&lt;&gt;"",C50&lt;&gt;"",D50&lt;&gt;"",E50&lt;&gt;"",F50&lt;&gt;"",G50&lt;&gt;"",H50&lt;&gt;"",I50&lt;&gt;"",J50&lt;&gt;"",M50&lt;&gt;"",Y50&lt;&gt;"",Z50&lt;&gt;""),ROW()-3,"")</f>
        <v/>
      </c>
      <c r="B50" s="185" t="n"/>
      <c r="C50" s="185" t="n"/>
      <c r="D50" s="231" t="n"/>
      <c r="E50" s="185" t="n"/>
      <c r="F50" s="185" t="n"/>
      <c r="G50" s="232" t="n"/>
      <c r="H50" s="232" t="n"/>
      <c r="I50" s="231" t="n"/>
      <c r="J50" s="232" t="n"/>
      <c r="K50" s="185" t="n"/>
      <c r="L50" s="231" t="n"/>
      <c r="M50" s="232" t="n"/>
      <c r="N50" s="233" t="n"/>
      <c r="O50" s="233" t="n"/>
      <c r="P50" s="233" t="n"/>
      <c r="Q50" s="233" t="n"/>
      <c r="R50" s="234" t="n"/>
      <c r="S50" s="234" t="n"/>
      <c r="T50" s="234" t="n"/>
      <c r="U50" s="234" t="n"/>
      <c r="V50" s="234" t="n"/>
      <c r="W50" s="234" t="n"/>
      <c r="X50" s="190" t="n"/>
      <c r="Y50" s="185" t="n"/>
      <c r="Z50" s="185" t="n"/>
      <c r="AA50" s="191" t="n"/>
    </row>
    <row r="51" ht="42" customHeight="1" s="184">
      <c r="A51" s="224">
        <f>IF(OR(B51&lt;&gt;"",C51&lt;&gt;"",D51&lt;&gt;"",E51&lt;&gt;"",F51&lt;&gt;"",G51&lt;&gt;"",H51&lt;&gt;"",I51&lt;&gt;"",J51&lt;&gt;"",M51&lt;&gt;"",Y51&lt;&gt;"",Z51&lt;&gt;""),ROW()-3,"")</f>
        <v/>
      </c>
      <c r="B51" s="185" t="n"/>
      <c r="C51" s="185" t="n"/>
      <c r="D51" s="231" t="n"/>
      <c r="E51" s="185" t="n"/>
      <c r="F51" s="185" t="n"/>
      <c r="G51" s="232" t="n"/>
      <c r="H51" s="232" t="n"/>
      <c r="I51" s="231" t="n"/>
      <c r="J51" s="232" t="n"/>
      <c r="K51" s="185" t="n"/>
      <c r="L51" s="231" t="n"/>
      <c r="M51" s="232" t="n"/>
      <c r="N51" s="233" t="n"/>
      <c r="O51" s="233" t="n"/>
      <c r="P51" s="233" t="n"/>
      <c r="Q51" s="233" t="n"/>
      <c r="R51" s="234" t="n"/>
      <c r="S51" s="234" t="n"/>
      <c r="T51" s="234" t="n"/>
      <c r="U51" s="234" t="n"/>
      <c r="V51" s="234" t="n"/>
      <c r="W51" s="234" t="n"/>
      <c r="X51" s="190" t="n"/>
      <c r="Y51" s="185" t="n"/>
      <c r="Z51" s="185" t="n"/>
      <c r="AA51" s="191" t="n"/>
    </row>
    <row r="52" ht="42" customHeight="1" s="184">
      <c r="A52" s="224">
        <f>IF(OR(B52&lt;&gt;"",C52&lt;&gt;"",D52&lt;&gt;"",E52&lt;&gt;"",F52&lt;&gt;"",G52&lt;&gt;"",H52&lt;&gt;"",I52&lt;&gt;"",J52&lt;&gt;"",M52&lt;&gt;"",Y52&lt;&gt;"",Z52&lt;&gt;""),ROW()-3,"")</f>
        <v/>
      </c>
      <c r="B52" s="185" t="n"/>
      <c r="C52" s="185" t="n"/>
      <c r="D52" s="231" t="n"/>
      <c r="E52" s="185" t="n"/>
      <c r="F52" s="185" t="n"/>
      <c r="G52" s="232" t="n"/>
      <c r="H52" s="232" t="n"/>
      <c r="I52" s="231" t="n"/>
      <c r="J52" s="232" t="n"/>
      <c r="K52" s="185" t="n"/>
      <c r="L52" s="231" t="n"/>
      <c r="M52" s="232" t="n"/>
      <c r="N52" s="233" t="n"/>
      <c r="O52" s="233" t="n"/>
      <c r="P52" s="233" t="n"/>
      <c r="Q52" s="233" t="n"/>
      <c r="R52" s="234" t="n"/>
      <c r="S52" s="234" t="n"/>
      <c r="T52" s="234" t="n"/>
      <c r="U52" s="234" t="n"/>
      <c r="V52" s="234" t="n"/>
      <c r="W52" s="234" t="n"/>
      <c r="X52" s="190" t="n"/>
      <c r="Y52" s="185" t="n"/>
      <c r="Z52" s="185" t="n"/>
      <c r="AA52" s="191" t="n"/>
    </row>
    <row r="53" ht="42" customHeight="1" s="184">
      <c r="A53" s="224">
        <f>IF(OR(B53&lt;&gt;"",C53&lt;&gt;"",D53&lt;&gt;"",E53&lt;&gt;"",F53&lt;&gt;"",G53&lt;&gt;"",H53&lt;&gt;"",I53&lt;&gt;"",J53&lt;&gt;"",M53&lt;&gt;"",Y53&lt;&gt;"",Z53&lt;&gt;""),ROW()-3,"")</f>
        <v/>
      </c>
      <c r="B53" s="185" t="n"/>
      <c r="C53" s="185" t="n"/>
      <c r="D53" s="231" t="n"/>
      <c r="E53" s="185" t="n"/>
      <c r="F53" s="185" t="n"/>
      <c r="G53" s="232" t="n"/>
      <c r="H53" s="232" t="n"/>
      <c r="I53" s="231" t="n"/>
      <c r="J53" s="232" t="n"/>
      <c r="K53" s="185" t="n"/>
      <c r="L53" s="231" t="n"/>
      <c r="M53" s="232" t="n"/>
      <c r="N53" s="233" t="n"/>
      <c r="O53" s="233" t="n"/>
      <c r="P53" s="233" t="n"/>
      <c r="Q53" s="233" t="n"/>
      <c r="R53" s="234" t="n"/>
      <c r="S53" s="234" t="n"/>
      <c r="T53" s="234" t="n"/>
      <c r="U53" s="234" t="n"/>
      <c r="V53" s="234" t="n"/>
      <c r="W53" s="234" t="n"/>
      <c r="X53" s="190" t="n"/>
      <c r="Y53" s="185" t="n"/>
      <c r="Z53" s="185" t="n"/>
      <c r="AA53" s="191" t="n"/>
    </row>
    <row r="54" ht="42" customHeight="1" s="184">
      <c r="A54" s="224">
        <f>IF(OR(B54&lt;&gt;"",C54&lt;&gt;"",D54&lt;&gt;"",E54&lt;&gt;"",F54&lt;&gt;"",G54&lt;&gt;"",H54&lt;&gt;"",I54&lt;&gt;"",J54&lt;&gt;"",M54&lt;&gt;"",Y54&lt;&gt;"",Z54&lt;&gt;""),ROW()-3,"")</f>
        <v/>
      </c>
      <c r="B54" s="185" t="n"/>
      <c r="C54" s="185" t="n"/>
      <c r="D54" s="231" t="n"/>
      <c r="E54" s="185" t="n"/>
      <c r="F54" s="185" t="n"/>
      <c r="G54" s="232" t="n"/>
      <c r="H54" s="232" t="n"/>
      <c r="I54" s="231" t="n"/>
      <c r="J54" s="232" t="n"/>
      <c r="K54" s="185" t="n"/>
      <c r="L54" s="231" t="n"/>
      <c r="M54" s="232" t="n"/>
      <c r="N54" s="233" t="n"/>
      <c r="O54" s="233" t="n"/>
      <c r="P54" s="233" t="n"/>
      <c r="Q54" s="233" t="n"/>
      <c r="R54" s="234" t="n"/>
      <c r="S54" s="234" t="n"/>
      <c r="T54" s="234" t="n"/>
      <c r="U54" s="234" t="n"/>
      <c r="V54" s="234" t="n"/>
      <c r="W54" s="234" t="n"/>
      <c r="X54" s="190" t="n"/>
      <c r="Y54" s="185" t="n"/>
      <c r="Z54" s="185" t="n"/>
      <c r="AA54" s="191" t="n"/>
    </row>
    <row r="55" ht="42" customHeight="1" s="184">
      <c r="A55" s="224">
        <f>IF(OR(B55&lt;&gt;"",C55&lt;&gt;"",D55&lt;&gt;"",E55&lt;&gt;"",F55&lt;&gt;"",G55&lt;&gt;"",H55&lt;&gt;"",I55&lt;&gt;"",J55&lt;&gt;"",M55&lt;&gt;"",Y55&lt;&gt;"",Z55&lt;&gt;""),ROW()-3,"")</f>
        <v/>
      </c>
      <c r="B55" s="185" t="n"/>
      <c r="C55" s="185" t="n"/>
      <c r="D55" s="231" t="n"/>
      <c r="E55" s="185" t="n"/>
      <c r="F55" s="185" t="n"/>
      <c r="G55" s="232" t="n"/>
      <c r="H55" s="232" t="n"/>
      <c r="I55" s="231" t="n"/>
      <c r="J55" s="232" t="n"/>
      <c r="K55" s="185" t="n"/>
      <c r="L55" s="231" t="n"/>
      <c r="M55" s="232" t="n"/>
      <c r="N55" s="233" t="n"/>
      <c r="O55" s="233" t="n"/>
      <c r="P55" s="233" t="n"/>
      <c r="Q55" s="233" t="n"/>
      <c r="R55" s="234" t="n"/>
      <c r="S55" s="234" t="n"/>
      <c r="T55" s="234" t="n"/>
      <c r="U55" s="234" t="n"/>
      <c r="V55" s="234" t="n"/>
      <c r="W55" s="234" t="n"/>
      <c r="X55" s="190" t="n"/>
      <c r="Y55" s="185" t="n"/>
      <c r="Z55" s="185" t="n"/>
      <c r="AA55" s="191" t="n"/>
    </row>
    <row r="56" ht="42" customHeight="1" s="184">
      <c r="A56" s="224">
        <f>IF(OR(B56&lt;&gt;"",C56&lt;&gt;"",D56&lt;&gt;"",E56&lt;&gt;"",F56&lt;&gt;"",G56&lt;&gt;"",H56&lt;&gt;"",I56&lt;&gt;"",J56&lt;&gt;"",M56&lt;&gt;"",Y56&lt;&gt;"",Z56&lt;&gt;""),ROW()-3,"")</f>
        <v/>
      </c>
      <c r="B56" s="185" t="n"/>
      <c r="C56" s="185" t="n"/>
      <c r="D56" s="231" t="n"/>
      <c r="E56" s="185" t="n"/>
      <c r="F56" s="185" t="n"/>
      <c r="G56" s="232" t="n"/>
      <c r="H56" s="232" t="n"/>
      <c r="I56" s="231" t="n"/>
      <c r="J56" s="232" t="n"/>
      <c r="K56" s="185" t="n"/>
      <c r="L56" s="231" t="n"/>
      <c r="M56" s="232" t="n"/>
      <c r="N56" s="233" t="n"/>
      <c r="O56" s="233" t="n"/>
      <c r="P56" s="233" t="n"/>
      <c r="Q56" s="233" t="n"/>
      <c r="R56" s="234" t="n"/>
      <c r="S56" s="234" t="n"/>
      <c r="T56" s="234" t="n"/>
      <c r="U56" s="234" t="n"/>
      <c r="V56" s="234" t="n"/>
      <c r="W56" s="234" t="n"/>
      <c r="X56" s="190" t="n"/>
      <c r="Y56" s="185" t="n"/>
      <c r="Z56" s="185" t="n"/>
      <c r="AA56" s="191" t="n"/>
    </row>
    <row r="57" ht="42" customHeight="1" s="184">
      <c r="A57" s="224">
        <f>IF(OR(B57&lt;&gt;"",C57&lt;&gt;"",D57&lt;&gt;"",E57&lt;&gt;"",F57&lt;&gt;"",G57&lt;&gt;"",H57&lt;&gt;"",I57&lt;&gt;"",J57&lt;&gt;"",M57&lt;&gt;"",Y57&lt;&gt;"",Z57&lt;&gt;""),ROW()-3,"")</f>
        <v/>
      </c>
      <c r="B57" s="185" t="n"/>
      <c r="C57" s="185" t="n"/>
      <c r="D57" s="231" t="n"/>
      <c r="E57" s="185" t="n"/>
      <c r="F57" s="185" t="n"/>
      <c r="G57" s="232" t="n"/>
      <c r="H57" s="232" t="n"/>
      <c r="I57" s="231" t="n"/>
      <c r="J57" s="232" t="n"/>
      <c r="K57" s="185" t="n"/>
      <c r="L57" s="231" t="n"/>
      <c r="M57" s="232" t="n"/>
      <c r="N57" s="233" t="n"/>
      <c r="O57" s="233" t="n"/>
      <c r="P57" s="233" t="n"/>
      <c r="Q57" s="233" t="n"/>
      <c r="R57" s="234" t="n"/>
      <c r="S57" s="234" t="n"/>
      <c r="T57" s="234" t="n"/>
      <c r="U57" s="234" t="n"/>
      <c r="V57" s="234" t="n"/>
      <c r="W57" s="234" t="n"/>
      <c r="X57" s="190" t="n"/>
      <c r="Y57" s="185" t="n"/>
      <c r="Z57" s="185" t="n"/>
      <c r="AA57" s="191" t="n"/>
    </row>
    <row r="58" ht="42" customHeight="1" s="184">
      <c r="A58" s="224">
        <f>IF(OR(B58&lt;&gt;"",C58&lt;&gt;"",D58&lt;&gt;"",E58&lt;&gt;"",F58&lt;&gt;"",G58&lt;&gt;"",H58&lt;&gt;"",I58&lt;&gt;"",J58&lt;&gt;"",M58&lt;&gt;"",Y58&lt;&gt;"",Z58&lt;&gt;""),ROW()-3,"")</f>
        <v/>
      </c>
      <c r="B58" s="185" t="n"/>
      <c r="C58" s="185" t="n"/>
      <c r="D58" s="231" t="n"/>
      <c r="E58" s="185" t="n"/>
      <c r="F58" s="185" t="n"/>
      <c r="G58" s="232" t="n"/>
      <c r="H58" s="232" t="n"/>
      <c r="I58" s="231" t="n"/>
      <c r="J58" s="232" t="n"/>
      <c r="K58" s="185" t="n"/>
      <c r="L58" s="231" t="n"/>
      <c r="M58" s="232" t="n"/>
      <c r="N58" s="233" t="n"/>
      <c r="O58" s="233" t="n"/>
      <c r="P58" s="233" t="n"/>
      <c r="Q58" s="233" t="n"/>
      <c r="R58" s="234" t="n"/>
      <c r="S58" s="234" t="n"/>
      <c r="T58" s="234" t="n"/>
      <c r="U58" s="234" t="n"/>
      <c r="V58" s="234" t="n"/>
      <c r="W58" s="234" t="n"/>
      <c r="X58" s="190" t="n"/>
      <c r="Y58" s="185" t="n"/>
      <c r="Z58" s="185" t="n"/>
      <c r="AA58" s="191" t="n"/>
    </row>
    <row r="59" ht="42" customHeight="1" s="184">
      <c r="A59" s="224">
        <f>IF(OR(B59&lt;&gt;"",C59&lt;&gt;"",D59&lt;&gt;"",E59&lt;&gt;"",F59&lt;&gt;"",G59&lt;&gt;"",H59&lt;&gt;"",I59&lt;&gt;"",J59&lt;&gt;"",M59&lt;&gt;"",Y59&lt;&gt;"",Z59&lt;&gt;""),ROW()-3,"")</f>
        <v/>
      </c>
      <c r="B59" s="185" t="n"/>
      <c r="C59" s="185" t="n"/>
      <c r="D59" s="231" t="n"/>
      <c r="E59" s="185" t="n"/>
      <c r="F59" s="185" t="n"/>
      <c r="G59" s="232" t="n"/>
      <c r="H59" s="232" t="n"/>
      <c r="I59" s="231" t="n"/>
      <c r="J59" s="232" t="n"/>
      <c r="K59" s="185" t="n"/>
      <c r="L59" s="231" t="n"/>
      <c r="M59" s="232" t="n"/>
      <c r="N59" s="233" t="n"/>
      <c r="O59" s="233" t="n"/>
      <c r="P59" s="233" t="n"/>
      <c r="Q59" s="233" t="n"/>
      <c r="R59" s="234" t="n"/>
      <c r="S59" s="234" t="n"/>
      <c r="T59" s="234" t="n"/>
      <c r="U59" s="234" t="n"/>
      <c r="V59" s="234" t="n"/>
      <c r="W59" s="234" t="n"/>
      <c r="X59" s="190" t="n"/>
      <c r="Y59" s="185" t="n"/>
      <c r="Z59" s="185" t="n"/>
      <c r="AA59" s="191" t="n"/>
    </row>
    <row r="60" ht="42" customHeight="1" s="184">
      <c r="A60" s="224">
        <f>IF(OR(B60&lt;&gt;"",C60&lt;&gt;"",D60&lt;&gt;"",E60&lt;&gt;"",F60&lt;&gt;"",G60&lt;&gt;"",H60&lt;&gt;"",I60&lt;&gt;"",J60&lt;&gt;"",M60&lt;&gt;"",Y60&lt;&gt;"",Z60&lt;&gt;""),ROW()-3,"")</f>
        <v/>
      </c>
      <c r="B60" s="185" t="n"/>
      <c r="C60" s="185" t="n"/>
      <c r="D60" s="231" t="n"/>
      <c r="E60" s="185" t="n"/>
      <c r="F60" s="185" t="n"/>
      <c r="G60" s="232" t="n"/>
      <c r="H60" s="232" t="n"/>
      <c r="I60" s="231" t="n"/>
      <c r="J60" s="232" t="n"/>
      <c r="K60" s="185" t="n"/>
      <c r="L60" s="231" t="n"/>
      <c r="M60" s="232" t="n"/>
      <c r="N60" s="233" t="n"/>
      <c r="O60" s="233" t="n"/>
      <c r="P60" s="233" t="n"/>
      <c r="Q60" s="233" t="n"/>
      <c r="R60" s="234" t="n"/>
      <c r="S60" s="234" t="n"/>
      <c r="T60" s="234" t="n"/>
      <c r="U60" s="234" t="n"/>
      <c r="V60" s="234" t="n"/>
      <c r="W60" s="234" t="n"/>
      <c r="X60" s="190" t="n"/>
      <c r="Y60" s="185" t="n"/>
      <c r="Z60" s="185" t="n"/>
      <c r="AA60" s="191" t="n"/>
    </row>
    <row r="61" ht="42" customHeight="1" s="184">
      <c r="A61" s="224">
        <f>IF(OR(B61&lt;&gt;"",C61&lt;&gt;"",D61&lt;&gt;"",E61&lt;&gt;"",F61&lt;&gt;"",G61&lt;&gt;"",H61&lt;&gt;"",I61&lt;&gt;"",J61&lt;&gt;"",M61&lt;&gt;"",Y61&lt;&gt;"",Z61&lt;&gt;""),ROW()-3,"")</f>
        <v/>
      </c>
      <c r="B61" s="185" t="n"/>
      <c r="C61" s="185" t="n"/>
      <c r="D61" s="231" t="n"/>
      <c r="E61" s="185" t="n"/>
      <c r="F61" s="185" t="n"/>
      <c r="G61" s="232" t="n"/>
      <c r="H61" s="232" t="n"/>
      <c r="I61" s="231" t="n"/>
      <c r="J61" s="232" t="n"/>
      <c r="K61" s="185" t="n"/>
      <c r="L61" s="231" t="n"/>
      <c r="M61" s="232" t="n"/>
      <c r="N61" s="233" t="n"/>
      <c r="O61" s="233" t="n"/>
      <c r="P61" s="233" t="n"/>
      <c r="Q61" s="233" t="n"/>
      <c r="R61" s="234" t="n"/>
      <c r="S61" s="234" t="n"/>
      <c r="T61" s="234" t="n"/>
      <c r="U61" s="234" t="n"/>
      <c r="V61" s="234" t="n"/>
      <c r="W61" s="234" t="n"/>
      <c r="X61" s="190" t="n"/>
      <c r="Y61" s="185" t="n"/>
      <c r="Z61" s="185" t="n"/>
      <c r="AA61" s="191" t="n"/>
    </row>
    <row r="62" ht="42" customHeight="1" s="184">
      <c r="A62" s="224">
        <f>IF(OR(B62&lt;&gt;"",C62&lt;&gt;"",D62&lt;&gt;"",E62&lt;&gt;"",F62&lt;&gt;"",G62&lt;&gt;"",H62&lt;&gt;"",I62&lt;&gt;"",J62&lt;&gt;"",M62&lt;&gt;"",Y62&lt;&gt;"",Z62&lt;&gt;""),ROW()-3,"")</f>
        <v/>
      </c>
      <c r="B62" s="185" t="n"/>
      <c r="C62" s="185" t="n"/>
      <c r="D62" s="231" t="n"/>
      <c r="E62" s="185" t="n"/>
      <c r="F62" s="185" t="n"/>
      <c r="G62" s="232" t="n"/>
      <c r="H62" s="232" t="n"/>
      <c r="I62" s="231" t="n"/>
      <c r="J62" s="232" t="n"/>
      <c r="K62" s="185" t="n"/>
      <c r="L62" s="231" t="n"/>
      <c r="M62" s="232" t="n"/>
      <c r="N62" s="233" t="n"/>
      <c r="O62" s="233" t="n"/>
      <c r="P62" s="233" t="n"/>
      <c r="Q62" s="233" t="n"/>
      <c r="R62" s="234" t="n"/>
      <c r="S62" s="234" t="n"/>
      <c r="T62" s="234" t="n"/>
      <c r="U62" s="234" t="n"/>
      <c r="V62" s="234" t="n"/>
      <c r="W62" s="234" t="n"/>
      <c r="X62" s="190" t="n"/>
      <c r="Y62" s="185" t="n"/>
      <c r="Z62" s="185" t="n"/>
      <c r="AA62" s="191" t="n"/>
    </row>
    <row r="63" ht="42" customHeight="1" s="184">
      <c r="A63" s="224">
        <f>IF(OR(B63&lt;&gt;"",C63&lt;&gt;"",D63&lt;&gt;"",E63&lt;&gt;"",F63&lt;&gt;"",G63&lt;&gt;"",H63&lt;&gt;"",I63&lt;&gt;"",J63&lt;&gt;"",M63&lt;&gt;"",Y63&lt;&gt;"",Z63&lt;&gt;""),ROW()-3,"")</f>
        <v/>
      </c>
      <c r="B63" s="185" t="n"/>
      <c r="C63" s="185" t="n"/>
      <c r="D63" s="231" t="n"/>
      <c r="E63" s="185" t="n"/>
      <c r="F63" s="185" t="n"/>
      <c r="G63" s="232" t="n"/>
      <c r="H63" s="232" t="n"/>
      <c r="I63" s="231" t="n"/>
      <c r="J63" s="232" t="n"/>
      <c r="K63" s="185" t="n"/>
      <c r="L63" s="231" t="n"/>
      <c r="M63" s="232" t="n"/>
      <c r="N63" s="233" t="n"/>
      <c r="O63" s="233" t="n"/>
      <c r="P63" s="233" t="n"/>
      <c r="Q63" s="233" t="n"/>
      <c r="R63" s="234" t="n"/>
      <c r="S63" s="234" t="n"/>
      <c r="T63" s="234" t="n"/>
      <c r="U63" s="234" t="n"/>
      <c r="V63" s="234" t="n"/>
      <c r="W63" s="234" t="n"/>
      <c r="X63" s="190" t="n"/>
      <c r="Y63" s="185" t="n"/>
      <c r="Z63" s="185" t="n"/>
      <c r="AA63" s="191" t="n"/>
    </row>
    <row r="64" ht="42" customHeight="1" s="184">
      <c r="A64" s="224">
        <f>IF(OR(B64&lt;&gt;"",C64&lt;&gt;"",D64&lt;&gt;"",E64&lt;&gt;"",F64&lt;&gt;"",G64&lt;&gt;"",H64&lt;&gt;"",I64&lt;&gt;"",J64&lt;&gt;"",M64&lt;&gt;"",Y64&lt;&gt;"",Z64&lt;&gt;""),ROW()-3,"")</f>
        <v/>
      </c>
      <c r="B64" s="185" t="n"/>
      <c r="C64" s="185" t="n"/>
      <c r="D64" s="231" t="n"/>
      <c r="E64" s="185" t="n"/>
      <c r="F64" s="185" t="n"/>
      <c r="G64" s="232" t="n"/>
      <c r="H64" s="232" t="n"/>
      <c r="I64" s="231" t="n"/>
      <c r="J64" s="232" t="n"/>
      <c r="K64" s="185" t="n"/>
      <c r="L64" s="231" t="n"/>
      <c r="M64" s="232" t="n"/>
      <c r="N64" s="233" t="n"/>
      <c r="O64" s="233" t="n"/>
      <c r="P64" s="233" t="n"/>
      <c r="Q64" s="233" t="n"/>
      <c r="R64" s="234" t="n"/>
      <c r="S64" s="234" t="n"/>
      <c r="T64" s="234" t="n"/>
      <c r="U64" s="234" t="n"/>
      <c r="V64" s="234" t="n"/>
      <c r="W64" s="234" t="n"/>
      <c r="X64" s="190" t="n"/>
      <c r="Y64" s="185" t="n"/>
      <c r="Z64" s="185" t="n"/>
      <c r="AA64" s="191" t="n"/>
    </row>
    <row r="65" ht="42" customHeight="1" s="184">
      <c r="A65" s="224">
        <f>IF(OR(B65&lt;&gt;"",C65&lt;&gt;"",D65&lt;&gt;"",E65&lt;&gt;"",F65&lt;&gt;"",G65&lt;&gt;"",H65&lt;&gt;"",I65&lt;&gt;"",J65&lt;&gt;"",M65&lt;&gt;"",Y65&lt;&gt;"",Z65&lt;&gt;""),ROW()-3,"")</f>
        <v/>
      </c>
      <c r="B65" s="185" t="n"/>
      <c r="C65" s="185" t="n"/>
      <c r="D65" s="231" t="n"/>
      <c r="E65" s="185" t="n"/>
      <c r="F65" s="185" t="n"/>
      <c r="G65" s="232" t="n"/>
      <c r="H65" s="232" t="n"/>
      <c r="I65" s="231" t="n"/>
      <c r="J65" s="232" t="n"/>
      <c r="K65" s="185" t="n"/>
      <c r="L65" s="231" t="n"/>
      <c r="M65" s="232" t="n"/>
      <c r="N65" s="233" t="n"/>
      <c r="O65" s="233" t="n"/>
      <c r="P65" s="233" t="n"/>
      <c r="Q65" s="233" t="n"/>
      <c r="R65" s="234" t="n"/>
      <c r="S65" s="234" t="n"/>
      <c r="T65" s="234" t="n"/>
      <c r="U65" s="234" t="n"/>
      <c r="V65" s="234" t="n"/>
      <c r="W65" s="234" t="n"/>
      <c r="X65" s="190" t="n"/>
      <c r="Y65" s="185" t="n"/>
      <c r="Z65" s="185" t="n"/>
      <c r="AA65" s="191" t="n"/>
    </row>
    <row r="66" ht="42" customHeight="1" s="184">
      <c r="A66" s="224">
        <f>IF(OR(B66&lt;&gt;"",C66&lt;&gt;"",D66&lt;&gt;"",E66&lt;&gt;"",F66&lt;&gt;"",G66&lt;&gt;"",H66&lt;&gt;"",I66&lt;&gt;"",J66&lt;&gt;"",M66&lt;&gt;"",Y66&lt;&gt;"",Z66&lt;&gt;""),ROW()-3,"")</f>
        <v/>
      </c>
      <c r="B66" s="185" t="n"/>
      <c r="C66" s="185" t="n"/>
      <c r="D66" s="231" t="n"/>
      <c r="E66" s="185" t="n"/>
      <c r="F66" s="185" t="n"/>
      <c r="G66" s="232" t="n"/>
      <c r="H66" s="232" t="n"/>
      <c r="I66" s="231" t="n"/>
      <c r="J66" s="232" t="n"/>
      <c r="K66" s="185" t="n"/>
      <c r="L66" s="231" t="n"/>
      <c r="M66" s="232" t="n"/>
      <c r="N66" s="233" t="n"/>
      <c r="O66" s="233" t="n"/>
      <c r="P66" s="233" t="n"/>
      <c r="Q66" s="233" t="n"/>
      <c r="R66" s="234" t="n"/>
      <c r="S66" s="234" t="n"/>
      <c r="T66" s="234" t="n"/>
      <c r="U66" s="234" t="n"/>
      <c r="V66" s="234" t="n"/>
      <c r="W66" s="234" t="n"/>
      <c r="X66" s="190" t="n"/>
      <c r="Y66" s="185" t="n"/>
      <c r="Z66" s="185" t="n"/>
      <c r="AA66" s="191" t="n"/>
    </row>
    <row r="67" ht="42" customHeight="1" s="184">
      <c r="A67" s="224">
        <f>IF(OR(B67&lt;&gt;"",C67&lt;&gt;"",D67&lt;&gt;"",E67&lt;&gt;"",F67&lt;&gt;"",G67&lt;&gt;"",H67&lt;&gt;"",I67&lt;&gt;"",J67&lt;&gt;"",M67&lt;&gt;"",Y67&lt;&gt;"",Z67&lt;&gt;""),ROW()-3,"")</f>
        <v/>
      </c>
      <c r="B67" s="185" t="n"/>
      <c r="C67" s="185" t="n"/>
      <c r="D67" s="231" t="n"/>
      <c r="E67" s="185" t="n"/>
      <c r="F67" s="185" t="n"/>
      <c r="G67" s="232" t="n"/>
      <c r="H67" s="232" t="n"/>
      <c r="I67" s="231" t="n"/>
      <c r="J67" s="232" t="n"/>
      <c r="K67" s="185" t="n"/>
      <c r="L67" s="231" t="n"/>
      <c r="M67" s="232" t="n"/>
      <c r="N67" s="233" t="n"/>
      <c r="O67" s="233" t="n"/>
      <c r="P67" s="233" t="n"/>
      <c r="Q67" s="233" t="n"/>
      <c r="R67" s="234" t="n"/>
      <c r="S67" s="234" t="n"/>
      <c r="T67" s="234" t="n"/>
      <c r="U67" s="234" t="n"/>
      <c r="V67" s="234" t="n"/>
      <c r="W67" s="234" t="n"/>
      <c r="X67" s="190" t="n"/>
      <c r="Y67" s="185" t="n"/>
      <c r="Z67" s="185" t="n"/>
      <c r="AA67" s="191" t="n"/>
    </row>
    <row r="68" ht="42" customHeight="1" s="184">
      <c r="A68" s="224">
        <f>IF(OR(B68&lt;&gt;"",C68&lt;&gt;"",D68&lt;&gt;"",E68&lt;&gt;"",F68&lt;&gt;"",G68&lt;&gt;"",H68&lt;&gt;"",I68&lt;&gt;"",J68&lt;&gt;"",M68&lt;&gt;"",Y68&lt;&gt;"",Z68&lt;&gt;""),ROW()-3,"")</f>
        <v/>
      </c>
      <c r="B68" s="185" t="n"/>
      <c r="C68" s="185" t="n"/>
      <c r="D68" s="231" t="n"/>
      <c r="E68" s="185" t="n"/>
      <c r="F68" s="185" t="n"/>
      <c r="G68" s="232" t="n"/>
      <c r="H68" s="232" t="n"/>
      <c r="I68" s="231" t="n"/>
      <c r="J68" s="232" t="n"/>
      <c r="K68" s="185" t="n"/>
      <c r="L68" s="231" t="n"/>
      <c r="M68" s="232" t="n"/>
      <c r="N68" s="233" t="n"/>
      <c r="O68" s="233" t="n"/>
      <c r="P68" s="233" t="n"/>
      <c r="Q68" s="233" t="n"/>
      <c r="R68" s="234" t="n"/>
      <c r="S68" s="234" t="n"/>
      <c r="T68" s="234" t="n"/>
      <c r="U68" s="234" t="n"/>
      <c r="V68" s="234" t="n"/>
      <c r="W68" s="234" t="n"/>
      <c r="X68" s="190" t="n"/>
      <c r="Y68" s="185" t="n"/>
      <c r="Z68" s="185" t="n"/>
      <c r="AA68" s="191" t="n"/>
    </row>
    <row r="69" ht="42" customHeight="1" s="184">
      <c r="A69" s="224">
        <f>IF(OR(B69&lt;&gt;"",C69&lt;&gt;"",D69&lt;&gt;"",E69&lt;&gt;"",F69&lt;&gt;"",G69&lt;&gt;"",H69&lt;&gt;"",I69&lt;&gt;"",J69&lt;&gt;"",M69&lt;&gt;"",Y69&lt;&gt;"",Z69&lt;&gt;""),ROW()-3,"")</f>
        <v/>
      </c>
      <c r="B69" s="185" t="n"/>
      <c r="C69" s="185" t="n"/>
      <c r="D69" s="231" t="n"/>
      <c r="E69" s="185" t="n"/>
      <c r="F69" s="185" t="n"/>
      <c r="G69" s="232" t="n"/>
      <c r="H69" s="232" t="n"/>
      <c r="I69" s="231" t="n"/>
      <c r="J69" s="232" t="n"/>
      <c r="K69" s="185" t="n"/>
      <c r="L69" s="231" t="n"/>
      <c r="M69" s="232" t="n"/>
      <c r="N69" s="233" t="n"/>
      <c r="O69" s="233" t="n"/>
      <c r="P69" s="233" t="n"/>
      <c r="Q69" s="233" t="n"/>
      <c r="R69" s="234" t="n"/>
      <c r="S69" s="234" t="n"/>
      <c r="T69" s="234" t="n"/>
      <c r="U69" s="234" t="n"/>
      <c r="V69" s="234" t="n"/>
      <c r="W69" s="234" t="n"/>
      <c r="X69" s="190" t="n"/>
      <c r="Y69" s="185" t="n"/>
      <c r="Z69" s="185" t="n"/>
      <c r="AA69" s="191" t="n"/>
    </row>
    <row r="70" ht="42" customHeight="1" s="184">
      <c r="A70" s="224">
        <f>IF(OR(B70&lt;&gt;"",C70&lt;&gt;"",D70&lt;&gt;"",E70&lt;&gt;"",F70&lt;&gt;"",G70&lt;&gt;"",H70&lt;&gt;"",I70&lt;&gt;"",J70&lt;&gt;"",M70&lt;&gt;"",Y70&lt;&gt;"",Z70&lt;&gt;""),ROW()-3,"")</f>
        <v/>
      </c>
      <c r="B70" s="185" t="n"/>
      <c r="C70" s="185" t="n"/>
      <c r="D70" s="231" t="n"/>
      <c r="E70" s="185" t="n"/>
      <c r="F70" s="185" t="n"/>
      <c r="G70" s="232" t="n"/>
      <c r="H70" s="232" t="n"/>
      <c r="I70" s="231" t="n"/>
      <c r="J70" s="232" t="n"/>
      <c r="K70" s="185" t="n"/>
      <c r="L70" s="231" t="n"/>
      <c r="M70" s="232" t="n"/>
      <c r="N70" s="233" t="n"/>
      <c r="O70" s="233" t="n"/>
      <c r="P70" s="233" t="n"/>
      <c r="Q70" s="233" t="n"/>
      <c r="R70" s="234" t="n"/>
      <c r="S70" s="234" t="n"/>
      <c r="T70" s="234" t="n"/>
      <c r="U70" s="234" t="n"/>
      <c r="V70" s="234" t="n"/>
      <c r="W70" s="234" t="n"/>
      <c r="X70" s="190" t="n"/>
      <c r="Y70" s="185" t="n"/>
      <c r="Z70" s="185" t="n"/>
      <c r="AA70" s="191" t="n"/>
    </row>
    <row r="71" ht="42" customHeight="1" s="184">
      <c r="A71" s="224">
        <f>IF(OR(B71&lt;&gt;"",C71&lt;&gt;"",D71&lt;&gt;"",E71&lt;&gt;"",F71&lt;&gt;"",G71&lt;&gt;"",H71&lt;&gt;"",I71&lt;&gt;"",J71&lt;&gt;"",M71&lt;&gt;"",Y71&lt;&gt;"",Z71&lt;&gt;""),ROW()-3,"")</f>
        <v/>
      </c>
      <c r="B71" s="185" t="n"/>
      <c r="C71" s="185" t="n"/>
      <c r="D71" s="231" t="n"/>
      <c r="E71" s="185" t="n"/>
      <c r="F71" s="185" t="n"/>
      <c r="G71" s="232" t="n"/>
      <c r="H71" s="232" t="n"/>
      <c r="I71" s="231" t="n"/>
      <c r="J71" s="232" t="n"/>
      <c r="K71" s="185" t="n"/>
      <c r="L71" s="231" t="n"/>
      <c r="M71" s="232" t="n"/>
      <c r="N71" s="233" t="n"/>
      <c r="O71" s="233" t="n"/>
      <c r="P71" s="233" t="n"/>
      <c r="Q71" s="233" t="n"/>
      <c r="R71" s="234" t="n"/>
      <c r="S71" s="234" t="n"/>
      <c r="T71" s="234" t="n"/>
      <c r="U71" s="234" t="n"/>
      <c r="V71" s="234" t="n"/>
      <c r="W71" s="234" t="n"/>
      <c r="X71" s="190" t="n"/>
      <c r="Y71" s="185" t="n"/>
      <c r="Z71" s="185" t="n"/>
      <c r="AA71" s="191" t="n"/>
    </row>
    <row r="72" ht="42" customHeight="1" s="184">
      <c r="A72" s="224">
        <f>IF(OR(B72&lt;&gt;"",C72&lt;&gt;"",D72&lt;&gt;"",E72&lt;&gt;"",F72&lt;&gt;"",G72&lt;&gt;"",H72&lt;&gt;"",I72&lt;&gt;"",J72&lt;&gt;"",M72&lt;&gt;"",Y72&lt;&gt;"",Z72&lt;&gt;""),ROW()-3,"")</f>
        <v/>
      </c>
      <c r="B72" s="185" t="n"/>
      <c r="C72" s="185" t="n"/>
      <c r="D72" s="231" t="n"/>
      <c r="E72" s="185" t="n"/>
      <c r="F72" s="185" t="n"/>
      <c r="G72" s="232" t="n"/>
      <c r="H72" s="232" t="n"/>
      <c r="I72" s="231" t="n"/>
      <c r="J72" s="232" t="n"/>
      <c r="K72" s="185" t="n"/>
      <c r="L72" s="231" t="n"/>
      <c r="M72" s="232" t="n"/>
      <c r="N72" s="233" t="n"/>
      <c r="O72" s="233" t="n"/>
      <c r="P72" s="233" t="n"/>
      <c r="Q72" s="233" t="n"/>
      <c r="R72" s="234" t="n"/>
      <c r="S72" s="234" t="n"/>
      <c r="T72" s="234" t="n"/>
      <c r="U72" s="234" t="n"/>
      <c r="V72" s="234" t="n"/>
      <c r="W72" s="234" t="n"/>
      <c r="X72" s="190" t="n"/>
      <c r="Y72" s="185" t="n"/>
      <c r="Z72" s="185" t="n"/>
      <c r="AA72" s="191" t="n"/>
    </row>
    <row r="73" ht="42" customHeight="1" s="184">
      <c r="A73" s="224">
        <f>IF(OR(B73&lt;&gt;"",C73&lt;&gt;"",D73&lt;&gt;"",E73&lt;&gt;"",F73&lt;&gt;"",G73&lt;&gt;"",H73&lt;&gt;"",I73&lt;&gt;"",J73&lt;&gt;"",M73&lt;&gt;"",Y73&lt;&gt;"",Z73&lt;&gt;""),ROW()-3,"")</f>
        <v/>
      </c>
      <c r="B73" s="185" t="n"/>
      <c r="C73" s="185" t="n"/>
      <c r="D73" s="231" t="n"/>
      <c r="E73" s="185" t="n"/>
      <c r="F73" s="185" t="n"/>
      <c r="G73" s="232" t="n"/>
      <c r="H73" s="232" t="n"/>
      <c r="I73" s="231" t="n"/>
      <c r="J73" s="232" t="n"/>
      <c r="K73" s="185" t="n"/>
      <c r="L73" s="231" t="n"/>
      <c r="M73" s="232" t="n"/>
      <c r="N73" s="233" t="n"/>
      <c r="O73" s="233" t="n"/>
      <c r="P73" s="233" t="n"/>
      <c r="Q73" s="233" t="n"/>
      <c r="R73" s="234" t="n"/>
      <c r="S73" s="234" t="n"/>
      <c r="T73" s="234" t="n"/>
      <c r="U73" s="234" t="n"/>
      <c r="V73" s="234" t="n"/>
      <c r="W73" s="234" t="n"/>
      <c r="X73" s="190" t="n"/>
      <c r="Y73" s="185" t="n"/>
      <c r="Z73" s="185" t="n"/>
      <c r="AA73" s="191" t="n"/>
    </row>
    <row r="74" ht="42" customHeight="1" s="184">
      <c r="A74" s="224">
        <f>IF(OR(B74&lt;&gt;"",C74&lt;&gt;"",D74&lt;&gt;"",E74&lt;&gt;"",F74&lt;&gt;"",G74&lt;&gt;"",H74&lt;&gt;"",I74&lt;&gt;"",J74&lt;&gt;"",M74&lt;&gt;"",Y74&lt;&gt;"",Z74&lt;&gt;""),ROW()-3,"")</f>
        <v/>
      </c>
      <c r="B74" s="185" t="n"/>
      <c r="C74" s="185" t="n"/>
      <c r="D74" s="231" t="n"/>
      <c r="E74" s="185" t="n"/>
      <c r="F74" s="185" t="n"/>
      <c r="G74" s="232" t="n"/>
      <c r="H74" s="232" t="n"/>
      <c r="I74" s="231" t="n"/>
      <c r="J74" s="232" t="n"/>
      <c r="K74" s="185" t="n"/>
      <c r="L74" s="231" t="n"/>
      <c r="M74" s="232" t="n"/>
      <c r="N74" s="233" t="n"/>
      <c r="O74" s="233" t="n"/>
      <c r="P74" s="233" t="n"/>
      <c r="Q74" s="233" t="n"/>
      <c r="R74" s="234" t="n"/>
      <c r="S74" s="234" t="n"/>
      <c r="T74" s="234" t="n"/>
      <c r="U74" s="234" t="n"/>
      <c r="V74" s="234" t="n"/>
      <c r="W74" s="234" t="n"/>
      <c r="X74" s="190" t="n"/>
      <c r="Y74" s="185" t="n"/>
      <c r="Z74" s="185" t="n"/>
      <c r="AA74" s="191" t="n"/>
    </row>
    <row r="75" ht="42" customHeight="1" s="184">
      <c r="A75" s="224">
        <f>IF(OR(B75&lt;&gt;"",C75&lt;&gt;"",D75&lt;&gt;"",E75&lt;&gt;"",F75&lt;&gt;"",G75&lt;&gt;"",H75&lt;&gt;"",I75&lt;&gt;"",J75&lt;&gt;"",M75&lt;&gt;"",Y75&lt;&gt;"",Z75&lt;&gt;""),ROW()-3,"")</f>
        <v/>
      </c>
      <c r="B75" s="185" t="n"/>
      <c r="C75" s="185" t="n"/>
      <c r="D75" s="231" t="n"/>
      <c r="E75" s="185" t="n"/>
      <c r="F75" s="185" t="n"/>
      <c r="G75" s="232" t="n"/>
      <c r="H75" s="232" t="n"/>
      <c r="I75" s="231" t="n"/>
      <c r="J75" s="232" t="n"/>
      <c r="K75" s="185" t="n"/>
      <c r="L75" s="231" t="n"/>
      <c r="M75" s="232" t="n"/>
      <c r="N75" s="233" t="n"/>
      <c r="O75" s="233" t="n"/>
      <c r="P75" s="233" t="n"/>
      <c r="Q75" s="233" t="n"/>
      <c r="R75" s="234" t="n"/>
      <c r="S75" s="234" t="n"/>
      <c r="T75" s="234" t="n"/>
      <c r="U75" s="234" t="n"/>
      <c r="V75" s="234" t="n"/>
      <c r="W75" s="234" t="n"/>
      <c r="X75" s="190" t="n"/>
      <c r="Y75" s="185" t="n"/>
      <c r="Z75" s="185" t="n"/>
      <c r="AA75" s="191" t="n"/>
    </row>
    <row r="76" ht="42" customHeight="1" s="184">
      <c r="A76" s="224">
        <f>IF(OR(B76&lt;&gt;"",C76&lt;&gt;"",D76&lt;&gt;"",E76&lt;&gt;"",F76&lt;&gt;"",G76&lt;&gt;"",H76&lt;&gt;"",I76&lt;&gt;"",J76&lt;&gt;"",M76&lt;&gt;"",Y76&lt;&gt;"",Z76&lt;&gt;""),ROW()-3,"")</f>
        <v/>
      </c>
      <c r="B76" s="185" t="n"/>
      <c r="C76" s="185" t="n"/>
      <c r="D76" s="231" t="n"/>
      <c r="E76" s="185" t="n"/>
      <c r="F76" s="185" t="n"/>
      <c r="G76" s="232" t="n"/>
      <c r="H76" s="232" t="n"/>
      <c r="I76" s="231" t="n"/>
      <c r="J76" s="232" t="n"/>
      <c r="K76" s="185" t="n"/>
      <c r="L76" s="231" t="n"/>
      <c r="M76" s="232" t="n"/>
      <c r="N76" s="233" t="n"/>
      <c r="O76" s="233" t="n"/>
      <c r="P76" s="233" t="n"/>
      <c r="Q76" s="233" t="n"/>
      <c r="R76" s="234" t="n"/>
      <c r="S76" s="234" t="n"/>
      <c r="T76" s="234" t="n"/>
      <c r="U76" s="234" t="n"/>
      <c r="V76" s="234" t="n"/>
      <c r="W76" s="234" t="n"/>
      <c r="X76" s="190" t="n"/>
      <c r="Y76" s="185" t="n"/>
      <c r="Z76" s="185" t="n"/>
      <c r="AA76" s="191" t="n"/>
    </row>
    <row r="77" ht="42" customHeight="1" s="184">
      <c r="A77" s="224">
        <f>IF(OR(B77&lt;&gt;"",C77&lt;&gt;"",D77&lt;&gt;"",E77&lt;&gt;"",F77&lt;&gt;"",G77&lt;&gt;"",H77&lt;&gt;"",I77&lt;&gt;"",J77&lt;&gt;"",M77&lt;&gt;"",Y77&lt;&gt;"",Z77&lt;&gt;""),ROW()-3,"")</f>
        <v/>
      </c>
      <c r="B77" s="185" t="n"/>
      <c r="C77" s="185" t="n"/>
      <c r="D77" s="231" t="n"/>
      <c r="E77" s="185" t="n"/>
      <c r="F77" s="185" t="n"/>
      <c r="G77" s="232" t="n"/>
      <c r="H77" s="232" t="n"/>
      <c r="I77" s="231" t="n"/>
      <c r="J77" s="232" t="n"/>
      <c r="K77" s="185" t="n"/>
      <c r="L77" s="231" t="n"/>
      <c r="M77" s="232" t="n"/>
      <c r="N77" s="233" t="n"/>
      <c r="O77" s="233" t="n"/>
      <c r="P77" s="233" t="n"/>
      <c r="Q77" s="233" t="n"/>
      <c r="R77" s="234" t="n"/>
      <c r="S77" s="234" t="n"/>
      <c r="T77" s="234" t="n"/>
      <c r="U77" s="234" t="n"/>
      <c r="V77" s="234" t="n"/>
      <c r="W77" s="234" t="n"/>
      <c r="X77" s="190" t="n"/>
      <c r="Y77" s="185" t="n"/>
      <c r="Z77" s="185" t="n"/>
      <c r="AA77" s="191" t="n"/>
    </row>
    <row r="78" ht="42" customHeight="1" s="184">
      <c r="A78" s="224">
        <f>IF(OR(B78&lt;&gt;"",C78&lt;&gt;"",D78&lt;&gt;"",E78&lt;&gt;"",F78&lt;&gt;"",G78&lt;&gt;"",H78&lt;&gt;"",I78&lt;&gt;"",J78&lt;&gt;"",M78&lt;&gt;"",Y78&lt;&gt;"",Z78&lt;&gt;""),ROW()-3,"")</f>
        <v/>
      </c>
      <c r="B78" s="185" t="n"/>
      <c r="C78" s="185" t="n"/>
      <c r="D78" s="231" t="n"/>
      <c r="E78" s="185" t="n"/>
      <c r="F78" s="185" t="n"/>
      <c r="G78" s="232" t="n"/>
      <c r="H78" s="232" t="n"/>
      <c r="I78" s="231" t="n"/>
      <c r="J78" s="232" t="n"/>
      <c r="K78" s="185" t="n"/>
      <c r="L78" s="231" t="n"/>
      <c r="M78" s="232" t="n"/>
      <c r="N78" s="233" t="n"/>
      <c r="O78" s="233" t="n"/>
      <c r="P78" s="233" t="n"/>
      <c r="Q78" s="233" t="n"/>
      <c r="R78" s="234" t="n"/>
      <c r="S78" s="234" t="n"/>
      <c r="T78" s="234" t="n"/>
      <c r="U78" s="234" t="n"/>
      <c r="V78" s="234" t="n"/>
      <c r="W78" s="234" t="n"/>
      <c r="X78" s="190" t="n"/>
      <c r="Y78" s="185" t="n"/>
      <c r="Z78" s="185" t="n"/>
      <c r="AA78" s="191" t="n"/>
    </row>
    <row r="79" ht="42" customHeight="1" s="184">
      <c r="A79" s="224">
        <f>IF(OR(B79&lt;&gt;"",C79&lt;&gt;"",D79&lt;&gt;"",E79&lt;&gt;"",F79&lt;&gt;"",G79&lt;&gt;"",H79&lt;&gt;"",I79&lt;&gt;"",J79&lt;&gt;"",M79&lt;&gt;"",Y79&lt;&gt;"",Z79&lt;&gt;""),ROW()-3,"")</f>
        <v/>
      </c>
      <c r="B79" s="185" t="n"/>
      <c r="C79" s="185" t="n"/>
      <c r="D79" s="231" t="n"/>
      <c r="E79" s="185" t="n"/>
      <c r="F79" s="185" t="n"/>
      <c r="G79" s="232" t="n"/>
      <c r="H79" s="232" t="n"/>
      <c r="I79" s="231" t="n"/>
      <c r="J79" s="232" t="n"/>
      <c r="K79" s="185" t="n"/>
      <c r="L79" s="231" t="n"/>
      <c r="M79" s="232" t="n"/>
      <c r="N79" s="233" t="n"/>
      <c r="O79" s="233" t="n"/>
      <c r="P79" s="233" t="n"/>
      <c r="Q79" s="233" t="n"/>
      <c r="R79" s="234" t="n"/>
      <c r="S79" s="234" t="n"/>
      <c r="T79" s="234" t="n"/>
      <c r="U79" s="234" t="n"/>
      <c r="V79" s="234" t="n"/>
      <c r="W79" s="234" t="n"/>
      <c r="X79" s="190" t="n"/>
      <c r="Y79" s="185" t="n"/>
      <c r="Z79" s="185" t="n"/>
      <c r="AA79" s="191" t="n"/>
    </row>
    <row r="80" ht="42" customHeight="1" s="184">
      <c r="A80" s="224">
        <f>IF(OR(B80&lt;&gt;"",C80&lt;&gt;"",D80&lt;&gt;"",E80&lt;&gt;"",F80&lt;&gt;"",G80&lt;&gt;"",H80&lt;&gt;"",I80&lt;&gt;"",J80&lt;&gt;"",M80&lt;&gt;"",Y80&lt;&gt;"",Z80&lt;&gt;""),ROW()-3,"")</f>
        <v/>
      </c>
      <c r="B80" s="185" t="n"/>
      <c r="C80" s="185" t="n"/>
      <c r="D80" s="231" t="n"/>
      <c r="E80" s="185" t="n"/>
      <c r="F80" s="185" t="n"/>
      <c r="G80" s="232" t="n"/>
      <c r="H80" s="232" t="n"/>
      <c r="I80" s="231" t="n"/>
      <c r="J80" s="232" t="n"/>
      <c r="K80" s="185" t="n"/>
      <c r="L80" s="231" t="n"/>
      <c r="M80" s="232" t="n"/>
      <c r="N80" s="233" t="n"/>
      <c r="O80" s="233" t="n"/>
      <c r="P80" s="233" t="n"/>
      <c r="Q80" s="233" t="n"/>
      <c r="R80" s="234" t="n"/>
      <c r="S80" s="234" t="n"/>
      <c r="T80" s="234" t="n"/>
      <c r="U80" s="234" t="n"/>
      <c r="V80" s="234" t="n"/>
      <c r="W80" s="234" t="n"/>
      <c r="X80" s="190" t="n"/>
      <c r="Y80" s="185" t="n"/>
      <c r="Z80" s="185" t="n"/>
      <c r="AA80" s="191" t="n"/>
    </row>
    <row r="81" ht="42" customHeight="1" s="184">
      <c r="A81" s="224">
        <f>IF(OR(B81&lt;&gt;"",C81&lt;&gt;"",D81&lt;&gt;"",E81&lt;&gt;"",F81&lt;&gt;"",G81&lt;&gt;"",H81&lt;&gt;"",I81&lt;&gt;"",J81&lt;&gt;"",M81&lt;&gt;"",Y81&lt;&gt;"",Z81&lt;&gt;""),ROW()-3,"")</f>
        <v/>
      </c>
      <c r="B81" s="185" t="n"/>
      <c r="C81" s="185" t="n"/>
      <c r="D81" s="231" t="n"/>
      <c r="E81" s="185" t="n"/>
      <c r="F81" s="185" t="n"/>
      <c r="G81" s="232" t="n"/>
      <c r="H81" s="232" t="n"/>
      <c r="I81" s="231" t="n"/>
      <c r="J81" s="232" t="n"/>
      <c r="K81" s="185" t="n"/>
      <c r="L81" s="231" t="n"/>
      <c r="M81" s="232" t="n"/>
      <c r="N81" s="233" t="n"/>
      <c r="O81" s="233" t="n"/>
      <c r="P81" s="233" t="n"/>
      <c r="Q81" s="233" t="n"/>
      <c r="R81" s="234" t="n"/>
      <c r="S81" s="234" t="n"/>
      <c r="T81" s="234" t="n"/>
      <c r="U81" s="234" t="n"/>
      <c r="V81" s="234" t="n"/>
      <c r="W81" s="234" t="n"/>
      <c r="X81" s="190" t="n"/>
      <c r="Y81" s="185" t="n"/>
      <c r="Z81" s="185" t="n"/>
      <c r="AA81" s="191" t="n"/>
    </row>
    <row r="82" ht="42" customHeight="1" s="184">
      <c r="A82" s="224">
        <f>IF(OR(B82&lt;&gt;"",C82&lt;&gt;"",D82&lt;&gt;"",E82&lt;&gt;"",F82&lt;&gt;"",G82&lt;&gt;"",H82&lt;&gt;"",I82&lt;&gt;"",J82&lt;&gt;"",M82&lt;&gt;"",Y82&lt;&gt;"",Z82&lt;&gt;""),ROW()-3,"")</f>
        <v/>
      </c>
      <c r="B82" s="185" t="n"/>
      <c r="C82" s="185" t="n"/>
      <c r="D82" s="231" t="n"/>
      <c r="E82" s="185" t="n"/>
      <c r="F82" s="185" t="n"/>
      <c r="G82" s="232" t="n"/>
      <c r="H82" s="232" t="n"/>
      <c r="I82" s="231" t="n"/>
      <c r="J82" s="232" t="n"/>
      <c r="K82" s="185" t="n"/>
      <c r="L82" s="231" t="n"/>
      <c r="M82" s="232" t="n"/>
      <c r="N82" s="233" t="n"/>
      <c r="O82" s="233" t="n"/>
      <c r="P82" s="233" t="n"/>
      <c r="Q82" s="233" t="n"/>
      <c r="R82" s="234" t="n"/>
      <c r="S82" s="234" t="n"/>
      <c r="T82" s="234" t="n"/>
      <c r="U82" s="234" t="n"/>
      <c r="V82" s="234" t="n"/>
      <c r="W82" s="234" t="n"/>
      <c r="X82" s="190" t="n"/>
      <c r="Y82" s="185" t="n"/>
      <c r="Z82" s="185" t="n"/>
      <c r="AA82" s="191" t="n"/>
    </row>
    <row r="83" ht="42" customHeight="1" s="184">
      <c r="A83" s="224">
        <f>IF(OR(B83&lt;&gt;"",C83&lt;&gt;"",D83&lt;&gt;"",E83&lt;&gt;"",F83&lt;&gt;"",G83&lt;&gt;"",H83&lt;&gt;"",I83&lt;&gt;"",J83&lt;&gt;"",M83&lt;&gt;"",Y83&lt;&gt;"",Z83&lt;&gt;""),ROW()-3,"")</f>
        <v/>
      </c>
      <c r="B83" s="185" t="n"/>
      <c r="C83" s="185" t="n"/>
      <c r="D83" s="231" t="n"/>
      <c r="E83" s="185" t="n"/>
      <c r="F83" s="185" t="n"/>
      <c r="G83" s="232" t="n"/>
      <c r="H83" s="232" t="n"/>
      <c r="I83" s="231" t="n"/>
      <c r="J83" s="232" t="n"/>
      <c r="K83" s="185" t="n"/>
      <c r="L83" s="231" t="n"/>
      <c r="M83" s="232" t="n"/>
      <c r="N83" s="233" t="n"/>
      <c r="O83" s="233" t="n"/>
      <c r="P83" s="233" t="n"/>
      <c r="Q83" s="233" t="n"/>
      <c r="R83" s="234" t="n"/>
      <c r="S83" s="234" t="n"/>
      <c r="T83" s="234" t="n"/>
      <c r="U83" s="234" t="n"/>
      <c r="V83" s="234" t="n"/>
      <c r="W83" s="234" t="n"/>
      <c r="X83" s="190" t="n"/>
      <c r="Y83" s="185" t="n"/>
      <c r="Z83" s="185" t="n"/>
      <c r="AA83" s="191" t="n"/>
    </row>
    <row r="84" ht="42" customHeight="1" s="184">
      <c r="A84" s="224">
        <f>IF(OR(B84&lt;&gt;"",C84&lt;&gt;"",D84&lt;&gt;"",E84&lt;&gt;"",F84&lt;&gt;"",G84&lt;&gt;"",H84&lt;&gt;"",I84&lt;&gt;"",J84&lt;&gt;"",M84&lt;&gt;"",Y84&lt;&gt;"",Z84&lt;&gt;""),ROW()-3,"")</f>
        <v/>
      </c>
      <c r="B84" s="185" t="n"/>
      <c r="C84" s="185" t="n"/>
      <c r="D84" s="231" t="n"/>
      <c r="E84" s="185" t="n"/>
      <c r="F84" s="185" t="n"/>
      <c r="G84" s="232" t="n"/>
      <c r="H84" s="232" t="n"/>
      <c r="I84" s="231" t="n"/>
      <c r="J84" s="232" t="n"/>
      <c r="K84" s="185" t="n"/>
      <c r="L84" s="231" t="n"/>
      <c r="M84" s="232" t="n"/>
      <c r="N84" s="233" t="n"/>
      <c r="O84" s="233" t="n"/>
      <c r="P84" s="233" t="n"/>
      <c r="Q84" s="233" t="n"/>
      <c r="R84" s="234" t="n"/>
      <c r="S84" s="234" t="n"/>
      <c r="T84" s="234" t="n"/>
      <c r="U84" s="234" t="n"/>
      <c r="V84" s="234" t="n"/>
      <c r="W84" s="234" t="n"/>
      <c r="X84" s="190" t="n"/>
      <c r="Y84" s="185" t="n"/>
      <c r="Z84" s="185" t="n"/>
      <c r="AA84" s="191" t="n"/>
    </row>
    <row r="85" ht="42" customHeight="1" s="184">
      <c r="A85" s="224">
        <f>IF(OR(B85&lt;&gt;"",C85&lt;&gt;"",D85&lt;&gt;"",E85&lt;&gt;"",F85&lt;&gt;"",G85&lt;&gt;"",H85&lt;&gt;"",I85&lt;&gt;"",J85&lt;&gt;"",M85&lt;&gt;"",Y85&lt;&gt;"",Z85&lt;&gt;""),ROW()-3,"")</f>
        <v/>
      </c>
      <c r="B85" s="185" t="n"/>
      <c r="C85" s="185" t="n"/>
      <c r="D85" s="231" t="n"/>
      <c r="E85" s="185" t="n"/>
      <c r="F85" s="185" t="n"/>
      <c r="G85" s="232" t="n"/>
      <c r="H85" s="232" t="n"/>
      <c r="I85" s="231" t="n"/>
      <c r="J85" s="232" t="n"/>
      <c r="K85" s="185" t="n"/>
      <c r="L85" s="231" t="n"/>
      <c r="M85" s="232" t="n"/>
      <c r="N85" s="233" t="n"/>
      <c r="O85" s="233" t="n"/>
      <c r="P85" s="233" t="n"/>
      <c r="Q85" s="233" t="n"/>
      <c r="R85" s="234" t="n"/>
      <c r="S85" s="234" t="n"/>
      <c r="T85" s="234" t="n"/>
      <c r="U85" s="234" t="n"/>
      <c r="V85" s="234" t="n"/>
      <c r="W85" s="234" t="n"/>
      <c r="X85" s="190" t="n"/>
      <c r="Y85" s="185" t="n"/>
      <c r="Z85" s="185" t="n"/>
      <c r="AA85" s="191" t="n"/>
    </row>
    <row r="86" ht="42" customHeight="1" s="184">
      <c r="A86" s="224">
        <f>IF(OR(B86&lt;&gt;"",C86&lt;&gt;"",D86&lt;&gt;"",E86&lt;&gt;"",F86&lt;&gt;"",G86&lt;&gt;"",H86&lt;&gt;"",I86&lt;&gt;"",J86&lt;&gt;"",M86&lt;&gt;"",Y86&lt;&gt;"",Z86&lt;&gt;""),ROW()-3,"")</f>
        <v/>
      </c>
      <c r="B86" s="185" t="n"/>
      <c r="C86" s="185" t="n"/>
      <c r="D86" s="231" t="n"/>
      <c r="E86" s="185" t="n"/>
      <c r="F86" s="185" t="n"/>
      <c r="G86" s="232" t="n"/>
      <c r="H86" s="232" t="n"/>
      <c r="I86" s="231" t="n"/>
      <c r="J86" s="232" t="n"/>
      <c r="K86" s="185" t="n"/>
      <c r="L86" s="231" t="n"/>
      <c r="M86" s="232" t="n"/>
      <c r="N86" s="233" t="n"/>
      <c r="O86" s="233" t="n"/>
      <c r="P86" s="233" t="n"/>
      <c r="Q86" s="233" t="n"/>
      <c r="R86" s="234" t="n"/>
      <c r="S86" s="234" t="n"/>
      <c r="T86" s="234" t="n"/>
      <c r="U86" s="234" t="n"/>
      <c r="V86" s="234" t="n"/>
      <c r="W86" s="234" t="n"/>
      <c r="X86" s="190" t="n"/>
      <c r="Y86" s="185" t="n"/>
      <c r="Z86" s="185" t="n"/>
      <c r="AA86" s="191" t="n"/>
    </row>
    <row r="87" ht="42" customHeight="1" s="184">
      <c r="A87" s="224">
        <f>IF(OR(B87&lt;&gt;"",C87&lt;&gt;"",D87&lt;&gt;"",E87&lt;&gt;"",F87&lt;&gt;"",G87&lt;&gt;"",H87&lt;&gt;"",I87&lt;&gt;"",J87&lt;&gt;"",M87&lt;&gt;"",Y87&lt;&gt;"",Z87&lt;&gt;""),ROW()-3,"")</f>
        <v/>
      </c>
      <c r="B87" s="185" t="n"/>
      <c r="C87" s="185" t="n"/>
      <c r="D87" s="231" t="n"/>
      <c r="E87" s="185" t="n"/>
      <c r="F87" s="185" t="n"/>
      <c r="G87" s="232" t="n"/>
      <c r="H87" s="232" t="n"/>
      <c r="I87" s="231" t="n"/>
      <c r="J87" s="232" t="n"/>
      <c r="K87" s="185" t="n"/>
      <c r="L87" s="231" t="n"/>
      <c r="M87" s="232" t="n"/>
      <c r="N87" s="233" t="n"/>
      <c r="O87" s="233" t="n"/>
      <c r="P87" s="233" t="n"/>
      <c r="Q87" s="233" t="n"/>
      <c r="R87" s="234" t="n"/>
      <c r="S87" s="234" t="n"/>
      <c r="T87" s="234" t="n"/>
      <c r="U87" s="234" t="n"/>
      <c r="V87" s="234" t="n"/>
      <c r="W87" s="234" t="n"/>
      <c r="X87" s="190" t="n"/>
      <c r="Y87" s="185" t="n"/>
      <c r="Z87" s="185" t="n"/>
      <c r="AA87" s="191" t="n"/>
    </row>
    <row r="88" ht="42" customHeight="1" s="184">
      <c r="A88" s="224">
        <f>IF(OR(B88&lt;&gt;"",C88&lt;&gt;"",D88&lt;&gt;"",E88&lt;&gt;"",F88&lt;&gt;"",G88&lt;&gt;"",H88&lt;&gt;"",I88&lt;&gt;"",J88&lt;&gt;"",M88&lt;&gt;"",Y88&lt;&gt;"",Z88&lt;&gt;""),ROW()-3,"")</f>
        <v/>
      </c>
      <c r="B88" s="185" t="n"/>
      <c r="C88" s="185" t="n"/>
      <c r="D88" s="231" t="n"/>
      <c r="E88" s="185" t="n"/>
      <c r="F88" s="185" t="n"/>
      <c r="G88" s="232" t="n"/>
      <c r="H88" s="232" t="n"/>
      <c r="I88" s="231" t="n"/>
      <c r="J88" s="232" t="n"/>
      <c r="K88" s="185" t="n"/>
      <c r="L88" s="231" t="n"/>
      <c r="M88" s="232" t="n"/>
      <c r="N88" s="233" t="n"/>
      <c r="O88" s="233" t="n"/>
      <c r="P88" s="233" t="n"/>
      <c r="Q88" s="233" t="n"/>
      <c r="R88" s="234" t="n"/>
      <c r="S88" s="234" t="n"/>
      <c r="T88" s="234" t="n"/>
      <c r="U88" s="234" t="n"/>
      <c r="V88" s="234" t="n"/>
      <c r="W88" s="234" t="n"/>
      <c r="X88" s="190" t="n"/>
      <c r="Y88" s="185" t="n"/>
      <c r="Z88" s="185" t="n"/>
      <c r="AA88" s="191" t="n"/>
    </row>
    <row r="89" ht="42" customHeight="1" s="184">
      <c r="A89" s="224">
        <f>IF(OR(B89&lt;&gt;"",C89&lt;&gt;"",D89&lt;&gt;"",E89&lt;&gt;"",F89&lt;&gt;"",G89&lt;&gt;"",H89&lt;&gt;"",I89&lt;&gt;"",J89&lt;&gt;"",M89&lt;&gt;"",Y89&lt;&gt;"",Z89&lt;&gt;""),ROW()-3,"")</f>
        <v/>
      </c>
      <c r="B89" s="185" t="n"/>
      <c r="C89" s="185" t="n"/>
      <c r="D89" s="231" t="n"/>
      <c r="E89" s="185" t="n"/>
      <c r="F89" s="185" t="n"/>
      <c r="G89" s="232" t="n"/>
      <c r="H89" s="232" t="n"/>
      <c r="I89" s="231" t="n"/>
      <c r="J89" s="232" t="n"/>
      <c r="K89" s="185" t="n"/>
      <c r="L89" s="231" t="n"/>
      <c r="M89" s="232" t="n"/>
      <c r="N89" s="233" t="n"/>
      <c r="O89" s="233" t="n"/>
      <c r="P89" s="233" t="n"/>
      <c r="Q89" s="233" t="n"/>
      <c r="R89" s="234" t="n"/>
      <c r="S89" s="234" t="n"/>
      <c r="T89" s="234" t="n"/>
      <c r="U89" s="234" t="n"/>
      <c r="V89" s="234" t="n"/>
      <c r="W89" s="234" t="n"/>
      <c r="X89" s="190" t="n"/>
      <c r="Y89" s="185" t="n"/>
      <c r="Z89" s="185" t="n"/>
      <c r="AA89" s="191" t="n"/>
    </row>
    <row r="90" ht="42" customHeight="1" s="184">
      <c r="A90" s="224">
        <f>IF(OR(B90&lt;&gt;"",C90&lt;&gt;"",D90&lt;&gt;"",E90&lt;&gt;"",F90&lt;&gt;"",G90&lt;&gt;"",H90&lt;&gt;"",I90&lt;&gt;"",J90&lt;&gt;"",M90&lt;&gt;"",Y90&lt;&gt;"",Z90&lt;&gt;""),ROW()-3,"")</f>
        <v/>
      </c>
      <c r="B90" s="185" t="n"/>
      <c r="C90" s="185" t="n"/>
      <c r="D90" s="231" t="n"/>
      <c r="E90" s="185" t="n"/>
      <c r="F90" s="185" t="n"/>
      <c r="G90" s="232" t="n"/>
      <c r="H90" s="232" t="n"/>
      <c r="I90" s="231" t="n"/>
      <c r="J90" s="232" t="n"/>
      <c r="K90" s="185" t="n"/>
      <c r="L90" s="231" t="n"/>
      <c r="M90" s="232" t="n"/>
      <c r="N90" s="233" t="n"/>
      <c r="O90" s="233" t="n"/>
      <c r="P90" s="233" t="n"/>
      <c r="Q90" s="233" t="n"/>
      <c r="R90" s="234" t="n"/>
      <c r="S90" s="234" t="n"/>
      <c r="T90" s="234" t="n"/>
      <c r="U90" s="234" t="n"/>
      <c r="V90" s="234" t="n"/>
      <c r="W90" s="234" t="n"/>
      <c r="X90" s="190" t="n"/>
      <c r="Y90" s="185" t="n"/>
      <c r="Z90" s="185" t="n"/>
      <c r="AA90" s="191" t="n"/>
    </row>
    <row r="91" ht="42" customHeight="1" s="184">
      <c r="A91" s="224">
        <f>IF(OR(B91&lt;&gt;"",C91&lt;&gt;"",D91&lt;&gt;"",E91&lt;&gt;"",F91&lt;&gt;"",G91&lt;&gt;"",H91&lt;&gt;"",I91&lt;&gt;"",J91&lt;&gt;"",M91&lt;&gt;"",Y91&lt;&gt;"",Z91&lt;&gt;""),ROW()-3,"")</f>
        <v/>
      </c>
      <c r="B91" s="185" t="n"/>
      <c r="C91" s="185" t="n"/>
      <c r="D91" s="231" t="n"/>
      <c r="E91" s="185" t="n"/>
      <c r="F91" s="185" t="n"/>
      <c r="G91" s="232" t="n"/>
      <c r="H91" s="232" t="n"/>
      <c r="I91" s="231" t="n"/>
      <c r="J91" s="232" t="n"/>
      <c r="K91" s="185" t="n"/>
      <c r="L91" s="231" t="n"/>
      <c r="M91" s="232" t="n"/>
      <c r="N91" s="233" t="n"/>
      <c r="O91" s="233" t="n"/>
      <c r="P91" s="233" t="n"/>
      <c r="Q91" s="233" t="n"/>
      <c r="R91" s="234" t="n"/>
      <c r="S91" s="234" t="n"/>
      <c r="T91" s="234" t="n"/>
      <c r="U91" s="234" t="n"/>
      <c r="V91" s="234" t="n"/>
      <c r="W91" s="234" t="n"/>
      <c r="X91" s="190" t="n"/>
      <c r="Y91" s="185" t="n"/>
      <c r="Z91" s="185" t="n"/>
      <c r="AA91" s="191" t="n"/>
    </row>
    <row r="92" ht="42" customHeight="1" s="184">
      <c r="A92" s="224">
        <f>IF(OR(B92&lt;&gt;"",C92&lt;&gt;"",D92&lt;&gt;"",E92&lt;&gt;"",F92&lt;&gt;"",G92&lt;&gt;"",H92&lt;&gt;"",I92&lt;&gt;"",J92&lt;&gt;"",M92&lt;&gt;"",Y92&lt;&gt;"",Z92&lt;&gt;""),ROW()-3,"")</f>
        <v/>
      </c>
      <c r="B92" s="185" t="n"/>
      <c r="C92" s="185" t="n"/>
      <c r="D92" s="231" t="n"/>
      <c r="E92" s="185" t="n"/>
      <c r="F92" s="185" t="n"/>
      <c r="G92" s="232" t="n"/>
      <c r="H92" s="232" t="n"/>
      <c r="I92" s="231" t="n"/>
      <c r="J92" s="232" t="n"/>
      <c r="K92" s="185" t="n"/>
      <c r="L92" s="231" t="n"/>
      <c r="M92" s="232" t="n"/>
      <c r="N92" s="233" t="n"/>
      <c r="O92" s="233" t="n"/>
      <c r="P92" s="233" t="n"/>
      <c r="Q92" s="233" t="n"/>
      <c r="R92" s="234" t="n"/>
      <c r="S92" s="234" t="n"/>
      <c r="T92" s="234" t="n"/>
      <c r="U92" s="234" t="n"/>
      <c r="V92" s="234" t="n"/>
      <c r="W92" s="234" t="n"/>
      <c r="X92" s="190" t="n"/>
      <c r="Y92" s="185" t="n"/>
      <c r="Z92" s="185" t="n"/>
      <c r="AA92" s="191" t="n"/>
    </row>
    <row r="93" ht="42" customHeight="1" s="184">
      <c r="A93" s="224">
        <f>IF(OR(B93&lt;&gt;"",C93&lt;&gt;"",D93&lt;&gt;"",E93&lt;&gt;"",F93&lt;&gt;"",G93&lt;&gt;"",H93&lt;&gt;"",I93&lt;&gt;"",J93&lt;&gt;"",M93&lt;&gt;"",Y93&lt;&gt;"",Z93&lt;&gt;""),ROW()-3,"")</f>
        <v/>
      </c>
      <c r="B93" s="185" t="n"/>
      <c r="C93" s="185" t="n"/>
      <c r="D93" s="231" t="n"/>
      <c r="E93" s="185" t="n"/>
      <c r="F93" s="185" t="n"/>
      <c r="G93" s="232" t="n"/>
      <c r="H93" s="232" t="n"/>
      <c r="I93" s="231" t="n"/>
      <c r="J93" s="232" t="n"/>
      <c r="K93" s="185" t="n"/>
      <c r="L93" s="231" t="n"/>
      <c r="M93" s="232" t="n"/>
      <c r="N93" s="233" t="n"/>
      <c r="O93" s="233" t="n"/>
      <c r="P93" s="233" t="n"/>
      <c r="Q93" s="233" t="n"/>
      <c r="R93" s="234" t="n"/>
      <c r="S93" s="234" t="n"/>
      <c r="T93" s="234" t="n"/>
      <c r="U93" s="234" t="n"/>
      <c r="V93" s="234" t="n"/>
      <c r="W93" s="234" t="n"/>
      <c r="X93" s="190" t="n"/>
      <c r="Y93" s="185" t="n"/>
      <c r="Z93" s="185" t="n"/>
      <c r="AA93" s="191" t="n"/>
    </row>
    <row r="94" ht="42" customHeight="1" s="184">
      <c r="A94" s="224">
        <f>IF(OR(B94&lt;&gt;"",C94&lt;&gt;"",D94&lt;&gt;"",E94&lt;&gt;"",F94&lt;&gt;"",G94&lt;&gt;"",H94&lt;&gt;"",I94&lt;&gt;"",J94&lt;&gt;"",M94&lt;&gt;"",Y94&lt;&gt;"",Z94&lt;&gt;""),ROW()-3,"")</f>
        <v/>
      </c>
      <c r="B94" s="185" t="n"/>
      <c r="C94" s="185" t="n"/>
      <c r="D94" s="231" t="n"/>
      <c r="E94" s="185" t="n"/>
      <c r="F94" s="185" t="n"/>
      <c r="G94" s="232" t="n"/>
      <c r="H94" s="232" t="n"/>
      <c r="I94" s="231" t="n"/>
      <c r="J94" s="232" t="n"/>
      <c r="K94" s="185" t="n"/>
      <c r="L94" s="231" t="n"/>
      <c r="M94" s="232" t="n"/>
      <c r="N94" s="233" t="n"/>
      <c r="O94" s="233" t="n"/>
      <c r="P94" s="233" t="n"/>
      <c r="Q94" s="233" t="n"/>
      <c r="R94" s="234" t="n"/>
      <c r="S94" s="234" t="n"/>
      <c r="T94" s="234" t="n"/>
      <c r="U94" s="234" t="n"/>
      <c r="V94" s="234" t="n"/>
      <c r="W94" s="234" t="n"/>
      <c r="X94" s="190" t="n"/>
      <c r="Y94" s="185" t="n"/>
      <c r="Z94" s="185" t="n"/>
      <c r="AA94" s="191" t="n"/>
    </row>
    <row r="95" ht="42" customHeight="1" s="184">
      <c r="A95" s="224">
        <f>IF(OR(B95&lt;&gt;"",C95&lt;&gt;"",D95&lt;&gt;"",E95&lt;&gt;"",F95&lt;&gt;"",G95&lt;&gt;"",H95&lt;&gt;"",I95&lt;&gt;"",J95&lt;&gt;"",M95&lt;&gt;"",Y95&lt;&gt;"",Z95&lt;&gt;""),ROW()-3,"")</f>
        <v/>
      </c>
      <c r="B95" s="185" t="n"/>
      <c r="C95" s="185" t="n"/>
      <c r="D95" s="231" t="n"/>
      <c r="E95" s="185" t="n"/>
      <c r="F95" s="185" t="n"/>
      <c r="G95" s="232" t="n"/>
      <c r="H95" s="232" t="n"/>
      <c r="I95" s="231" t="n"/>
      <c r="J95" s="232" t="n"/>
      <c r="K95" s="185" t="n"/>
      <c r="L95" s="231" t="n"/>
      <c r="M95" s="232" t="n"/>
      <c r="N95" s="233" t="n"/>
      <c r="O95" s="233" t="n"/>
      <c r="P95" s="233" t="n"/>
      <c r="Q95" s="233" t="n"/>
      <c r="R95" s="234" t="n"/>
      <c r="S95" s="234" t="n"/>
      <c r="T95" s="234" t="n"/>
      <c r="U95" s="234" t="n"/>
      <c r="V95" s="234" t="n"/>
      <c r="W95" s="234" t="n"/>
      <c r="X95" s="190" t="n"/>
      <c r="Y95" s="185" t="n"/>
      <c r="Z95" s="185" t="n"/>
      <c r="AA95" s="191" t="n"/>
    </row>
    <row r="96" ht="42" customHeight="1" s="184">
      <c r="A96" s="224">
        <f>IF(OR(B96&lt;&gt;"",C96&lt;&gt;"",D96&lt;&gt;"",E96&lt;&gt;"",F96&lt;&gt;"",G96&lt;&gt;"",H96&lt;&gt;"",I96&lt;&gt;"",J96&lt;&gt;"",M96&lt;&gt;"",Y96&lt;&gt;"",Z96&lt;&gt;""),ROW()-3,"")</f>
        <v/>
      </c>
      <c r="B96" s="185" t="n"/>
      <c r="C96" s="185" t="n"/>
      <c r="D96" s="231" t="n"/>
      <c r="E96" s="185" t="n"/>
      <c r="F96" s="185" t="n"/>
      <c r="G96" s="232" t="n"/>
      <c r="H96" s="232" t="n"/>
      <c r="I96" s="231" t="n"/>
      <c r="J96" s="232" t="n"/>
      <c r="K96" s="185" t="n"/>
      <c r="L96" s="231" t="n"/>
      <c r="M96" s="232" t="n"/>
      <c r="N96" s="233" t="n"/>
      <c r="O96" s="233" t="n"/>
      <c r="P96" s="233" t="n"/>
      <c r="Q96" s="233" t="n"/>
      <c r="R96" s="234" t="n"/>
      <c r="S96" s="234" t="n"/>
      <c r="T96" s="234" t="n"/>
      <c r="U96" s="234" t="n"/>
      <c r="V96" s="234" t="n"/>
      <c r="W96" s="234" t="n"/>
      <c r="X96" s="190" t="n"/>
      <c r="Y96" s="185" t="n"/>
      <c r="Z96" s="185" t="n"/>
      <c r="AA96" s="191" t="n"/>
    </row>
    <row r="97" ht="42" customHeight="1" s="184">
      <c r="A97" s="224">
        <f>IF(OR(B97&lt;&gt;"",C97&lt;&gt;"",D97&lt;&gt;"",E97&lt;&gt;"",F97&lt;&gt;"",G97&lt;&gt;"",H97&lt;&gt;"",I97&lt;&gt;"",J97&lt;&gt;"",M97&lt;&gt;"",Y97&lt;&gt;"",Z97&lt;&gt;""),ROW()-3,"")</f>
        <v/>
      </c>
      <c r="B97" s="185" t="n"/>
      <c r="C97" s="185" t="n"/>
      <c r="D97" s="231" t="n"/>
      <c r="E97" s="185" t="n"/>
      <c r="F97" s="185" t="n"/>
      <c r="G97" s="232" t="n"/>
      <c r="H97" s="232" t="n"/>
      <c r="I97" s="231" t="n"/>
      <c r="J97" s="232" t="n"/>
      <c r="K97" s="185" t="n"/>
      <c r="L97" s="231" t="n"/>
      <c r="M97" s="232" t="n"/>
      <c r="N97" s="233" t="n"/>
      <c r="O97" s="233" t="n"/>
      <c r="P97" s="233" t="n"/>
      <c r="Q97" s="233" t="n"/>
      <c r="R97" s="234" t="n"/>
      <c r="S97" s="234" t="n"/>
      <c r="T97" s="234" t="n"/>
      <c r="U97" s="234" t="n"/>
      <c r="V97" s="234" t="n"/>
      <c r="W97" s="234" t="n"/>
      <c r="X97" s="190" t="n"/>
      <c r="Y97" s="185" t="n"/>
      <c r="Z97" s="185" t="n"/>
      <c r="AA97" s="191" t="n"/>
    </row>
    <row r="98" ht="42" customHeight="1" s="184">
      <c r="A98" s="224">
        <f>IF(OR(B98&lt;&gt;"",C98&lt;&gt;"",D98&lt;&gt;"",E98&lt;&gt;"",F98&lt;&gt;"",G98&lt;&gt;"",H98&lt;&gt;"",I98&lt;&gt;"",J98&lt;&gt;"",M98&lt;&gt;"",Y98&lt;&gt;"",Z98&lt;&gt;""),ROW()-3,"")</f>
        <v/>
      </c>
      <c r="B98" s="185" t="n"/>
      <c r="C98" s="185" t="n"/>
      <c r="D98" s="231" t="n"/>
      <c r="E98" s="185" t="n"/>
      <c r="F98" s="185" t="n"/>
      <c r="G98" s="232" t="n"/>
      <c r="H98" s="232" t="n"/>
      <c r="I98" s="231" t="n"/>
      <c r="J98" s="232" t="n"/>
      <c r="K98" s="185" t="n"/>
      <c r="L98" s="231" t="n"/>
      <c r="M98" s="232" t="n"/>
      <c r="N98" s="233" t="n"/>
      <c r="O98" s="233" t="n"/>
      <c r="P98" s="233" t="n"/>
      <c r="Q98" s="233" t="n"/>
      <c r="R98" s="234" t="n"/>
      <c r="S98" s="234" t="n"/>
      <c r="T98" s="234" t="n"/>
      <c r="U98" s="234" t="n"/>
      <c r="V98" s="234" t="n"/>
      <c r="W98" s="234" t="n"/>
      <c r="X98" s="190" t="n"/>
      <c r="Y98" s="185" t="n"/>
      <c r="Z98" s="185" t="n"/>
      <c r="AA98" s="191" t="n"/>
    </row>
    <row r="99" ht="42" customHeight="1" s="184">
      <c r="A99" s="224">
        <f>IF(OR(B99&lt;&gt;"",C99&lt;&gt;"",D99&lt;&gt;"",E99&lt;&gt;"",F99&lt;&gt;"",G99&lt;&gt;"",H99&lt;&gt;"",I99&lt;&gt;"",J99&lt;&gt;"",M99&lt;&gt;"",Y99&lt;&gt;"",Z99&lt;&gt;""),ROW()-3,"")</f>
        <v/>
      </c>
      <c r="B99" s="185" t="n"/>
      <c r="C99" s="185" t="n"/>
      <c r="D99" s="231" t="n"/>
      <c r="E99" s="185" t="n"/>
      <c r="F99" s="185" t="n"/>
      <c r="G99" s="232" t="n"/>
      <c r="H99" s="232" t="n"/>
      <c r="I99" s="231" t="n"/>
      <c r="J99" s="232" t="n"/>
      <c r="K99" s="185" t="n"/>
      <c r="L99" s="231" t="n"/>
      <c r="M99" s="232" t="n"/>
      <c r="N99" s="233" t="n"/>
      <c r="O99" s="233" t="n"/>
      <c r="P99" s="233" t="n"/>
      <c r="Q99" s="233" t="n"/>
      <c r="R99" s="234" t="n"/>
      <c r="S99" s="234" t="n"/>
      <c r="T99" s="234" t="n"/>
      <c r="U99" s="234" t="n"/>
      <c r="V99" s="234" t="n"/>
      <c r="W99" s="234" t="n"/>
      <c r="X99" s="190" t="n"/>
      <c r="Y99" s="185" t="n"/>
      <c r="Z99" s="185" t="n"/>
      <c r="AA99" s="191" t="n"/>
    </row>
    <row r="100" ht="42" customHeight="1" s="184">
      <c r="A100" s="224">
        <f>IF(OR(B100&lt;&gt;"",C100&lt;&gt;"",D100&lt;&gt;"",E100&lt;&gt;"",F100&lt;&gt;"",G100&lt;&gt;"",H100&lt;&gt;"",I100&lt;&gt;"",J100&lt;&gt;"",M100&lt;&gt;"",Y100&lt;&gt;"",Z100&lt;&gt;""),ROW()-3,"")</f>
        <v/>
      </c>
      <c r="B100" s="185" t="n"/>
      <c r="C100" s="185" t="n"/>
      <c r="D100" s="231" t="n"/>
      <c r="E100" s="185" t="n"/>
      <c r="F100" s="185" t="n"/>
      <c r="G100" s="232" t="n"/>
      <c r="H100" s="232" t="n"/>
      <c r="I100" s="231" t="n"/>
      <c r="J100" s="232" t="n"/>
      <c r="K100" s="185" t="n"/>
      <c r="L100" s="231" t="n"/>
      <c r="M100" s="232" t="n"/>
      <c r="N100" s="233" t="n"/>
      <c r="O100" s="233" t="n"/>
      <c r="P100" s="233" t="n"/>
      <c r="Q100" s="233" t="n"/>
      <c r="R100" s="234" t="n"/>
      <c r="S100" s="234" t="n"/>
      <c r="T100" s="234" t="n"/>
      <c r="U100" s="234" t="n"/>
      <c r="V100" s="234" t="n"/>
      <c r="W100" s="234" t="n"/>
      <c r="X100" s="190" t="n"/>
      <c r="Y100" s="185" t="n"/>
      <c r="Z100" s="185" t="n"/>
      <c r="AA100" s="191" t="n"/>
    </row>
    <row r="101" ht="42" customHeight="1" s="184">
      <c r="A101" s="224">
        <f>IF(OR(B101&lt;&gt;"",C101&lt;&gt;"",D101&lt;&gt;"",E101&lt;&gt;"",F101&lt;&gt;"",G101&lt;&gt;"",H101&lt;&gt;"",I101&lt;&gt;"",J101&lt;&gt;"",M101&lt;&gt;"",Y101&lt;&gt;"",Z101&lt;&gt;""),ROW()-3,"")</f>
        <v/>
      </c>
      <c r="B101" s="185" t="n"/>
      <c r="C101" s="185" t="n"/>
      <c r="D101" s="231" t="n"/>
      <c r="E101" s="185" t="n"/>
      <c r="F101" s="185" t="n"/>
      <c r="G101" s="232" t="n"/>
      <c r="H101" s="232" t="n"/>
      <c r="I101" s="231" t="n"/>
      <c r="J101" s="232" t="n"/>
      <c r="K101" s="185" t="n"/>
      <c r="L101" s="231" t="n"/>
      <c r="M101" s="232" t="n"/>
      <c r="N101" s="233" t="n"/>
      <c r="O101" s="233" t="n"/>
      <c r="P101" s="233" t="n"/>
      <c r="Q101" s="233" t="n"/>
      <c r="R101" s="234" t="n"/>
      <c r="S101" s="234" t="n"/>
      <c r="T101" s="234" t="n"/>
      <c r="U101" s="234" t="n"/>
      <c r="V101" s="234" t="n"/>
      <c r="W101" s="234" t="n"/>
      <c r="X101" s="190" t="n"/>
      <c r="Y101" s="185" t="n"/>
      <c r="Z101" s="185" t="n"/>
      <c r="AA101" s="191" t="n"/>
    </row>
    <row r="102" ht="42" customHeight="1" s="184">
      <c r="A102" s="224">
        <f>IF(OR(B102&lt;&gt;"",C102&lt;&gt;"",D102&lt;&gt;"",E102&lt;&gt;"",F102&lt;&gt;"",G102&lt;&gt;"",H102&lt;&gt;"",I102&lt;&gt;"",J102&lt;&gt;"",M102&lt;&gt;"",Y102&lt;&gt;"",Z102&lt;&gt;""),ROW()-3,"")</f>
        <v/>
      </c>
      <c r="B102" s="185" t="n"/>
      <c r="C102" s="185" t="n"/>
      <c r="D102" s="231" t="n"/>
      <c r="E102" s="185" t="n"/>
      <c r="F102" s="185" t="n"/>
      <c r="G102" s="232" t="n"/>
      <c r="H102" s="232" t="n"/>
      <c r="I102" s="231" t="n"/>
      <c r="J102" s="232" t="n"/>
      <c r="K102" s="185" t="n"/>
      <c r="L102" s="231" t="n"/>
      <c r="M102" s="232" t="n"/>
      <c r="N102" s="233" t="n"/>
      <c r="O102" s="233" t="n"/>
      <c r="P102" s="233" t="n"/>
      <c r="Q102" s="233" t="n"/>
      <c r="R102" s="234" t="n"/>
      <c r="S102" s="234" t="n"/>
      <c r="T102" s="234" t="n"/>
      <c r="U102" s="234" t="n"/>
      <c r="V102" s="234" t="n"/>
      <c r="W102" s="234" t="n"/>
      <c r="X102" s="190" t="n"/>
      <c r="Y102" s="185" t="n"/>
      <c r="Z102" s="185" t="n"/>
      <c r="AA102" s="191" t="n"/>
    </row>
    <row r="103" ht="42" customHeight="1" s="184">
      <c r="A103" s="224">
        <f>IF(OR(B103&lt;&gt;"",C103&lt;&gt;"",D103&lt;&gt;"",E103&lt;&gt;"",F103&lt;&gt;"",G103&lt;&gt;"",H103&lt;&gt;"",I103&lt;&gt;"",J103&lt;&gt;"",M103&lt;&gt;"",Y103&lt;&gt;"",Z103&lt;&gt;""),ROW()-3,"")</f>
        <v/>
      </c>
      <c r="B103" s="185" t="n"/>
      <c r="C103" s="185" t="n"/>
      <c r="D103" s="231" t="n"/>
      <c r="E103" s="185" t="n"/>
      <c r="F103" s="185" t="n"/>
      <c r="G103" s="232" t="n"/>
      <c r="H103" s="232" t="n"/>
      <c r="I103" s="231" t="n"/>
      <c r="J103" s="232" t="n"/>
      <c r="K103" s="185" t="n"/>
      <c r="L103" s="231" t="n"/>
      <c r="M103" s="232" t="n"/>
      <c r="N103" s="233" t="n"/>
      <c r="O103" s="233" t="n"/>
      <c r="P103" s="233" t="n"/>
      <c r="Q103" s="233" t="n"/>
      <c r="R103" s="234" t="n"/>
      <c r="S103" s="234" t="n"/>
      <c r="T103" s="234" t="n"/>
      <c r="U103" s="234" t="n"/>
      <c r="V103" s="234" t="n"/>
      <c r="W103" s="234" t="n"/>
      <c r="X103" s="190" t="n"/>
      <c r="Y103" s="185" t="n"/>
      <c r="Z103" s="185" t="n"/>
      <c r="AA103" s="191" t="n"/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A1:W1"/>
    <mergeCell ref="Y2:AA2"/>
    <mergeCell ref="A2:E2"/>
    <mergeCell ref="X1:Y1"/>
    <mergeCell ref="Z1:AA1"/>
    <mergeCell ref="N2:T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EV_PUMP_CATEGORY</formula1>
    </dataValidation>
    <dataValidation sqref="G4:G103" showDropDown="0" showInputMessage="0" showErrorMessage="1" allowBlank="1" type="decimal" errorStyle="stop" operator="greaterThan">
      <formula1>0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errorTitle="泵效率输入错误" error="泵效率应填写1～100之间的数值，单位为%。例如95%填写95。" type="decimal" errorStyle="stop" operator="between">
      <formula1>1</formula1>
      <formula2>100</formula2>
    </dataValidation>
    <dataValidation sqref="K4:K103" showDropDown="0" showInputMessage="0" showErrorMessage="0" allowBlank="1" errorTitle="单吸/双吸" error="单吸/双吸必须为「单吸」或「双吸」。石油化工泵的单级/多级不代表吸入方式，请按铭牌填写。" promptTitle="单吸/双吸" prompt="请选择单吸或双吸（按铭牌实际结构）" type="list">
      <formula1>EV_SUCTION</formula1>
    </dataValidation>
    <dataValidation sqref="L4:L103" showDropDown="0" showInputMessage="0" showErrorMessage="0" allowBlank="1" errorTitle="级数" error="单级清水泵、管道清水泵、单级石油化工离心泵的级数固定为 1；多级泵级数应为 ≥2 的整数。" promptTitle="级数" prompt="单级泵填 1；多级泵填 ≥2 的整数" type="custom">
      <formula1>OR($F4="",AND(OR($F4="单级单吸清水离心泵",$F4="单级双吸清水离心泵",$F4="管道清水离心泵",$F4="单级石油化工离心泵"),L4=1),AND(OR($F4="多级清水离心泵",$F4="轻型多级清水离心泵（立式）",$F4="轻型多级清水离心泵（卧式）",$F4="多级石油化工离心泵"),ISNUMBER(L4),L4&gt;=2,L4=INT(L4)),OR($F4="其他类别",$F4="不确定类别"))</formula1>
    </dataValidation>
    <dataValidation sqref="D4:D103" showDropDown="0" showInputMessage="0" showErrorMessage="0" allowBlank="1" errorTitle="数量" error="数量必须为大于 0 的正整数（不得空白、0、负数或小数）。" type="whole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4" customWidth="1" style="184" min="29" max="29"/>
    <col width="15" customWidth="1" style="184" min="30" max="30"/>
    <col width="24" customWidth="1" style="184" min="31" max="31"/>
    <col width="42" customWidth="1" style="184" min="32" max="32"/>
  </cols>
  <sheetData>
    <row r="1" ht="32" customHeight="1" s="184">
      <c r="A1" s="12" t="inlineStr">
        <is>
          <t>离心通风机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220" t="n"/>
      <c r="AC1" s="10" t="inlineStr">
        <is>
          <t>数量合计</t>
        </is>
      </c>
      <c r="AD1" s="220" t="n"/>
      <c r="AE1" s="11">
        <f>SUM(TblCentrifugalFan[数量])</f>
        <v/>
      </c>
      <c r="AF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2" t="n"/>
      <c r="Y2" s="223" t="n"/>
      <c r="Z2" s="57" t="inlineStr">
        <is>
          <t>标准查询结果</t>
        </is>
      </c>
      <c r="AA2" s="222" t="n"/>
      <c r="AB2" s="223" t="n"/>
      <c r="AC2" s="70" t="inlineStr">
        <is>
          <t>结论</t>
        </is>
      </c>
      <c r="AD2" s="82" t="inlineStr">
        <is>
          <t>附件备注</t>
        </is>
      </c>
      <c r="AE2" s="222" t="n"/>
      <c r="AF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单双吸</t>
        </is>
      </c>
      <c r="I3" s="45" t="inlineStr">
        <is>
          <t>是否暖通空调用</t>
        </is>
      </c>
      <c r="J3" s="45" t="inlineStr">
        <is>
          <t>是否带进气箱</t>
        </is>
      </c>
      <c r="K3" s="55" t="inlineStr">
        <is>
          <t>流量
(m³/h)</t>
        </is>
      </c>
      <c r="L3" s="55" t="inlineStr">
        <is>
          <t>风机压力pF
(Pa)</t>
        </is>
      </c>
      <c r="M3" s="55" t="inlineStr">
        <is>
          <t>出口滞止压力
(Pa)</t>
        </is>
      </c>
      <c r="N3" s="55" t="inlineStr">
        <is>
          <t>进口滞止压力
(Pa)</t>
        </is>
      </c>
      <c r="O3" s="55" t="inlineStr">
        <is>
          <t>额定功率
(kW)</t>
        </is>
      </c>
      <c r="P3" s="55" t="inlineStr">
        <is>
          <t>叶轮功率
(kW)</t>
        </is>
      </c>
      <c r="Q3" s="55" t="inlineStr">
        <is>
          <t>转速
(r/min)</t>
        </is>
      </c>
      <c r="R3" s="55" t="inlineStr">
        <is>
          <t>机号
(No.)</t>
        </is>
      </c>
      <c r="S3" s="55" t="inlineStr">
        <is>
          <t>进口滞止密度
(kg/m³)</t>
        </is>
      </c>
      <c r="T3" s="55" t="inlineStr">
        <is>
          <t>等熵指数k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叶轮圆周速度
(m/s)</t>
        </is>
      </c>
      <c r="X3" s="108" t="inlineStr">
        <is>
          <t>压力系数</t>
        </is>
      </c>
      <c r="Y3" s="108" t="inlineStr">
        <is>
          <t>比转速</t>
        </is>
      </c>
      <c r="Z3" s="63" t="inlineStr">
        <is>
          <t>1级效率
(%)</t>
        </is>
      </c>
      <c r="AA3" s="63" t="inlineStr">
        <is>
          <t>2级效率
(%)</t>
        </is>
      </c>
      <c r="AB3" s="63" t="inlineStr">
        <is>
          <t>3级效率
(%)</t>
        </is>
      </c>
      <c r="AC3" s="76" t="inlineStr">
        <is>
          <t>能效等级</t>
        </is>
      </c>
      <c r="AD3" s="88" t="inlineStr">
        <is>
          <t>铭牌照片</t>
        </is>
      </c>
      <c r="AE3" s="88" t="inlineStr">
        <is>
          <t>填表备注</t>
        </is>
      </c>
      <c r="AF3" s="88" t="inlineStr">
        <is>
          <t>自动备注</t>
        </is>
      </c>
    </row>
    <row r="4" ht="42" customHeight="1" s="184">
      <c r="A4" s="224">
        <f>IF(COUNTA(B4,C4,D4,E4,F4,G4,H4,I4,J4,K4,L4,M4,N4,O4,P4,Q4,R4,S4,T4,U4,AD4,AE4)&gt;0,ROW()-3,"")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29" t="n"/>
      <c r="L4" s="229" t="n"/>
      <c r="M4" s="229" t="n"/>
      <c r="N4" s="229" t="n"/>
      <c r="O4" s="229" t="n"/>
      <c r="P4" s="229" t="n"/>
      <c r="Q4" s="229" t="n"/>
      <c r="R4" s="229" t="n"/>
      <c r="S4" s="229" t="n"/>
      <c r="T4" s="235" t="n"/>
      <c r="U4" s="229" t="n"/>
      <c r="V4" s="113" t="n"/>
      <c r="W4" s="236" t="n"/>
      <c r="X4" s="113" t="n"/>
      <c r="Y4" s="113" t="n"/>
      <c r="Z4" s="227" t="n"/>
      <c r="AA4" s="227" t="n"/>
      <c r="AB4" s="227" t="n"/>
      <c r="AC4" s="81" t="n"/>
      <c r="AD4" s="180" t="n"/>
      <c r="AE4" s="180" t="n"/>
      <c r="AF4" s="99">
        <f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f>
        <v/>
      </c>
    </row>
    <row r="5" ht="42" customHeight="1" s="184">
      <c r="A5" s="224">
        <f>IF(COUNTA(B5,C5,D5,E5,F5,G5,H5,I5,J5,K5,L5,M5,N5,O5,P5,Q5,R5,S5,T5,U5,AD5,AE5)&gt;0,ROW()-3,"")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29" t="n"/>
      <c r="L5" s="229" t="n"/>
      <c r="M5" s="229" t="n"/>
      <c r="N5" s="229" t="n"/>
      <c r="O5" s="229" t="n"/>
      <c r="P5" s="229" t="n"/>
      <c r="Q5" s="229" t="n"/>
      <c r="R5" s="229" t="n"/>
      <c r="S5" s="229" t="n"/>
      <c r="T5" s="235" t="n"/>
      <c r="U5" s="229" t="n"/>
      <c r="V5" s="113" t="n"/>
      <c r="W5" s="236" t="n"/>
      <c r="X5" s="113" t="n"/>
      <c r="Y5" s="113" t="n"/>
      <c r="Z5" s="227" t="n"/>
      <c r="AA5" s="227" t="n"/>
      <c r="AB5" s="227" t="n"/>
      <c r="AC5" s="81" t="n"/>
      <c r="AD5" s="180" t="n"/>
      <c r="AE5" s="180" t="n"/>
      <c r="AF5" s="99">
        <f>IF(COUNTA(B5,C5,D5,E5,F5,G5,H5,I5,J5,K5,L5,M5,N5,O5,P5,Q5,R5,S5,T5,U5,AD5,AE5)&gt;0,TEXTJOIN("；",TRUE,IF(B5="","缺少设备名称",""),IF(AND(ISTEXT(B5),OR(B5&lt;&gt;TRIM(B5),ISNUMBER(SEARCH("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",E5)))),"安装位置含首尾空格或全角空格",""),IF(F5="","缺少设备类别",""),IF(F5="","",IF(COUNTIF(EV_CENTRIFUGAL_FAN_CATEGORY,F5)=0,"设备类别不在标准枚举中","")),IF(AND(ISTEXT(F5),OR(F5&lt;&gt;TRIM(F5),ISNUMBER(SEARCH("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",G5)))),"传动方式含首尾空格或全角空格",""),IF(H5="","",IF(COUNTIF(EV_SUCTION,H5)=0,"单双吸不在标准枚举中","")),IF(AND(ISTEXT(H5),OR(H5&lt;&gt;TRIM(H5),ISNUMBER(SEARCH("　",H5)))),"单双吸含首尾空格或全角空格",""),IF(I5="","缺少是否暖通空调用",""),IF(I5="","",IF(COUNTIF(EV_YES_NO,I5)=0,"是否暖通空调用不在标准枚举中","")),IF(AND(ISTEXT(I5),OR(I5&lt;&gt;TRIM(I5),ISNUMBER(SEARCH("　",I5)))),"是否暖通空调用含首尾空格或全角空格",""),IF(J5="","缺少是否带进气箱",""),IF(J5="","",IF(COUNTIF(EV_YES_NO,J5)=0,"是否带进气箱不在标准枚举中","")),IF(AND(ISTEXT(J5),OR(J5&lt;&gt;TRIM(J5),ISNUMBER(SEARCH("　",J5)))),"是否带进气箱含首尾空格或全角空格",""),IF(K5="","缺少流量",""),IF(K5="","",IF(NOT(ISNUMBER(K5)),"流量应为数值",IF(K5&lt;=0,"流量应大于0",""))),IF(L5="","缺少风机压力pF",""),IF(L5="","",IF(NOT(ISNUMBER(L5)),"风机压力pF应为数值",IF(L5&lt;=0,"风机压力pF应大于0",""))),IF(M5="","缺少出口滞止压力",""),IF(M5="","",IF(NOT(ISNUMBER(M5)),"出口滞止压力应为数值",IF(M5&lt;=0,"出口滞止压力应大于0",""))),IF(N5="","缺少进口滞止压力",""),IF(N5="","",IF(NOT(ISNUMBER(N5)),"进口滞止压力应为数值",IF(N5&lt;=0,"进口滞止压力应大于0",""))),IF(O5="","缺少额定功率",""),IF(O5="","",IF(NOT(ISNUMBER(O5)),"额定功率应为数值",IF(O5&lt;=0,"额定功率应大于0",""))),IF(P5="","缺少叶轮功率",""),IF(P5="","",IF(NOT(ISNUMBER(P5)),"叶轮功率应为数值",IF(P5&lt;=0,"叶轮功率应大于0",""))),IF(Q5="","缺少转速",""),IF(Q5="","",IF(NOT(ISNUMBER(Q5)),"转速应为数值",IF(Q5&lt;=0,"转速应大于0",""))),IF(R5="","缺少机号",""),IF(R5="","",IF(NOT(ISNUMBER(R5)),"机号应为数值",IF(R5&lt;=0,"机号应大于0",""))),IF(S5="","缺少进口滞止密度",""),IF(S5="","",IF(NOT(ISNUMBER(S5)),"进口滞止密度应为数值",IF(S5&lt;=0,"进口滞止密度应大于0",""))),IF(T5="","缺少等熵指数k",""),IF(T5="","",IF(NOT(ISNUMBER(T5)),"等熵指数k应为数值",IF(OR(T5&lt;1,T5&gt;2),"等熵指数k应为1～2",""))),IF(U5="","缺少最高通风机效率ηr",""),IF(U5="","",IF(NOT(ISNUMBER(U5)),"最高通风机效率ηr应为数值",IF(OR(U5&lt;1,U5&gt;100),"最高通风机效率ηr应为1～100的百分数本值",""))),IF(AD5="","缺少铭牌照片",""),IF(AND(ISTEXT(AE5),OR(AE5&lt;&gt;TRIM(AE5),ISNUMBER(SEARCH("　",AE5)))),"填表备注含首尾空格或全角空格",""),IF(AND(H5="",F5&lt;&gt;""),"离心通风机缺少单双吸",""),IF(AND(ISNUMBER(L5),L5&gt;30000),"风机压力超过30kPa，超出通风机标准范围",""),IF(AND(F5="外转子电机直联前向多翼离心风机",G5&lt;&gt;"",G5&lt;&gt;"外转子电机直联"),"外转子前向多翼离心风机应选择外转子电机直联","")),"")</f>
        <v/>
      </c>
    </row>
    <row r="6" ht="42" customHeight="1" s="184">
      <c r="A6" s="224">
        <f>IF(COUNTA(B6,C6,D6,E6,F6,G6,H6,I6,J6,K6,L6,M6,N6,O6,P6,Q6,R6,S6,T6,U6,AD6,AE6)&gt;0,ROW()-3,"")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29" t="n"/>
      <c r="L6" s="229" t="n"/>
      <c r="M6" s="229" t="n"/>
      <c r="N6" s="229" t="n"/>
      <c r="O6" s="229" t="n"/>
      <c r="P6" s="229" t="n"/>
      <c r="Q6" s="229" t="n"/>
      <c r="R6" s="229" t="n"/>
      <c r="S6" s="229" t="n"/>
      <c r="T6" s="235" t="n"/>
      <c r="U6" s="229" t="n"/>
      <c r="V6" s="113" t="n"/>
      <c r="W6" s="236" t="n"/>
      <c r="X6" s="113" t="n"/>
      <c r="Y6" s="113" t="n"/>
      <c r="Z6" s="227" t="n"/>
      <c r="AA6" s="227" t="n"/>
      <c r="AB6" s="227" t="n"/>
      <c r="AC6" s="81" t="n"/>
      <c r="AD6" s="180" t="n"/>
      <c r="AE6" s="180" t="n"/>
      <c r="AF6" s="99">
        <f>IF(COUNTA(B6,C6,D6,E6,F6,G6,H6,I6,J6,K6,L6,M6,N6,O6,P6,Q6,R6,S6,T6,U6,AD6,AE6)&gt;0,TEXTJOIN("；",TRUE,IF(B6="","缺少设备名称",""),IF(AND(ISTEXT(B6),OR(B6&lt;&gt;TRIM(B6),ISNUMBER(SEARCH("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",E6)))),"安装位置含首尾空格或全角空格",""),IF(F6="","缺少设备类别",""),IF(F6="","",IF(COUNTIF(EV_CENTRIFUGAL_FAN_CATEGORY,F6)=0,"设备类别不在标准枚举中","")),IF(AND(ISTEXT(F6),OR(F6&lt;&gt;TRIM(F6),ISNUMBER(SEARCH("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",G6)))),"传动方式含首尾空格或全角空格",""),IF(H6="","",IF(COUNTIF(EV_SUCTION,H6)=0,"单双吸不在标准枚举中","")),IF(AND(ISTEXT(H6),OR(H6&lt;&gt;TRIM(H6),ISNUMBER(SEARCH("　",H6)))),"单双吸含首尾空格或全角空格",""),IF(I6="","缺少是否暖通空调用",""),IF(I6="","",IF(COUNTIF(EV_YES_NO,I6)=0,"是否暖通空调用不在标准枚举中","")),IF(AND(ISTEXT(I6),OR(I6&lt;&gt;TRIM(I6),ISNUMBER(SEARCH("　",I6)))),"是否暖通空调用含首尾空格或全角空格",""),IF(J6="","缺少是否带进气箱",""),IF(J6="","",IF(COUNTIF(EV_YES_NO,J6)=0,"是否带进气箱不在标准枚举中","")),IF(AND(ISTEXT(J6),OR(J6&lt;&gt;TRIM(J6),ISNUMBER(SEARCH("　",J6)))),"是否带进气箱含首尾空格或全角空格",""),IF(K6="","缺少流量",""),IF(K6="","",IF(NOT(ISNUMBER(K6)),"流量应为数值",IF(K6&lt;=0,"流量应大于0",""))),IF(L6="","缺少风机压力pF",""),IF(L6="","",IF(NOT(ISNUMBER(L6)),"风机压力pF应为数值",IF(L6&lt;=0,"风机压力pF应大于0",""))),IF(M6="","缺少出口滞止压力",""),IF(M6="","",IF(NOT(ISNUMBER(M6)),"出口滞止压力应为数值",IF(M6&lt;=0,"出口滞止压力应大于0",""))),IF(N6="","缺少进口滞止压力",""),IF(N6="","",IF(NOT(ISNUMBER(N6)),"进口滞止压力应为数值",IF(N6&lt;=0,"进口滞止压力应大于0",""))),IF(O6="","缺少额定功率",""),IF(O6="","",IF(NOT(ISNUMBER(O6)),"额定功率应为数值",IF(O6&lt;=0,"额定功率应大于0",""))),IF(P6="","缺少叶轮功率",""),IF(P6="","",IF(NOT(ISNUMBER(P6)),"叶轮功率应为数值",IF(P6&lt;=0,"叶轮功率应大于0",""))),IF(Q6="","缺少转速",""),IF(Q6="","",IF(NOT(ISNUMBER(Q6)),"转速应为数值",IF(Q6&lt;=0,"转速应大于0",""))),IF(R6="","缺少机号",""),IF(R6="","",IF(NOT(ISNUMBER(R6)),"机号应为数值",IF(R6&lt;=0,"机号应大于0",""))),IF(S6="","缺少进口滞止密度",""),IF(S6="","",IF(NOT(ISNUMBER(S6)),"进口滞止密度应为数值",IF(S6&lt;=0,"进口滞止密度应大于0",""))),IF(T6="","缺少等熵指数k",""),IF(T6="","",IF(NOT(ISNUMBER(T6)),"等熵指数k应为数值",IF(OR(T6&lt;1,T6&gt;2),"等熵指数k应为1～2",""))),IF(U6="","缺少最高通风机效率ηr",""),IF(U6="","",IF(NOT(ISNUMBER(U6)),"最高通风机效率ηr应为数值",IF(OR(U6&lt;1,U6&gt;100),"最高通风机效率ηr应为1～100的百分数本值",""))),IF(AD6="","缺少铭牌照片",""),IF(AND(ISTEXT(AE6),OR(AE6&lt;&gt;TRIM(AE6),ISNUMBER(SEARCH("　",AE6)))),"填表备注含首尾空格或全角空格",""),IF(AND(H6="",F6&lt;&gt;""),"离心通风机缺少单双吸",""),IF(AND(ISNUMBER(L6),L6&gt;30000),"风机压力超过30kPa，超出通风机标准范围",""),IF(AND(F6="外转子电机直联前向多翼离心风机",G6&lt;&gt;"",G6&lt;&gt;"外转子电机直联"),"外转子前向多翼离心风机应选择外转子电机直联","")),"")</f>
        <v/>
      </c>
    </row>
    <row r="7" ht="42" customHeight="1" s="184">
      <c r="A7" s="224">
        <f>IF(COUNTA(B7,C7,D7,E7,F7,G7,H7,I7,J7,K7,L7,M7,N7,O7,P7,Q7,R7,S7,T7,U7,AD7,AE7)&gt;0,ROW()-3,"")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35" t="n"/>
      <c r="U7" s="229" t="n"/>
      <c r="V7" s="113" t="n"/>
      <c r="W7" s="236" t="n"/>
      <c r="X7" s="113" t="n"/>
      <c r="Y7" s="113" t="n"/>
      <c r="Z7" s="227" t="n"/>
      <c r="AA7" s="227" t="n"/>
      <c r="AB7" s="227" t="n"/>
      <c r="AC7" s="81" t="n"/>
      <c r="AD7" s="180" t="n"/>
      <c r="AE7" s="180" t="n"/>
      <c r="AF7" s="99">
        <f>IF(COUNTA(B7,C7,D7,E7,F7,G7,H7,I7,J7,K7,L7,M7,N7,O7,P7,Q7,R7,S7,T7,U7,AD7,AE7)&gt;0,TEXTJOIN("；",TRUE,IF(B7="","缺少设备名称",""),IF(AND(ISTEXT(B7),OR(B7&lt;&gt;TRIM(B7),ISNUMBER(SEARCH("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",E7)))),"安装位置含首尾空格或全角空格",""),IF(F7="","缺少设备类别",""),IF(F7="","",IF(COUNTIF(EV_CENTRIFUGAL_FAN_CATEGORY,F7)=0,"设备类别不在标准枚举中","")),IF(AND(ISTEXT(F7),OR(F7&lt;&gt;TRIM(F7),ISNUMBER(SEARCH("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",G7)))),"传动方式含首尾空格或全角空格",""),IF(H7="","",IF(COUNTIF(EV_SUCTION,H7)=0,"单双吸不在标准枚举中","")),IF(AND(ISTEXT(H7),OR(H7&lt;&gt;TRIM(H7),ISNUMBER(SEARCH("　",H7)))),"单双吸含首尾空格或全角空格",""),IF(I7="","缺少是否暖通空调用",""),IF(I7="","",IF(COUNTIF(EV_YES_NO,I7)=0,"是否暖通空调用不在标准枚举中","")),IF(AND(ISTEXT(I7),OR(I7&lt;&gt;TRIM(I7),ISNUMBER(SEARCH("　",I7)))),"是否暖通空调用含首尾空格或全角空格",""),IF(J7="","缺少是否带进气箱",""),IF(J7="","",IF(COUNTIF(EV_YES_NO,J7)=0,"是否带进气箱不在标准枚举中","")),IF(AND(ISTEXT(J7),OR(J7&lt;&gt;TRIM(J7),ISNUMBER(SEARCH("　",J7)))),"是否带进气箱含首尾空格或全角空格",""),IF(K7="","缺少流量",""),IF(K7="","",IF(NOT(ISNUMBER(K7)),"流量应为数值",IF(K7&lt;=0,"流量应大于0",""))),IF(L7="","缺少风机压力pF",""),IF(L7="","",IF(NOT(ISNUMBER(L7)),"风机压力pF应为数值",IF(L7&lt;=0,"风机压力pF应大于0",""))),IF(M7="","缺少出口滞止压力",""),IF(M7="","",IF(NOT(ISNUMBER(M7)),"出口滞止压力应为数值",IF(M7&lt;=0,"出口滞止压力应大于0",""))),IF(N7="","缺少进口滞止压力",""),IF(N7="","",IF(NOT(ISNUMBER(N7)),"进口滞止压力应为数值",IF(N7&lt;=0,"进口滞止压力应大于0",""))),IF(O7="","缺少额定功率",""),IF(O7="","",IF(NOT(ISNUMBER(O7)),"额定功率应为数值",IF(O7&lt;=0,"额定功率应大于0",""))),IF(P7="","缺少叶轮功率",""),IF(P7="","",IF(NOT(ISNUMBER(P7)),"叶轮功率应为数值",IF(P7&lt;=0,"叶轮功率应大于0",""))),IF(Q7="","缺少转速",""),IF(Q7="","",IF(NOT(ISNUMBER(Q7)),"转速应为数值",IF(Q7&lt;=0,"转速应大于0",""))),IF(R7="","缺少机号",""),IF(R7="","",IF(NOT(ISNUMBER(R7)),"机号应为数值",IF(R7&lt;=0,"机号应大于0",""))),IF(S7="","缺少进口滞止密度",""),IF(S7="","",IF(NOT(ISNUMBER(S7)),"进口滞止密度应为数值",IF(S7&lt;=0,"进口滞止密度应大于0",""))),IF(T7="","缺少等熵指数k",""),IF(T7="","",IF(NOT(ISNUMBER(T7)),"等熵指数k应为数值",IF(OR(T7&lt;1,T7&gt;2),"等熵指数k应为1～2",""))),IF(U7="","缺少最高通风机效率ηr",""),IF(U7="","",IF(NOT(ISNUMBER(U7)),"最高通风机效率ηr应为数值",IF(OR(U7&lt;1,U7&gt;100),"最高通风机效率ηr应为1～100的百分数本值",""))),IF(AD7="","缺少铭牌照片",""),IF(AND(ISTEXT(AE7),OR(AE7&lt;&gt;TRIM(AE7),ISNUMBER(SEARCH("　",AE7)))),"填表备注含首尾空格或全角空格",""),IF(AND(H7="",F7&lt;&gt;""),"离心通风机缺少单双吸",""),IF(AND(ISNUMBER(L7),L7&gt;30000),"风机压力超过30kPa，超出通风机标准范围",""),IF(AND(F7="外转子电机直联前向多翼离心风机",G7&lt;&gt;"",G7&lt;&gt;"外转子电机直联"),"外转子前向多翼离心风机应选择外转子电机直联","")),"")</f>
        <v/>
      </c>
    </row>
    <row r="8" ht="42" customHeight="1" s="184">
      <c r="A8" s="224">
        <f>IF(COUNTA(B8,C8,D8,E8,F8,G8,H8,I8,J8,K8,L8,M8,N8,O8,P8,Q8,R8,S8,T8,U8,AD8,AE8)&gt;0,ROW()-3,"")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29" t="n"/>
      <c r="L8" s="229" t="n"/>
      <c r="M8" s="229" t="n"/>
      <c r="N8" s="229" t="n"/>
      <c r="O8" s="229" t="n"/>
      <c r="P8" s="229" t="n"/>
      <c r="Q8" s="229" t="n"/>
      <c r="R8" s="229" t="n"/>
      <c r="S8" s="229" t="n"/>
      <c r="T8" s="235" t="n"/>
      <c r="U8" s="229" t="n"/>
      <c r="V8" s="113" t="n"/>
      <c r="W8" s="236" t="n"/>
      <c r="X8" s="113" t="n"/>
      <c r="Y8" s="113" t="n"/>
      <c r="Z8" s="227" t="n"/>
      <c r="AA8" s="227" t="n"/>
      <c r="AB8" s="227" t="n"/>
      <c r="AC8" s="81" t="n"/>
      <c r="AD8" s="180" t="n"/>
      <c r="AE8" s="180" t="n"/>
      <c r="AF8" s="99">
        <f>IF(COUNTA(B8,C8,D8,E8,F8,G8,H8,I8,J8,K8,L8,M8,N8,O8,P8,Q8,R8,S8,T8,U8,AD8,AE8)&gt;0,TEXTJOIN("；",TRUE,IF(B8="","缺少设备名称",""),IF(AND(ISTEXT(B8),OR(B8&lt;&gt;TRIM(B8),ISNUMBER(SEARCH("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",E8)))),"安装位置含首尾空格或全角空格",""),IF(F8="","缺少设备类别",""),IF(F8="","",IF(COUNTIF(EV_CENTRIFUGAL_FAN_CATEGORY,F8)=0,"设备类别不在标准枚举中","")),IF(AND(ISTEXT(F8),OR(F8&lt;&gt;TRIM(F8),ISNUMBER(SEARCH("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",G8)))),"传动方式含首尾空格或全角空格",""),IF(H8="","",IF(COUNTIF(EV_SUCTION,H8)=0,"单双吸不在标准枚举中","")),IF(AND(ISTEXT(H8),OR(H8&lt;&gt;TRIM(H8),ISNUMBER(SEARCH("　",H8)))),"单双吸含首尾空格或全角空格",""),IF(I8="","缺少是否暖通空调用",""),IF(I8="","",IF(COUNTIF(EV_YES_NO,I8)=0,"是否暖通空调用不在标准枚举中","")),IF(AND(ISTEXT(I8),OR(I8&lt;&gt;TRIM(I8),ISNUMBER(SEARCH("　",I8)))),"是否暖通空调用含首尾空格或全角空格",""),IF(J8="","缺少是否带进气箱",""),IF(J8="","",IF(COUNTIF(EV_YES_NO,J8)=0,"是否带进气箱不在标准枚举中","")),IF(AND(ISTEXT(J8),OR(J8&lt;&gt;TRIM(J8),ISNUMBER(SEARCH("　",J8)))),"是否带进气箱含首尾空格或全角空格",""),IF(K8="","缺少流量",""),IF(K8="","",IF(NOT(ISNUMBER(K8)),"流量应为数值",IF(K8&lt;=0,"流量应大于0",""))),IF(L8="","缺少风机压力pF",""),IF(L8="","",IF(NOT(ISNUMBER(L8)),"风机压力pF应为数值",IF(L8&lt;=0,"风机压力pF应大于0",""))),IF(M8="","缺少出口滞止压力",""),IF(M8="","",IF(NOT(ISNUMBER(M8)),"出口滞止压力应为数值",IF(M8&lt;=0,"出口滞止压力应大于0",""))),IF(N8="","缺少进口滞止压力",""),IF(N8="","",IF(NOT(ISNUMBER(N8)),"进口滞止压力应为数值",IF(N8&lt;=0,"进口滞止压力应大于0",""))),IF(O8="","缺少额定功率",""),IF(O8="","",IF(NOT(ISNUMBER(O8)),"额定功率应为数值",IF(O8&lt;=0,"额定功率应大于0",""))),IF(P8="","缺少叶轮功率",""),IF(P8="","",IF(NOT(ISNUMBER(P8)),"叶轮功率应为数值",IF(P8&lt;=0,"叶轮功率应大于0",""))),IF(Q8="","缺少转速",""),IF(Q8="","",IF(NOT(ISNUMBER(Q8)),"转速应为数值",IF(Q8&lt;=0,"转速应大于0",""))),IF(R8="","缺少机号",""),IF(R8="","",IF(NOT(ISNUMBER(R8)),"机号应为数值",IF(R8&lt;=0,"机号应大于0",""))),IF(S8="","缺少进口滞止密度",""),IF(S8="","",IF(NOT(ISNUMBER(S8)),"进口滞止密度应为数值",IF(S8&lt;=0,"进口滞止密度应大于0",""))),IF(T8="","缺少等熵指数k",""),IF(T8="","",IF(NOT(ISNUMBER(T8)),"等熵指数k应为数值",IF(OR(T8&lt;1,T8&gt;2),"等熵指数k应为1～2",""))),IF(U8="","缺少最高通风机效率ηr",""),IF(U8="","",IF(NOT(ISNUMBER(U8)),"最高通风机效率ηr应为数值",IF(OR(U8&lt;1,U8&gt;100),"最高通风机效率ηr应为1～100的百分数本值",""))),IF(AD8="","缺少铭牌照片",""),IF(AND(ISTEXT(AE8),OR(AE8&lt;&gt;TRIM(AE8),ISNUMBER(SEARCH("　",AE8)))),"填表备注含首尾空格或全角空格",""),IF(AND(H8="",F8&lt;&gt;""),"离心通风机缺少单双吸",""),IF(AND(ISNUMBER(L8),L8&gt;30000),"风机压力超过30kPa，超出通风机标准范围",""),IF(AND(F8="外转子电机直联前向多翼离心风机",G8&lt;&gt;"",G8&lt;&gt;"外转子电机直联"),"外转子前向多翼离心风机应选择外转子电机直联","")),"")</f>
        <v/>
      </c>
    </row>
    <row r="9" ht="42" customHeight="1" s="184">
      <c r="A9" s="224">
        <f>IF(COUNTA(B9,C9,D9,E9,F9,G9,H9,I9,J9,K9,L9,M9,N9,O9,P9,Q9,R9,S9,T9,U9,AD9,AE9)&gt;0,ROW()-3,"")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29" t="n"/>
      <c r="L9" s="229" t="n"/>
      <c r="M9" s="229" t="n"/>
      <c r="N9" s="229" t="n"/>
      <c r="O9" s="229" t="n"/>
      <c r="P9" s="229" t="n"/>
      <c r="Q9" s="229" t="n"/>
      <c r="R9" s="229" t="n"/>
      <c r="S9" s="229" t="n"/>
      <c r="T9" s="235" t="n"/>
      <c r="U9" s="229" t="n"/>
      <c r="V9" s="113" t="n"/>
      <c r="W9" s="236" t="n"/>
      <c r="X9" s="113" t="n"/>
      <c r="Y9" s="113" t="n"/>
      <c r="Z9" s="227" t="n"/>
      <c r="AA9" s="227" t="n"/>
      <c r="AB9" s="227" t="n"/>
      <c r="AC9" s="81" t="n"/>
      <c r="AD9" s="180" t="n"/>
      <c r="AE9" s="180" t="n"/>
      <c r="AF9" s="99">
        <f>IF(COUNTA(B9,C9,D9,E9,F9,G9,H9,I9,J9,K9,L9,M9,N9,O9,P9,Q9,R9,S9,T9,U9,AD9,AE9)&gt;0,TEXTJOIN("；",TRUE,IF(B9="","缺少设备名称",""),IF(AND(ISTEXT(B9),OR(B9&lt;&gt;TRIM(B9),ISNUMBER(SEARCH("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",E9)))),"安装位置含首尾空格或全角空格",""),IF(F9="","缺少设备类别",""),IF(F9="","",IF(COUNTIF(EV_CENTRIFUGAL_FAN_CATEGORY,F9)=0,"设备类别不在标准枚举中","")),IF(AND(ISTEXT(F9),OR(F9&lt;&gt;TRIM(F9),ISNUMBER(SEARCH("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",G9)))),"传动方式含首尾空格或全角空格",""),IF(H9="","",IF(COUNTIF(EV_SUCTION,H9)=0,"单双吸不在标准枚举中","")),IF(AND(ISTEXT(H9),OR(H9&lt;&gt;TRIM(H9),ISNUMBER(SEARCH("　",H9)))),"单双吸含首尾空格或全角空格",""),IF(I9="","缺少是否暖通空调用",""),IF(I9="","",IF(COUNTIF(EV_YES_NO,I9)=0,"是否暖通空调用不在标准枚举中","")),IF(AND(ISTEXT(I9),OR(I9&lt;&gt;TRIM(I9),ISNUMBER(SEARCH("　",I9)))),"是否暖通空调用含首尾空格或全角空格",""),IF(J9="","缺少是否带进气箱",""),IF(J9="","",IF(COUNTIF(EV_YES_NO,J9)=0,"是否带进气箱不在标准枚举中","")),IF(AND(ISTEXT(J9),OR(J9&lt;&gt;TRIM(J9),ISNUMBER(SEARCH("　",J9)))),"是否带进气箱含首尾空格或全角空格",""),IF(K9="","缺少流量",""),IF(K9="","",IF(NOT(ISNUMBER(K9)),"流量应为数值",IF(K9&lt;=0,"流量应大于0",""))),IF(L9="","缺少风机压力pF",""),IF(L9="","",IF(NOT(ISNUMBER(L9)),"风机压力pF应为数值",IF(L9&lt;=0,"风机压力pF应大于0",""))),IF(M9="","缺少出口滞止压力",""),IF(M9="","",IF(NOT(ISNUMBER(M9)),"出口滞止压力应为数值",IF(M9&lt;=0,"出口滞止压力应大于0",""))),IF(N9="","缺少进口滞止压力",""),IF(N9="","",IF(NOT(ISNUMBER(N9)),"进口滞止压力应为数值",IF(N9&lt;=0,"进口滞止压力应大于0",""))),IF(O9="","缺少额定功率",""),IF(O9="","",IF(NOT(ISNUMBER(O9)),"额定功率应为数值",IF(O9&lt;=0,"额定功率应大于0",""))),IF(P9="","缺少叶轮功率",""),IF(P9="","",IF(NOT(ISNUMBER(P9)),"叶轮功率应为数值",IF(P9&lt;=0,"叶轮功率应大于0",""))),IF(Q9="","缺少转速",""),IF(Q9="","",IF(NOT(ISNUMBER(Q9)),"转速应为数值",IF(Q9&lt;=0,"转速应大于0",""))),IF(R9="","缺少机号",""),IF(R9="","",IF(NOT(ISNUMBER(R9)),"机号应为数值",IF(R9&lt;=0,"机号应大于0",""))),IF(S9="","缺少进口滞止密度",""),IF(S9="","",IF(NOT(ISNUMBER(S9)),"进口滞止密度应为数值",IF(S9&lt;=0,"进口滞止密度应大于0",""))),IF(T9="","缺少等熵指数k",""),IF(T9="","",IF(NOT(ISNUMBER(T9)),"等熵指数k应为数值",IF(OR(T9&lt;1,T9&gt;2),"等熵指数k应为1～2",""))),IF(U9="","缺少最高通风机效率ηr",""),IF(U9="","",IF(NOT(ISNUMBER(U9)),"最高通风机效率ηr应为数值",IF(OR(U9&lt;1,U9&gt;100),"最高通风机效率ηr应为1～100的百分数本值",""))),IF(AD9="","缺少铭牌照片",""),IF(AND(ISTEXT(AE9),OR(AE9&lt;&gt;TRIM(AE9),ISNUMBER(SEARCH("　",AE9)))),"填表备注含首尾空格或全角空格",""),IF(AND(H9="",F9&lt;&gt;""),"离心通风机缺少单双吸",""),IF(AND(ISNUMBER(L9),L9&gt;30000),"风机压力超过30kPa，超出通风机标准范围",""),IF(AND(F9="外转子电机直联前向多翼离心风机",G9&lt;&gt;"",G9&lt;&gt;"外转子电机直联"),"外转子前向多翼离心风机应选择外转子电机直联","")),"")</f>
        <v/>
      </c>
    </row>
    <row r="10" ht="42" customHeight="1" s="184">
      <c r="A10" s="224">
        <f>IF(COUNTA(B10,C10,D10,E10,F10,G10,H10,I10,J10,K10,L10,M10,N10,O10,P10,Q10,R10,S10,T10,U10,AD10,AE10)&gt;0,ROW()-3,"")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29" t="n"/>
      <c r="L10" s="229" t="n"/>
      <c r="M10" s="229" t="n"/>
      <c r="N10" s="229" t="n"/>
      <c r="O10" s="229" t="n"/>
      <c r="P10" s="229" t="n"/>
      <c r="Q10" s="229" t="n"/>
      <c r="R10" s="229" t="n"/>
      <c r="S10" s="229" t="n"/>
      <c r="T10" s="235" t="n"/>
      <c r="U10" s="229" t="n"/>
      <c r="V10" s="113" t="n"/>
      <c r="W10" s="236" t="n"/>
      <c r="X10" s="113" t="n"/>
      <c r="Y10" s="113" t="n"/>
      <c r="Z10" s="227" t="n"/>
      <c r="AA10" s="227" t="n"/>
      <c r="AB10" s="227" t="n"/>
      <c r="AC10" s="81" t="n"/>
      <c r="AD10" s="180" t="n"/>
      <c r="AE10" s="180" t="n"/>
      <c r="AF10" s="99">
        <f>IF(COUNTA(B10,C10,D10,E10,F10,G10,H10,I10,J10,K10,L10,M10,N10,O10,P10,Q10,R10,S10,T10,U10,AD10,AE10)&gt;0,TEXTJOIN("；",TRUE,IF(B10="","缺少设备名称",""),IF(AND(ISTEXT(B10),OR(B10&lt;&gt;TRIM(B10),ISNUMBER(SEARCH("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",E10)))),"安装位置含首尾空格或全角空格",""),IF(F10="","缺少设备类别",""),IF(F10="","",IF(COUNTIF(EV_CENTRIFUGAL_FAN_CATEGORY,F10)=0,"设备类别不在标准枚举中","")),IF(AND(ISTEXT(F10),OR(F10&lt;&gt;TRIM(F10),ISNUMBER(SEARCH("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",G10)))),"传动方式含首尾空格或全角空格",""),IF(H10="","",IF(COUNTIF(EV_SUCTION,H10)=0,"单双吸不在标准枚举中","")),IF(AND(ISTEXT(H10),OR(H10&lt;&gt;TRIM(H10),ISNUMBER(SEARCH("　",H10)))),"单双吸含首尾空格或全角空格",""),IF(I10="","缺少是否暖通空调用",""),IF(I10="","",IF(COUNTIF(EV_YES_NO,I10)=0,"是否暖通空调用不在标准枚举中","")),IF(AND(ISTEXT(I10),OR(I10&lt;&gt;TRIM(I10),ISNUMBER(SEARCH("　",I10)))),"是否暖通空调用含首尾空格或全角空格",""),IF(J10="","缺少是否带进气箱",""),IF(J10="","",IF(COUNTIF(EV_YES_NO,J10)=0,"是否带进气箱不在标准枚举中","")),IF(AND(ISTEXT(J10),OR(J10&lt;&gt;TRIM(J10),ISNUMBER(SEARCH("　",J10)))),"是否带进气箱含首尾空格或全角空格",""),IF(K10="","缺少流量",""),IF(K10="","",IF(NOT(ISNUMBER(K10)),"流量应为数值",IF(K10&lt;=0,"流量应大于0",""))),IF(L10="","缺少风机压力pF",""),IF(L10="","",IF(NOT(ISNUMBER(L10)),"风机压力pF应为数值",IF(L10&lt;=0,"风机压力pF应大于0",""))),IF(M10="","缺少出口滞止压力",""),IF(M10="","",IF(NOT(ISNUMBER(M10)),"出口滞止压力应为数值",IF(M10&lt;=0,"出口滞止压力应大于0",""))),IF(N10="","缺少进口滞止压力",""),IF(N10="","",IF(NOT(ISNUMBER(N10)),"进口滞止压力应为数值",IF(N10&lt;=0,"进口滞止压力应大于0",""))),IF(O10="","缺少额定功率",""),IF(O10="","",IF(NOT(ISNUMBER(O10)),"额定功率应为数值",IF(O10&lt;=0,"额定功率应大于0",""))),IF(P10="","缺少叶轮功率",""),IF(P10="","",IF(NOT(ISNUMBER(P10)),"叶轮功率应为数值",IF(P10&lt;=0,"叶轮功率应大于0",""))),IF(Q10="","缺少转速",""),IF(Q10="","",IF(NOT(ISNUMBER(Q10)),"转速应为数值",IF(Q10&lt;=0,"转速应大于0",""))),IF(R10="","缺少机号",""),IF(R10="","",IF(NOT(ISNUMBER(R10)),"机号应为数值",IF(R10&lt;=0,"机号应大于0",""))),IF(S10="","缺少进口滞止密度",""),IF(S10="","",IF(NOT(ISNUMBER(S10)),"进口滞止密度应为数值",IF(S10&lt;=0,"进口滞止密度应大于0",""))),IF(T10="","缺少等熵指数k",""),IF(T10="","",IF(NOT(ISNUMBER(T10)),"等熵指数k应为数值",IF(OR(T10&lt;1,T10&gt;2),"等熵指数k应为1～2",""))),IF(U10="","缺少最高通风机效率ηr",""),IF(U10="","",IF(NOT(ISNUMBER(U10)),"最高通风机效率ηr应为数值",IF(OR(U10&lt;1,U10&gt;100),"最高通风机效率ηr应为1～100的百分数本值",""))),IF(AD10="","缺少铭牌照片",""),IF(AND(ISTEXT(AE10),OR(AE10&lt;&gt;TRIM(AE10),ISNUMBER(SEARCH("　",AE10)))),"填表备注含首尾空格或全角空格",""),IF(AND(H10="",F10&lt;&gt;""),"离心通风机缺少单双吸",""),IF(AND(ISNUMBER(L10),L10&gt;30000),"风机压力超过30kPa，超出通风机标准范围",""),IF(AND(F10="外转子电机直联前向多翼离心风机",G10&lt;&gt;"",G10&lt;&gt;"外转子电机直联"),"外转子前向多翼离心风机应选择外转子电机直联","")),"")</f>
        <v/>
      </c>
    </row>
    <row r="11" ht="42" customHeight="1" s="184">
      <c r="A11" s="224">
        <f>IF(COUNTA(B11,C11,D11,E11,F11,G11,H11,I11,J11,K11,L11,M11,N11,O11,P11,Q11,R11,S11,T11,U11,AD11,AE11)&gt;0,ROW()-3,"")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29" t="n"/>
      <c r="L11" s="229" t="n"/>
      <c r="M11" s="229" t="n"/>
      <c r="N11" s="229" t="n"/>
      <c r="O11" s="229" t="n"/>
      <c r="P11" s="229" t="n"/>
      <c r="Q11" s="229" t="n"/>
      <c r="R11" s="229" t="n"/>
      <c r="S11" s="229" t="n"/>
      <c r="T11" s="235" t="n"/>
      <c r="U11" s="229" t="n"/>
      <c r="V11" s="113" t="n"/>
      <c r="W11" s="236" t="n"/>
      <c r="X11" s="113" t="n"/>
      <c r="Y11" s="113" t="n"/>
      <c r="Z11" s="227" t="n"/>
      <c r="AA11" s="227" t="n"/>
      <c r="AB11" s="227" t="n"/>
      <c r="AC11" s="81" t="n"/>
      <c r="AD11" s="180" t="n"/>
      <c r="AE11" s="180" t="n"/>
      <c r="AF11" s="99">
        <f>IF(COUNTA(B11,C11,D11,E11,F11,G11,H11,I11,J11,K11,L11,M11,N11,O11,P11,Q11,R11,S11,T11,U11,AD11,AE11)&gt;0,TEXTJOIN("；",TRUE,IF(B11="","缺少设备名称",""),IF(AND(ISTEXT(B11),OR(B11&lt;&gt;TRIM(B11),ISNUMBER(SEARCH("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",E11)))),"安装位置含首尾空格或全角空格",""),IF(F11="","缺少设备类别",""),IF(F11="","",IF(COUNTIF(EV_CENTRIFUGAL_FAN_CATEGORY,F11)=0,"设备类别不在标准枚举中","")),IF(AND(ISTEXT(F11),OR(F11&lt;&gt;TRIM(F11),ISNUMBER(SEARCH("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",G11)))),"传动方式含首尾空格或全角空格",""),IF(H11="","",IF(COUNTIF(EV_SUCTION,H11)=0,"单双吸不在标准枚举中","")),IF(AND(ISTEXT(H11),OR(H11&lt;&gt;TRIM(H11),ISNUMBER(SEARCH("　",H11)))),"单双吸含首尾空格或全角空格",""),IF(I11="","缺少是否暖通空调用",""),IF(I11="","",IF(COUNTIF(EV_YES_NO,I11)=0,"是否暖通空调用不在标准枚举中","")),IF(AND(ISTEXT(I11),OR(I11&lt;&gt;TRIM(I11),ISNUMBER(SEARCH("　",I11)))),"是否暖通空调用含首尾空格或全角空格",""),IF(J11="","缺少是否带进气箱",""),IF(J11="","",IF(COUNTIF(EV_YES_NO,J11)=0,"是否带进气箱不在标准枚举中","")),IF(AND(ISTEXT(J11),OR(J11&lt;&gt;TRIM(J11),ISNUMBER(SEARCH("　",J11)))),"是否带进气箱含首尾空格或全角空格",""),IF(K11="","缺少流量",""),IF(K11="","",IF(NOT(ISNUMBER(K11)),"流量应为数值",IF(K11&lt;=0,"流量应大于0",""))),IF(L11="","缺少风机压力pF",""),IF(L11="","",IF(NOT(ISNUMBER(L11)),"风机压力pF应为数值",IF(L11&lt;=0,"风机压力pF应大于0",""))),IF(M11="","缺少出口滞止压力",""),IF(M11="","",IF(NOT(ISNUMBER(M11)),"出口滞止压力应为数值",IF(M11&lt;=0,"出口滞止压力应大于0",""))),IF(N11="","缺少进口滞止压力",""),IF(N11="","",IF(NOT(ISNUMBER(N11)),"进口滞止压力应为数值",IF(N11&lt;=0,"进口滞止压力应大于0",""))),IF(O11="","缺少额定功率",""),IF(O11="","",IF(NOT(ISNUMBER(O11)),"额定功率应为数值",IF(O11&lt;=0,"额定功率应大于0",""))),IF(P11="","缺少叶轮功率",""),IF(P11="","",IF(NOT(ISNUMBER(P11)),"叶轮功率应为数值",IF(P11&lt;=0,"叶轮功率应大于0",""))),IF(Q11="","缺少转速",""),IF(Q11="","",IF(NOT(ISNUMBER(Q11)),"转速应为数值",IF(Q11&lt;=0,"转速应大于0",""))),IF(R11="","缺少机号",""),IF(R11="","",IF(NOT(ISNUMBER(R11)),"机号应为数值",IF(R11&lt;=0,"机号应大于0",""))),IF(S11="","缺少进口滞止密度",""),IF(S11="","",IF(NOT(ISNUMBER(S11)),"进口滞止密度应为数值",IF(S11&lt;=0,"进口滞止密度应大于0",""))),IF(T11="","缺少等熵指数k",""),IF(T11="","",IF(NOT(ISNUMBER(T11)),"等熵指数k应为数值",IF(OR(T11&lt;1,T11&gt;2),"等熵指数k应为1～2",""))),IF(U11="","缺少最高通风机效率ηr",""),IF(U11="","",IF(NOT(ISNUMBER(U11)),"最高通风机效率ηr应为数值",IF(OR(U11&lt;1,U11&gt;100),"最高通风机效率ηr应为1～100的百分数本值",""))),IF(AD11="","缺少铭牌照片",""),IF(AND(ISTEXT(AE11),OR(AE11&lt;&gt;TRIM(AE11),ISNUMBER(SEARCH("　",AE11)))),"填表备注含首尾空格或全角空格",""),IF(AND(H11="",F11&lt;&gt;""),"离心通风机缺少单双吸",""),IF(AND(ISNUMBER(L11),L11&gt;30000),"风机压力超过30kPa，超出通风机标准范围",""),IF(AND(F11="外转子电机直联前向多翼离心风机",G11&lt;&gt;"",G11&lt;&gt;"外转子电机直联"),"外转子前向多翼离心风机应选择外转子电机直联","")),"")</f>
        <v/>
      </c>
    </row>
    <row r="12" ht="42" customHeight="1" s="184">
      <c r="A12" s="224">
        <f>IF(COUNTA(B12,C12,D12,E12,F12,G12,H12,I12,J12,K12,L12,M12,N12,O12,P12,Q12,R12,S12,T12,U12,AD12,AE12)&gt;0,ROW()-3,"")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29" t="n"/>
      <c r="L12" s="229" t="n"/>
      <c r="M12" s="229" t="n"/>
      <c r="N12" s="229" t="n"/>
      <c r="O12" s="229" t="n"/>
      <c r="P12" s="229" t="n"/>
      <c r="Q12" s="229" t="n"/>
      <c r="R12" s="229" t="n"/>
      <c r="S12" s="229" t="n"/>
      <c r="T12" s="235" t="n"/>
      <c r="U12" s="229" t="n"/>
      <c r="V12" s="113" t="n"/>
      <c r="W12" s="236" t="n"/>
      <c r="X12" s="113" t="n"/>
      <c r="Y12" s="113" t="n"/>
      <c r="Z12" s="227" t="n"/>
      <c r="AA12" s="227" t="n"/>
      <c r="AB12" s="227" t="n"/>
      <c r="AC12" s="81" t="n"/>
      <c r="AD12" s="180" t="n"/>
      <c r="AE12" s="180" t="n"/>
      <c r="AF12" s="99">
        <f>IF(COUNTA(B12,C12,D12,E12,F12,G12,H12,I12,J12,K12,L12,M12,N12,O12,P12,Q12,R12,S12,T12,U12,AD12,AE12)&gt;0,TEXTJOIN("；",TRUE,IF(B12="","缺少设备名称",""),IF(AND(ISTEXT(B12),OR(B12&lt;&gt;TRIM(B12),ISNUMBER(SEARCH("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",E12)))),"安装位置含首尾空格或全角空格",""),IF(F12="","缺少设备类别",""),IF(F12="","",IF(COUNTIF(EV_CENTRIFUGAL_FAN_CATEGORY,F12)=0,"设备类别不在标准枚举中","")),IF(AND(ISTEXT(F12),OR(F12&lt;&gt;TRIM(F12),ISNUMBER(SEARCH("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",G12)))),"传动方式含首尾空格或全角空格",""),IF(H12="","",IF(COUNTIF(EV_SUCTION,H12)=0,"单双吸不在标准枚举中","")),IF(AND(ISTEXT(H12),OR(H12&lt;&gt;TRIM(H12),ISNUMBER(SEARCH("　",H12)))),"单双吸含首尾空格或全角空格",""),IF(I12="","缺少是否暖通空调用",""),IF(I12="","",IF(COUNTIF(EV_YES_NO,I12)=0,"是否暖通空调用不在标准枚举中","")),IF(AND(ISTEXT(I12),OR(I12&lt;&gt;TRIM(I12),ISNUMBER(SEARCH("　",I12)))),"是否暖通空调用含首尾空格或全角空格",""),IF(J12="","缺少是否带进气箱",""),IF(J12="","",IF(COUNTIF(EV_YES_NO,J12)=0,"是否带进气箱不在标准枚举中","")),IF(AND(ISTEXT(J12),OR(J12&lt;&gt;TRIM(J12),ISNUMBER(SEARCH("　",J12)))),"是否带进气箱含首尾空格或全角空格",""),IF(K12="","缺少流量",""),IF(K12="","",IF(NOT(ISNUMBER(K12)),"流量应为数值",IF(K12&lt;=0,"流量应大于0",""))),IF(L12="","缺少风机压力pF",""),IF(L12="","",IF(NOT(ISNUMBER(L12)),"风机压力pF应为数值",IF(L12&lt;=0,"风机压力pF应大于0",""))),IF(M12="","缺少出口滞止压力",""),IF(M12="","",IF(NOT(ISNUMBER(M12)),"出口滞止压力应为数值",IF(M12&lt;=0,"出口滞止压力应大于0",""))),IF(N12="","缺少进口滞止压力",""),IF(N12="","",IF(NOT(ISNUMBER(N12)),"进口滞止压力应为数值",IF(N12&lt;=0,"进口滞止压力应大于0",""))),IF(O12="","缺少额定功率",""),IF(O12="","",IF(NOT(ISNUMBER(O12)),"额定功率应为数值",IF(O12&lt;=0,"额定功率应大于0",""))),IF(P12="","缺少叶轮功率",""),IF(P12="","",IF(NOT(ISNUMBER(P12)),"叶轮功率应为数值",IF(P12&lt;=0,"叶轮功率应大于0",""))),IF(Q12="","缺少转速",""),IF(Q12="","",IF(NOT(ISNUMBER(Q12)),"转速应为数值",IF(Q12&lt;=0,"转速应大于0",""))),IF(R12="","缺少机号",""),IF(R12="","",IF(NOT(ISNUMBER(R12)),"机号应为数值",IF(R12&lt;=0,"机号应大于0",""))),IF(S12="","缺少进口滞止密度",""),IF(S12="","",IF(NOT(ISNUMBER(S12)),"进口滞止密度应为数值",IF(S12&lt;=0,"进口滞止密度应大于0",""))),IF(T12="","缺少等熵指数k",""),IF(T12="","",IF(NOT(ISNUMBER(T12)),"等熵指数k应为数值",IF(OR(T12&lt;1,T12&gt;2),"等熵指数k应为1～2",""))),IF(U12="","缺少最高通风机效率ηr",""),IF(U12="","",IF(NOT(ISNUMBER(U12)),"最高通风机效率ηr应为数值",IF(OR(U12&lt;1,U12&gt;100),"最高通风机效率ηr应为1～100的百分数本值",""))),IF(AD12="","缺少铭牌照片",""),IF(AND(ISTEXT(AE12),OR(AE12&lt;&gt;TRIM(AE12),ISNUMBER(SEARCH("　",AE12)))),"填表备注含首尾空格或全角空格",""),IF(AND(H12="",F12&lt;&gt;""),"离心通风机缺少单双吸",""),IF(AND(ISNUMBER(L12),L12&gt;30000),"风机压力超过30kPa，超出通风机标准范围",""),IF(AND(F12="外转子电机直联前向多翼离心风机",G12&lt;&gt;"",G12&lt;&gt;"外转子电机直联"),"外转子前向多翼离心风机应选择外转子电机直联","")),"")</f>
        <v/>
      </c>
    </row>
    <row r="13" ht="42" customHeight="1" s="184">
      <c r="A13" s="224">
        <f>IF(COUNTA(B13,C13,D13,E13,F13,G13,H13,I13,J13,K13,L13,M13,N13,O13,P13,Q13,R13,S13,T13,U13,AD13,AE13)&gt;0,ROW()-3,"")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29" t="n"/>
      <c r="L13" s="229" t="n"/>
      <c r="M13" s="229" t="n"/>
      <c r="N13" s="229" t="n"/>
      <c r="O13" s="229" t="n"/>
      <c r="P13" s="229" t="n"/>
      <c r="Q13" s="229" t="n"/>
      <c r="R13" s="229" t="n"/>
      <c r="S13" s="229" t="n"/>
      <c r="T13" s="235" t="n"/>
      <c r="U13" s="229" t="n"/>
      <c r="V13" s="113" t="n"/>
      <c r="W13" s="236" t="n"/>
      <c r="X13" s="113" t="n"/>
      <c r="Y13" s="113" t="n"/>
      <c r="Z13" s="227" t="n"/>
      <c r="AA13" s="227" t="n"/>
      <c r="AB13" s="227" t="n"/>
      <c r="AC13" s="81" t="n"/>
      <c r="AD13" s="180" t="n"/>
      <c r="AE13" s="180" t="n"/>
      <c r="AF13" s="99">
        <f>IF(COUNTA(B13,C13,D13,E13,F13,G13,H13,I13,J13,K13,L13,M13,N13,O13,P13,Q13,R13,S13,T13,U13,AD13,AE13)&gt;0,TEXTJOIN("；",TRUE,IF(B13="","缺少设备名称",""),IF(AND(ISTEXT(B13),OR(B13&lt;&gt;TRIM(B13),ISNUMBER(SEARCH("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",E13)))),"安装位置含首尾空格或全角空格",""),IF(F13="","缺少设备类别",""),IF(F13="","",IF(COUNTIF(EV_CENTRIFUGAL_FAN_CATEGORY,F13)=0,"设备类别不在标准枚举中","")),IF(AND(ISTEXT(F13),OR(F13&lt;&gt;TRIM(F13),ISNUMBER(SEARCH("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",G13)))),"传动方式含首尾空格或全角空格",""),IF(H13="","",IF(COUNTIF(EV_SUCTION,H13)=0,"单双吸不在标准枚举中","")),IF(AND(ISTEXT(H13),OR(H13&lt;&gt;TRIM(H13),ISNUMBER(SEARCH("　",H13)))),"单双吸含首尾空格或全角空格",""),IF(I13="","缺少是否暖通空调用",""),IF(I13="","",IF(COUNTIF(EV_YES_NO,I13)=0,"是否暖通空调用不在标准枚举中","")),IF(AND(ISTEXT(I13),OR(I13&lt;&gt;TRIM(I13),ISNUMBER(SEARCH("　",I13)))),"是否暖通空调用含首尾空格或全角空格",""),IF(J13="","缺少是否带进气箱",""),IF(J13="","",IF(COUNTIF(EV_YES_NO,J13)=0,"是否带进气箱不在标准枚举中","")),IF(AND(ISTEXT(J13),OR(J13&lt;&gt;TRIM(J13),ISNUMBER(SEARCH("　",J13)))),"是否带进气箱含首尾空格或全角空格",""),IF(K13="","缺少流量",""),IF(K13="","",IF(NOT(ISNUMBER(K13)),"流量应为数值",IF(K13&lt;=0,"流量应大于0",""))),IF(L13="","缺少风机压力pF",""),IF(L13="","",IF(NOT(ISNUMBER(L13)),"风机压力pF应为数值",IF(L13&lt;=0,"风机压力pF应大于0",""))),IF(M13="","缺少出口滞止压力",""),IF(M13="","",IF(NOT(ISNUMBER(M13)),"出口滞止压力应为数值",IF(M13&lt;=0,"出口滞止压力应大于0",""))),IF(N13="","缺少进口滞止压力",""),IF(N13="","",IF(NOT(ISNUMBER(N13)),"进口滞止压力应为数值",IF(N13&lt;=0,"进口滞止压力应大于0",""))),IF(O13="","缺少额定功率",""),IF(O13="","",IF(NOT(ISNUMBER(O13)),"额定功率应为数值",IF(O13&lt;=0,"额定功率应大于0",""))),IF(P13="","缺少叶轮功率",""),IF(P13="","",IF(NOT(ISNUMBER(P13)),"叶轮功率应为数值",IF(P13&lt;=0,"叶轮功率应大于0",""))),IF(Q13="","缺少转速",""),IF(Q13="","",IF(NOT(ISNUMBER(Q13)),"转速应为数值",IF(Q13&lt;=0,"转速应大于0",""))),IF(R13="","缺少机号",""),IF(R13="","",IF(NOT(ISNUMBER(R13)),"机号应为数值",IF(R13&lt;=0,"机号应大于0",""))),IF(S13="","缺少进口滞止密度",""),IF(S13="","",IF(NOT(ISNUMBER(S13)),"进口滞止密度应为数值",IF(S13&lt;=0,"进口滞止密度应大于0",""))),IF(T13="","缺少等熵指数k",""),IF(T13="","",IF(NOT(ISNUMBER(T13)),"等熵指数k应为数值",IF(OR(T13&lt;1,T13&gt;2),"等熵指数k应为1～2",""))),IF(U13="","缺少最高通风机效率ηr",""),IF(U13="","",IF(NOT(ISNUMBER(U13)),"最高通风机效率ηr应为数值",IF(OR(U13&lt;1,U13&gt;100),"最高通风机效率ηr应为1～100的百分数本值",""))),IF(AD13="","缺少铭牌照片",""),IF(AND(ISTEXT(AE13),OR(AE13&lt;&gt;TRIM(AE13),ISNUMBER(SEARCH("　",AE13)))),"填表备注含首尾空格或全角空格",""),IF(AND(H13="",F13&lt;&gt;""),"离心通风机缺少单双吸",""),IF(AND(ISNUMBER(L13),L13&gt;30000),"风机压力超过30kPa，超出通风机标准范围",""),IF(AND(F13="外转子电机直联前向多翼离心风机",G13&lt;&gt;"",G13&lt;&gt;"外转子电机直联"),"外转子前向多翼离心风机应选择外转子电机直联","")),"")</f>
        <v/>
      </c>
    </row>
    <row r="14" ht="42" customHeight="1" s="184">
      <c r="A14" s="224">
        <f>IF(COUNTA(B14,C14,D14,E14,F14,G14,H14,I14,J14,K14,L14,M14,N14,O14,P14,Q14,R14,S14,T14,U14,AD14,AE14)&gt;0,ROW()-3,"")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35" t="n"/>
      <c r="U14" s="229" t="n"/>
      <c r="V14" s="113" t="n"/>
      <c r="W14" s="236" t="n"/>
      <c r="X14" s="113" t="n"/>
      <c r="Y14" s="113" t="n"/>
      <c r="Z14" s="227" t="n"/>
      <c r="AA14" s="227" t="n"/>
      <c r="AB14" s="227" t="n"/>
      <c r="AC14" s="81" t="n"/>
      <c r="AD14" s="180" t="n"/>
      <c r="AE14" s="180" t="n"/>
      <c r="AF14" s="99">
        <f>IF(COUNTA(B14,C14,D14,E14,F14,G14,H14,I14,J14,K14,L14,M14,N14,O14,P14,Q14,R14,S14,T14,U14,AD14,AE14)&gt;0,TEXTJOIN("；",TRUE,IF(B14="","缺少设备名称",""),IF(AND(ISTEXT(B14),OR(B14&lt;&gt;TRIM(B14),ISNUMBER(SEARCH("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",E14)))),"安装位置含首尾空格或全角空格",""),IF(F14="","缺少设备类别",""),IF(F14="","",IF(COUNTIF(EV_CENTRIFUGAL_FAN_CATEGORY,F14)=0,"设备类别不在标准枚举中","")),IF(AND(ISTEXT(F14),OR(F14&lt;&gt;TRIM(F14),ISNUMBER(SEARCH("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",G14)))),"传动方式含首尾空格或全角空格",""),IF(H14="","",IF(COUNTIF(EV_SUCTION,H14)=0,"单双吸不在标准枚举中","")),IF(AND(ISTEXT(H14),OR(H14&lt;&gt;TRIM(H14),ISNUMBER(SEARCH("　",H14)))),"单双吸含首尾空格或全角空格",""),IF(I14="","缺少是否暖通空调用",""),IF(I14="","",IF(COUNTIF(EV_YES_NO,I14)=0,"是否暖通空调用不在标准枚举中","")),IF(AND(ISTEXT(I14),OR(I14&lt;&gt;TRIM(I14),ISNUMBER(SEARCH("　",I14)))),"是否暖通空调用含首尾空格或全角空格",""),IF(J14="","缺少是否带进气箱",""),IF(J14="","",IF(COUNTIF(EV_YES_NO,J14)=0,"是否带进气箱不在标准枚举中","")),IF(AND(ISTEXT(J14),OR(J14&lt;&gt;TRIM(J14),ISNUMBER(SEARCH("　",J14)))),"是否带进气箱含首尾空格或全角空格",""),IF(K14="","缺少流量",""),IF(K14="","",IF(NOT(ISNUMBER(K14)),"流量应为数值",IF(K14&lt;=0,"流量应大于0",""))),IF(L14="","缺少风机压力pF",""),IF(L14="","",IF(NOT(ISNUMBER(L14)),"风机压力pF应为数值",IF(L14&lt;=0,"风机压力pF应大于0",""))),IF(M14="","缺少出口滞止压力",""),IF(M14="","",IF(NOT(ISNUMBER(M14)),"出口滞止压力应为数值",IF(M14&lt;=0,"出口滞止压力应大于0",""))),IF(N14="","缺少进口滞止压力",""),IF(N14="","",IF(NOT(ISNUMBER(N14)),"进口滞止压力应为数值",IF(N14&lt;=0,"进口滞止压力应大于0",""))),IF(O14="","缺少额定功率",""),IF(O14="","",IF(NOT(ISNUMBER(O14)),"额定功率应为数值",IF(O14&lt;=0,"额定功率应大于0",""))),IF(P14="","缺少叶轮功率",""),IF(P14="","",IF(NOT(ISNUMBER(P14)),"叶轮功率应为数值",IF(P14&lt;=0,"叶轮功率应大于0",""))),IF(Q14="","缺少转速",""),IF(Q14="","",IF(NOT(ISNUMBER(Q14)),"转速应为数值",IF(Q14&lt;=0,"转速应大于0",""))),IF(R14="","缺少机号",""),IF(R14="","",IF(NOT(ISNUMBER(R14)),"机号应为数值",IF(R14&lt;=0,"机号应大于0",""))),IF(S14="","缺少进口滞止密度",""),IF(S14="","",IF(NOT(ISNUMBER(S14)),"进口滞止密度应为数值",IF(S14&lt;=0,"进口滞止密度应大于0",""))),IF(T14="","缺少等熵指数k",""),IF(T14="","",IF(NOT(ISNUMBER(T14)),"等熵指数k应为数值",IF(OR(T14&lt;1,T14&gt;2),"等熵指数k应为1～2",""))),IF(U14="","缺少最高通风机效率ηr",""),IF(U14="","",IF(NOT(ISNUMBER(U14)),"最高通风机效率ηr应为数值",IF(OR(U14&lt;1,U14&gt;100),"最高通风机效率ηr应为1～100的百分数本值",""))),IF(AD14="","缺少铭牌照片",""),IF(AND(ISTEXT(AE14),OR(AE14&lt;&gt;TRIM(AE14),ISNUMBER(SEARCH("　",AE14)))),"填表备注含首尾空格或全角空格",""),IF(AND(H14="",F14&lt;&gt;""),"离心通风机缺少单双吸",""),IF(AND(ISNUMBER(L14),L14&gt;30000),"风机压力超过30kPa，超出通风机标准范围",""),IF(AND(F14="外转子电机直联前向多翼离心风机",G14&lt;&gt;"",G14&lt;&gt;"外转子电机直联"),"外转子前向多翼离心风机应选择外转子电机直联","")),"")</f>
        <v/>
      </c>
    </row>
    <row r="15" ht="42" customHeight="1" s="184">
      <c r="A15" s="224">
        <f>IF(COUNTA(B15,C15,D15,E15,F15,G15,H15,I15,J15,K15,L15,M15,N15,O15,P15,Q15,R15,S15,T15,U15,AD15,AE15)&gt;0,ROW()-3,"")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29" t="n"/>
      <c r="L15" s="229" t="n"/>
      <c r="M15" s="229" t="n"/>
      <c r="N15" s="229" t="n"/>
      <c r="O15" s="229" t="n"/>
      <c r="P15" s="229" t="n"/>
      <c r="Q15" s="229" t="n"/>
      <c r="R15" s="229" t="n"/>
      <c r="S15" s="229" t="n"/>
      <c r="T15" s="235" t="n"/>
      <c r="U15" s="229" t="n"/>
      <c r="V15" s="113" t="n"/>
      <c r="W15" s="236" t="n"/>
      <c r="X15" s="113" t="n"/>
      <c r="Y15" s="113" t="n"/>
      <c r="Z15" s="227" t="n"/>
      <c r="AA15" s="227" t="n"/>
      <c r="AB15" s="227" t="n"/>
      <c r="AC15" s="81" t="n"/>
      <c r="AD15" s="180" t="n"/>
      <c r="AE15" s="180" t="n"/>
      <c r="AF15" s="99">
        <f>IF(COUNTA(B15,C15,D15,E15,F15,G15,H15,I15,J15,K15,L15,M15,N15,O15,P15,Q15,R15,S15,T15,U15,AD15,AE15)&gt;0,TEXTJOIN("；",TRUE,IF(B15="","缺少设备名称",""),IF(AND(ISTEXT(B15),OR(B15&lt;&gt;TRIM(B15),ISNUMBER(SEARCH("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",E15)))),"安装位置含首尾空格或全角空格",""),IF(F15="","缺少设备类别",""),IF(F15="","",IF(COUNTIF(EV_CENTRIFUGAL_FAN_CATEGORY,F15)=0,"设备类别不在标准枚举中","")),IF(AND(ISTEXT(F15),OR(F15&lt;&gt;TRIM(F15),ISNUMBER(SEARCH("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",G15)))),"传动方式含首尾空格或全角空格",""),IF(H15="","",IF(COUNTIF(EV_SUCTION,H15)=0,"单双吸不在标准枚举中","")),IF(AND(ISTEXT(H15),OR(H15&lt;&gt;TRIM(H15),ISNUMBER(SEARCH("　",H15)))),"单双吸含首尾空格或全角空格",""),IF(I15="","缺少是否暖通空调用",""),IF(I15="","",IF(COUNTIF(EV_YES_NO,I15)=0,"是否暖通空调用不在标准枚举中","")),IF(AND(ISTEXT(I15),OR(I15&lt;&gt;TRIM(I15),ISNUMBER(SEARCH("　",I15)))),"是否暖通空调用含首尾空格或全角空格",""),IF(J15="","缺少是否带进气箱",""),IF(J15="","",IF(COUNTIF(EV_YES_NO,J15)=0,"是否带进气箱不在标准枚举中","")),IF(AND(ISTEXT(J15),OR(J15&lt;&gt;TRIM(J15),ISNUMBER(SEARCH("　",J15)))),"是否带进气箱含首尾空格或全角空格",""),IF(K15="","缺少流量",""),IF(K15="","",IF(NOT(ISNUMBER(K15)),"流量应为数值",IF(K15&lt;=0,"流量应大于0",""))),IF(L15="","缺少风机压力pF",""),IF(L15="","",IF(NOT(ISNUMBER(L15)),"风机压力pF应为数值",IF(L15&lt;=0,"风机压力pF应大于0",""))),IF(M15="","缺少出口滞止压力",""),IF(M15="","",IF(NOT(ISNUMBER(M15)),"出口滞止压力应为数值",IF(M15&lt;=0,"出口滞止压力应大于0",""))),IF(N15="","缺少进口滞止压力",""),IF(N15="","",IF(NOT(ISNUMBER(N15)),"进口滞止压力应为数值",IF(N15&lt;=0,"进口滞止压力应大于0",""))),IF(O15="","缺少额定功率",""),IF(O15="","",IF(NOT(ISNUMBER(O15)),"额定功率应为数值",IF(O15&lt;=0,"额定功率应大于0",""))),IF(P15="","缺少叶轮功率",""),IF(P15="","",IF(NOT(ISNUMBER(P15)),"叶轮功率应为数值",IF(P15&lt;=0,"叶轮功率应大于0",""))),IF(Q15="","缺少转速",""),IF(Q15="","",IF(NOT(ISNUMBER(Q15)),"转速应为数值",IF(Q15&lt;=0,"转速应大于0",""))),IF(R15="","缺少机号",""),IF(R15="","",IF(NOT(ISNUMBER(R15)),"机号应为数值",IF(R15&lt;=0,"机号应大于0",""))),IF(S15="","缺少进口滞止密度",""),IF(S15="","",IF(NOT(ISNUMBER(S15)),"进口滞止密度应为数值",IF(S15&lt;=0,"进口滞止密度应大于0",""))),IF(T15="","缺少等熵指数k",""),IF(T15="","",IF(NOT(ISNUMBER(T15)),"等熵指数k应为数值",IF(OR(T15&lt;1,T15&gt;2),"等熵指数k应为1～2",""))),IF(U15="","缺少最高通风机效率ηr",""),IF(U15="","",IF(NOT(ISNUMBER(U15)),"最高通风机效率ηr应为数值",IF(OR(U15&lt;1,U15&gt;100),"最高通风机效率ηr应为1～100的百分数本值",""))),IF(AD15="","缺少铭牌照片",""),IF(AND(ISTEXT(AE15),OR(AE15&lt;&gt;TRIM(AE15),ISNUMBER(SEARCH("　",AE15)))),"填表备注含首尾空格或全角空格",""),IF(AND(H15="",F15&lt;&gt;""),"离心通风机缺少单双吸",""),IF(AND(ISNUMBER(L15),L15&gt;30000),"风机压力超过30kPa，超出通风机标准范围",""),IF(AND(F15="外转子电机直联前向多翼离心风机",G15&lt;&gt;"",G15&lt;&gt;"外转子电机直联"),"外转子前向多翼离心风机应选择外转子电机直联","")),"")</f>
        <v/>
      </c>
    </row>
    <row r="16" ht="42" customHeight="1" s="184">
      <c r="A16" s="224">
        <f>IF(COUNTA(B16,C16,D16,E16,F16,G16,H16,I16,J16,K16,L16,M16,N16,O16,P16,Q16,R16,S16,T16,U16,AD16,AE16)&gt;0,ROW()-3,"")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35" t="n"/>
      <c r="U16" s="229" t="n"/>
      <c r="V16" s="113" t="n"/>
      <c r="W16" s="236" t="n"/>
      <c r="X16" s="113" t="n"/>
      <c r="Y16" s="113" t="n"/>
      <c r="Z16" s="227" t="n"/>
      <c r="AA16" s="227" t="n"/>
      <c r="AB16" s="227" t="n"/>
      <c r="AC16" s="81" t="n"/>
      <c r="AD16" s="180" t="n"/>
      <c r="AE16" s="180" t="n"/>
      <c r="AF16" s="99">
        <f>IF(COUNTA(B16,C16,D16,E16,F16,G16,H16,I16,J16,K16,L16,M16,N16,O16,P16,Q16,R16,S16,T16,U16,AD16,AE16)&gt;0,TEXTJOIN("；",TRUE,IF(B16="","缺少设备名称",""),IF(AND(ISTEXT(B16),OR(B16&lt;&gt;TRIM(B16),ISNUMBER(SEARCH("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",E16)))),"安装位置含首尾空格或全角空格",""),IF(F16="","缺少设备类别",""),IF(F16="","",IF(COUNTIF(EV_CENTRIFUGAL_FAN_CATEGORY,F16)=0,"设备类别不在标准枚举中","")),IF(AND(ISTEXT(F16),OR(F16&lt;&gt;TRIM(F16),ISNUMBER(SEARCH("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",G16)))),"传动方式含首尾空格或全角空格",""),IF(H16="","",IF(COUNTIF(EV_SUCTION,H16)=0,"单双吸不在标准枚举中","")),IF(AND(ISTEXT(H16),OR(H16&lt;&gt;TRIM(H16),ISNUMBER(SEARCH("　",H16)))),"单双吸含首尾空格或全角空格",""),IF(I16="","缺少是否暖通空调用",""),IF(I16="","",IF(COUNTIF(EV_YES_NO,I16)=0,"是否暖通空调用不在标准枚举中","")),IF(AND(ISTEXT(I16),OR(I16&lt;&gt;TRIM(I16),ISNUMBER(SEARCH("　",I16)))),"是否暖通空调用含首尾空格或全角空格",""),IF(J16="","缺少是否带进气箱",""),IF(J16="","",IF(COUNTIF(EV_YES_NO,J16)=0,"是否带进气箱不在标准枚举中","")),IF(AND(ISTEXT(J16),OR(J16&lt;&gt;TRIM(J16),ISNUMBER(SEARCH("　",J16)))),"是否带进气箱含首尾空格或全角空格",""),IF(K16="","缺少流量",""),IF(K16="","",IF(NOT(ISNUMBER(K16)),"流量应为数值",IF(K16&lt;=0,"流量应大于0",""))),IF(L16="","缺少风机压力pF",""),IF(L16="","",IF(NOT(ISNUMBER(L16)),"风机压力pF应为数值",IF(L16&lt;=0,"风机压力pF应大于0",""))),IF(M16="","缺少出口滞止压力",""),IF(M16="","",IF(NOT(ISNUMBER(M16)),"出口滞止压力应为数值",IF(M16&lt;=0,"出口滞止压力应大于0",""))),IF(N16="","缺少进口滞止压力",""),IF(N16="","",IF(NOT(ISNUMBER(N16)),"进口滞止压力应为数值",IF(N16&lt;=0,"进口滞止压力应大于0",""))),IF(O16="","缺少额定功率",""),IF(O16="","",IF(NOT(ISNUMBER(O16)),"额定功率应为数值",IF(O16&lt;=0,"额定功率应大于0",""))),IF(P16="","缺少叶轮功率",""),IF(P16="","",IF(NOT(ISNUMBER(P16)),"叶轮功率应为数值",IF(P16&lt;=0,"叶轮功率应大于0",""))),IF(Q16="","缺少转速",""),IF(Q16="","",IF(NOT(ISNUMBER(Q16)),"转速应为数值",IF(Q16&lt;=0,"转速应大于0",""))),IF(R16="","缺少机号",""),IF(R16="","",IF(NOT(ISNUMBER(R16)),"机号应为数值",IF(R16&lt;=0,"机号应大于0",""))),IF(S16="","缺少进口滞止密度",""),IF(S16="","",IF(NOT(ISNUMBER(S16)),"进口滞止密度应为数值",IF(S16&lt;=0,"进口滞止密度应大于0",""))),IF(T16="","缺少等熵指数k",""),IF(T16="","",IF(NOT(ISNUMBER(T16)),"等熵指数k应为数值",IF(OR(T16&lt;1,T16&gt;2),"等熵指数k应为1～2",""))),IF(U16="","缺少最高通风机效率ηr",""),IF(U16="","",IF(NOT(ISNUMBER(U16)),"最高通风机效率ηr应为数值",IF(OR(U16&lt;1,U16&gt;100),"最高通风机效率ηr应为1～100的百分数本值",""))),IF(AD16="","缺少铭牌照片",""),IF(AND(ISTEXT(AE16),OR(AE16&lt;&gt;TRIM(AE16),ISNUMBER(SEARCH("　",AE16)))),"填表备注含首尾空格或全角空格",""),IF(AND(H16="",F16&lt;&gt;""),"离心通风机缺少单双吸",""),IF(AND(ISNUMBER(L16),L16&gt;30000),"风机压力超过30kPa，超出通风机标准范围",""),IF(AND(F16="外转子电机直联前向多翼离心风机",G16&lt;&gt;"",G16&lt;&gt;"外转子电机直联"),"外转子前向多翼离心风机应选择外转子电机直联","")),"")</f>
        <v/>
      </c>
    </row>
    <row r="17" ht="42" customHeight="1" s="184">
      <c r="A17" s="224">
        <f>IF(COUNTA(B17,C17,D17,E17,F17,G17,H17,I17,J17,K17,L17,M17,N17,O17,P17,Q17,R17,S17,T17,U17,AD17,AE17)&gt;0,ROW()-3,"")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29" t="n"/>
      <c r="L17" s="229" t="n"/>
      <c r="M17" s="229" t="n"/>
      <c r="N17" s="229" t="n"/>
      <c r="O17" s="229" t="n"/>
      <c r="P17" s="229" t="n"/>
      <c r="Q17" s="229" t="n"/>
      <c r="R17" s="229" t="n"/>
      <c r="S17" s="229" t="n"/>
      <c r="T17" s="235" t="n"/>
      <c r="U17" s="229" t="n"/>
      <c r="V17" s="113" t="n"/>
      <c r="W17" s="236" t="n"/>
      <c r="X17" s="113" t="n"/>
      <c r="Y17" s="113" t="n"/>
      <c r="Z17" s="227" t="n"/>
      <c r="AA17" s="227" t="n"/>
      <c r="AB17" s="227" t="n"/>
      <c r="AC17" s="81" t="n"/>
      <c r="AD17" s="180" t="n"/>
      <c r="AE17" s="180" t="n"/>
      <c r="AF17" s="99">
        <f>IF(COUNTA(B17,C17,D17,E17,F17,G17,H17,I17,J17,K17,L17,M17,N17,O17,P17,Q17,R17,S17,T17,U17,AD17,AE17)&gt;0,TEXTJOIN("；",TRUE,IF(B17="","缺少设备名称",""),IF(AND(ISTEXT(B17),OR(B17&lt;&gt;TRIM(B17),ISNUMBER(SEARCH("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",E17)))),"安装位置含首尾空格或全角空格",""),IF(F17="","缺少设备类别",""),IF(F17="","",IF(COUNTIF(EV_CENTRIFUGAL_FAN_CATEGORY,F17)=0,"设备类别不在标准枚举中","")),IF(AND(ISTEXT(F17),OR(F17&lt;&gt;TRIM(F17),ISNUMBER(SEARCH("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",G17)))),"传动方式含首尾空格或全角空格",""),IF(H17="","",IF(COUNTIF(EV_SUCTION,H17)=0,"单双吸不在标准枚举中","")),IF(AND(ISTEXT(H17),OR(H17&lt;&gt;TRIM(H17),ISNUMBER(SEARCH("　",H17)))),"单双吸含首尾空格或全角空格",""),IF(I17="","缺少是否暖通空调用",""),IF(I17="","",IF(COUNTIF(EV_YES_NO,I17)=0,"是否暖通空调用不在标准枚举中","")),IF(AND(ISTEXT(I17),OR(I17&lt;&gt;TRIM(I17),ISNUMBER(SEARCH("　",I17)))),"是否暖通空调用含首尾空格或全角空格",""),IF(J17="","缺少是否带进气箱",""),IF(J17="","",IF(COUNTIF(EV_YES_NO,J17)=0,"是否带进气箱不在标准枚举中","")),IF(AND(ISTEXT(J17),OR(J17&lt;&gt;TRIM(J17),ISNUMBER(SEARCH("　",J17)))),"是否带进气箱含首尾空格或全角空格",""),IF(K17="","缺少流量",""),IF(K17="","",IF(NOT(ISNUMBER(K17)),"流量应为数值",IF(K17&lt;=0,"流量应大于0",""))),IF(L17="","缺少风机压力pF",""),IF(L17="","",IF(NOT(ISNUMBER(L17)),"风机压力pF应为数值",IF(L17&lt;=0,"风机压力pF应大于0",""))),IF(M17="","缺少出口滞止压力",""),IF(M17="","",IF(NOT(ISNUMBER(M17)),"出口滞止压力应为数值",IF(M17&lt;=0,"出口滞止压力应大于0",""))),IF(N17="","缺少进口滞止压力",""),IF(N17="","",IF(NOT(ISNUMBER(N17)),"进口滞止压力应为数值",IF(N17&lt;=0,"进口滞止压力应大于0",""))),IF(O17="","缺少额定功率",""),IF(O17="","",IF(NOT(ISNUMBER(O17)),"额定功率应为数值",IF(O17&lt;=0,"额定功率应大于0",""))),IF(P17="","缺少叶轮功率",""),IF(P17="","",IF(NOT(ISNUMBER(P17)),"叶轮功率应为数值",IF(P17&lt;=0,"叶轮功率应大于0",""))),IF(Q17="","缺少转速",""),IF(Q17="","",IF(NOT(ISNUMBER(Q17)),"转速应为数值",IF(Q17&lt;=0,"转速应大于0",""))),IF(R17="","缺少机号",""),IF(R17="","",IF(NOT(ISNUMBER(R17)),"机号应为数值",IF(R17&lt;=0,"机号应大于0",""))),IF(S17="","缺少进口滞止密度",""),IF(S17="","",IF(NOT(ISNUMBER(S17)),"进口滞止密度应为数值",IF(S17&lt;=0,"进口滞止密度应大于0",""))),IF(T17="","缺少等熵指数k",""),IF(T17="","",IF(NOT(ISNUMBER(T17)),"等熵指数k应为数值",IF(OR(T17&lt;1,T17&gt;2),"等熵指数k应为1～2",""))),IF(U17="","缺少最高通风机效率ηr",""),IF(U17="","",IF(NOT(ISNUMBER(U17)),"最高通风机效率ηr应为数值",IF(OR(U17&lt;1,U17&gt;100),"最高通风机效率ηr应为1～100的百分数本值",""))),IF(AD17="","缺少铭牌照片",""),IF(AND(ISTEXT(AE17),OR(AE17&lt;&gt;TRIM(AE17),ISNUMBER(SEARCH("　",AE17)))),"填表备注含首尾空格或全角空格",""),IF(AND(H17="",F17&lt;&gt;""),"离心通风机缺少单双吸",""),IF(AND(ISNUMBER(L17),L17&gt;30000),"风机压力超过30kPa，超出通风机标准范围",""),IF(AND(F17="外转子电机直联前向多翼离心风机",G17&lt;&gt;"",G17&lt;&gt;"外转子电机直联"),"外转子前向多翼离心风机应选择外转子电机直联","")),"")</f>
        <v/>
      </c>
    </row>
    <row r="18" ht="42" customHeight="1" s="184">
      <c r="A18" s="224">
        <f>IF(COUNTA(B18,C18,D18,E18,F18,G18,H18,I18,J18,K18,L18,M18,N18,O18,P18,Q18,R18,S18,T18,U18,AD18,AE18)&gt;0,ROW()-3,"")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35" t="n"/>
      <c r="U18" s="229" t="n"/>
      <c r="V18" s="113" t="n"/>
      <c r="W18" s="236" t="n"/>
      <c r="X18" s="113" t="n"/>
      <c r="Y18" s="113" t="n"/>
      <c r="Z18" s="227" t="n"/>
      <c r="AA18" s="227" t="n"/>
      <c r="AB18" s="227" t="n"/>
      <c r="AC18" s="81" t="n"/>
      <c r="AD18" s="180" t="n"/>
      <c r="AE18" s="180" t="n"/>
      <c r="AF18" s="99">
        <f>IF(COUNTA(B18,C18,D18,E18,F18,G18,H18,I18,J18,K18,L18,M18,N18,O18,P18,Q18,R18,S18,T18,U18,AD18,AE18)&gt;0,TEXTJOIN("；",TRUE,IF(B18="","缺少设备名称",""),IF(AND(ISTEXT(B18),OR(B18&lt;&gt;TRIM(B18),ISNUMBER(SEARCH("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",E18)))),"安装位置含首尾空格或全角空格",""),IF(F18="","缺少设备类别",""),IF(F18="","",IF(COUNTIF(EV_CENTRIFUGAL_FAN_CATEGORY,F18)=0,"设备类别不在标准枚举中","")),IF(AND(ISTEXT(F18),OR(F18&lt;&gt;TRIM(F18),ISNUMBER(SEARCH("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",G18)))),"传动方式含首尾空格或全角空格",""),IF(H18="","",IF(COUNTIF(EV_SUCTION,H18)=0,"单双吸不在标准枚举中","")),IF(AND(ISTEXT(H18),OR(H18&lt;&gt;TRIM(H18),ISNUMBER(SEARCH("　",H18)))),"单双吸含首尾空格或全角空格",""),IF(I18="","缺少是否暖通空调用",""),IF(I18="","",IF(COUNTIF(EV_YES_NO,I18)=0,"是否暖通空调用不在标准枚举中","")),IF(AND(ISTEXT(I18),OR(I18&lt;&gt;TRIM(I18),ISNUMBER(SEARCH("　",I18)))),"是否暖通空调用含首尾空格或全角空格",""),IF(J18="","缺少是否带进气箱",""),IF(J18="","",IF(COUNTIF(EV_YES_NO,J18)=0,"是否带进气箱不在标准枚举中","")),IF(AND(ISTEXT(J18),OR(J18&lt;&gt;TRIM(J18),ISNUMBER(SEARCH("　",J18)))),"是否带进气箱含首尾空格或全角空格",""),IF(K18="","缺少流量",""),IF(K18="","",IF(NOT(ISNUMBER(K18)),"流量应为数值",IF(K18&lt;=0,"流量应大于0",""))),IF(L18="","缺少风机压力pF",""),IF(L18="","",IF(NOT(ISNUMBER(L18)),"风机压力pF应为数值",IF(L18&lt;=0,"风机压力pF应大于0",""))),IF(M18="","缺少出口滞止压力",""),IF(M18="","",IF(NOT(ISNUMBER(M18)),"出口滞止压力应为数值",IF(M18&lt;=0,"出口滞止压力应大于0",""))),IF(N18="","缺少进口滞止压力",""),IF(N18="","",IF(NOT(ISNUMBER(N18)),"进口滞止压力应为数值",IF(N18&lt;=0,"进口滞止压力应大于0",""))),IF(O18="","缺少额定功率",""),IF(O18="","",IF(NOT(ISNUMBER(O18)),"额定功率应为数值",IF(O18&lt;=0,"额定功率应大于0",""))),IF(P18="","缺少叶轮功率",""),IF(P18="","",IF(NOT(ISNUMBER(P18)),"叶轮功率应为数值",IF(P18&lt;=0,"叶轮功率应大于0",""))),IF(Q18="","缺少转速",""),IF(Q18="","",IF(NOT(ISNUMBER(Q18)),"转速应为数值",IF(Q18&lt;=0,"转速应大于0",""))),IF(R18="","缺少机号",""),IF(R18="","",IF(NOT(ISNUMBER(R18)),"机号应为数值",IF(R18&lt;=0,"机号应大于0",""))),IF(S18="","缺少进口滞止密度",""),IF(S18="","",IF(NOT(ISNUMBER(S18)),"进口滞止密度应为数值",IF(S18&lt;=0,"进口滞止密度应大于0",""))),IF(T18="","缺少等熵指数k",""),IF(T18="","",IF(NOT(ISNUMBER(T18)),"等熵指数k应为数值",IF(OR(T18&lt;1,T18&gt;2),"等熵指数k应为1～2",""))),IF(U18="","缺少最高通风机效率ηr",""),IF(U18="","",IF(NOT(ISNUMBER(U18)),"最高通风机效率ηr应为数值",IF(OR(U18&lt;1,U18&gt;100),"最高通风机效率ηr应为1～100的百分数本值",""))),IF(AD18="","缺少铭牌照片",""),IF(AND(ISTEXT(AE18),OR(AE18&lt;&gt;TRIM(AE18),ISNUMBER(SEARCH("　",AE18)))),"填表备注含首尾空格或全角空格",""),IF(AND(H18="",F18&lt;&gt;""),"离心通风机缺少单双吸",""),IF(AND(ISNUMBER(L18),L18&gt;30000),"风机压力超过30kPa，超出通风机标准范围",""),IF(AND(F18="外转子电机直联前向多翼离心风机",G18&lt;&gt;"",G18&lt;&gt;"外转子电机直联"),"外转子前向多翼离心风机应选择外转子电机直联","")),"")</f>
        <v/>
      </c>
    </row>
    <row r="19" ht="42" customHeight="1" s="184">
      <c r="A19" s="224">
        <f>IF(COUNTA(B19,C19,D19,E19,F19,G19,H19,I19,J19,K19,L19,M19,N19,O19,P19,Q19,R19,S19,T19,U19,AD19,AE19)&gt;0,ROW()-3,"")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29" t="n"/>
      <c r="L19" s="229" t="n"/>
      <c r="M19" s="229" t="n"/>
      <c r="N19" s="229" t="n"/>
      <c r="O19" s="229" t="n"/>
      <c r="P19" s="229" t="n"/>
      <c r="Q19" s="229" t="n"/>
      <c r="R19" s="229" t="n"/>
      <c r="S19" s="229" t="n"/>
      <c r="T19" s="235" t="n"/>
      <c r="U19" s="229" t="n"/>
      <c r="V19" s="113" t="n"/>
      <c r="W19" s="236" t="n"/>
      <c r="X19" s="113" t="n"/>
      <c r="Y19" s="113" t="n"/>
      <c r="Z19" s="227" t="n"/>
      <c r="AA19" s="227" t="n"/>
      <c r="AB19" s="227" t="n"/>
      <c r="AC19" s="81" t="n"/>
      <c r="AD19" s="180" t="n"/>
      <c r="AE19" s="180" t="n"/>
      <c r="AF19" s="99">
        <f>IF(COUNTA(B19,C19,D19,E19,F19,G19,H19,I19,J19,K19,L19,M19,N19,O19,P19,Q19,R19,S19,T19,U19,AD19,AE19)&gt;0,TEXTJOIN("；",TRUE,IF(B19="","缺少设备名称",""),IF(AND(ISTEXT(B19),OR(B19&lt;&gt;TRIM(B19),ISNUMBER(SEARCH("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",E19)))),"安装位置含首尾空格或全角空格",""),IF(F19="","缺少设备类别",""),IF(F19="","",IF(COUNTIF(EV_CENTRIFUGAL_FAN_CATEGORY,F19)=0,"设备类别不在标准枚举中","")),IF(AND(ISTEXT(F19),OR(F19&lt;&gt;TRIM(F19),ISNUMBER(SEARCH("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",G19)))),"传动方式含首尾空格或全角空格",""),IF(H19="","",IF(COUNTIF(EV_SUCTION,H19)=0,"单双吸不在标准枚举中","")),IF(AND(ISTEXT(H19),OR(H19&lt;&gt;TRIM(H19),ISNUMBER(SEARCH("　",H19)))),"单双吸含首尾空格或全角空格",""),IF(I19="","缺少是否暖通空调用",""),IF(I19="","",IF(COUNTIF(EV_YES_NO,I19)=0,"是否暖通空调用不在标准枚举中","")),IF(AND(ISTEXT(I19),OR(I19&lt;&gt;TRIM(I19),ISNUMBER(SEARCH("　",I19)))),"是否暖通空调用含首尾空格或全角空格",""),IF(J19="","缺少是否带进气箱",""),IF(J19="","",IF(COUNTIF(EV_YES_NO,J19)=0,"是否带进气箱不在标准枚举中","")),IF(AND(ISTEXT(J19),OR(J19&lt;&gt;TRIM(J19),ISNUMBER(SEARCH("　",J19)))),"是否带进气箱含首尾空格或全角空格",""),IF(K19="","缺少流量",""),IF(K19="","",IF(NOT(ISNUMBER(K19)),"流量应为数值",IF(K19&lt;=0,"流量应大于0",""))),IF(L19="","缺少风机压力pF",""),IF(L19="","",IF(NOT(ISNUMBER(L19)),"风机压力pF应为数值",IF(L19&lt;=0,"风机压力pF应大于0",""))),IF(M19="","缺少出口滞止压力",""),IF(M19="","",IF(NOT(ISNUMBER(M19)),"出口滞止压力应为数值",IF(M19&lt;=0,"出口滞止压力应大于0",""))),IF(N19="","缺少进口滞止压力",""),IF(N19="","",IF(NOT(ISNUMBER(N19)),"进口滞止压力应为数值",IF(N19&lt;=0,"进口滞止压力应大于0",""))),IF(O19="","缺少额定功率",""),IF(O19="","",IF(NOT(ISNUMBER(O19)),"额定功率应为数值",IF(O19&lt;=0,"额定功率应大于0",""))),IF(P19="","缺少叶轮功率",""),IF(P19="","",IF(NOT(ISNUMBER(P19)),"叶轮功率应为数值",IF(P19&lt;=0,"叶轮功率应大于0",""))),IF(Q19="","缺少转速",""),IF(Q19="","",IF(NOT(ISNUMBER(Q19)),"转速应为数值",IF(Q19&lt;=0,"转速应大于0",""))),IF(R19="","缺少机号",""),IF(R19="","",IF(NOT(ISNUMBER(R19)),"机号应为数值",IF(R19&lt;=0,"机号应大于0",""))),IF(S19="","缺少进口滞止密度",""),IF(S19="","",IF(NOT(ISNUMBER(S19)),"进口滞止密度应为数值",IF(S19&lt;=0,"进口滞止密度应大于0",""))),IF(T19="","缺少等熵指数k",""),IF(T19="","",IF(NOT(ISNUMBER(T19)),"等熵指数k应为数值",IF(OR(T19&lt;1,T19&gt;2),"等熵指数k应为1～2",""))),IF(U19="","缺少最高通风机效率ηr",""),IF(U19="","",IF(NOT(ISNUMBER(U19)),"最高通风机效率ηr应为数值",IF(OR(U19&lt;1,U19&gt;100),"最高通风机效率ηr应为1～100的百分数本值",""))),IF(AD19="","缺少铭牌照片",""),IF(AND(ISTEXT(AE19),OR(AE19&lt;&gt;TRIM(AE19),ISNUMBER(SEARCH("　",AE19)))),"填表备注含首尾空格或全角空格",""),IF(AND(H19="",F19&lt;&gt;""),"离心通风机缺少单双吸",""),IF(AND(ISNUMBER(L19),L19&gt;30000),"风机压力超过30kPa，超出通风机标准范围",""),IF(AND(F19="外转子电机直联前向多翼离心风机",G19&lt;&gt;"",G19&lt;&gt;"外转子电机直联"),"外转子前向多翼离心风机应选择外转子电机直联","")),"")</f>
        <v/>
      </c>
    </row>
    <row r="20" ht="42" customHeight="1" s="184">
      <c r="A20" s="224">
        <f>IF(COUNTA(B20,C20,D20,E20,F20,G20,H20,I20,J20,K20,L20,M20,N20,O20,P20,Q20,R20,S20,T20,U20,AD20,AE20)&gt;0,ROW()-3,"")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35" t="n"/>
      <c r="U20" s="229" t="n"/>
      <c r="V20" s="113" t="n"/>
      <c r="W20" s="236" t="n"/>
      <c r="X20" s="113" t="n"/>
      <c r="Y20" s="113" t="n"/>
      <c r="Z20" s="227" t="n"/>
      <c r="AA20" s="227" t="n"/>
      <c r="AB20" s="227" t="n"/>
      <c r="AC20" s="81" t="n"/>
      <c r="AD20" s="180" t="n"/>
      <c r="AE20" s="180" t="n"/>
      <c r="AF20" s="99">
        <f>IF(COUNTA(B20,C20,D20,E20,F20,G20,H20,I20,J20,K20,L20,M20,N20,O20,P20,Q20,R20,S20,T20,U20,AD20,AE20)&gt;0,TEXTJOIN("；",TRUE,IF(B20="","缺少设备名称",""),IF(AND(ISTEXT(B20),OR(B20&lt;&gt;TRIM(B20),ISNUMBER(SEARCH("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",E20)))),"安装位置含首尾空格或全角空格",""),IF(F20="","缺少设备类别",""),IF(F20="","",IF(COUNTIF(EV_CENTRIFUGAL_FAN_CATEGORY,F20)=0,"设备类别不在标准枚举中","")),IF(AND(ISTEXT(F20),OR(F20&lt;&gt;TRIM(F20),ISNUMBER(SEARCH("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",G20)))),"传动方式含首尾空格或全角空格",""),IF(H20="","",IF(COUNTIF(EV_SUCTION,H20)=0,"单双吸不在标准枚举中","")),IF(AND(ISTEXT(H20),OR(H20&lt;&gt;TRIM(H20),ISNUMBER(SEARCH("　",H20)))),"单双吸含首尾空格或全角空格",""),IF(I20="","缺少是否暖通空调用",""),IF(I20="","",IF(COUNTIF(EV_YES_NO,I20)=0,"是否暖通空调用不在标准枚举中","")),IF(AND(ISTEXT(I20),OR(I20&lt;&gt;TRIM(I20),ISNUMBER(SEARCH("　",I20)))),"是否暖通空调用含首尾空格或全角空格",""),IF(J20="","缺少是否带进气箱",""),IF(J20="","",IF(COUNTIF(EV_YES_NO,J20)=0,"是否带进气箱不在标准枚举中","")),IF(AND(ISTEXT(J20),OR(J20&lt;&gt;TRIM(J20),ISNUMBER(SEARCH("　",J20)))),"是否带进气箱含首尾空格或全角空格",""),IF(K20="","缺少流量",""),IF(K20="","",IF(NOT(ISNUMBER(K20)),"流量应为数值",IF(K20&lt;=0,"流量应大于0",""))),IF(L20="","缺少风机压力pF",""),IF(L20="","",IF(NOT(ISNUMBER(L20)),"风机压力pF应为数值",IF(L20&lt;=0,"风机压力pF应大于0",""))),IF(M20="","缺少出口滞止压力",""),IF(M20="","",IF(NOT(ISNUMBER(M20)),"出口滞止压力应为数值",IF(M20&lt;=0,"出口滞止压力应大于0",""))),IF(N20="","缺少进口滞止压力",""),IF(N20="","",IF(NOT(ISNUMBER(N20)),"进口滞止压力应为数值",IF(N20&lt;=0,"进口滞止压力应大于0",""))),IF(O20="","缺少额定功率",""),IF(O20="","",IF(NOT(ISNUMBER(O20)),"额定功率应为数值",IF(O20&lt;=0,"额定功率应大于0",""))),IF(P20="","缺少叶轮功率",""),IF(P20="","",IF(NOT(ISNUMBER(P20)),"叶轮功率应为数值",IF(P20&lt;=0,"叶轮功率应大于0",""))),IF(Q20="","缺少转速",""),IF(Q20="","",IF(NOT(ISNUMBER(Q20)),"转速应为数值",IF(Q20&lt;=0,"转速应大于0",""))),IF(R20="","缺少机号",""),IF(R20="","",IF(NOT(ISNUMBER(R20)),"机号应为数值",IF(R20&lt;=0,"机号应大于0",""))),IF(S20="","缺少进口滞止密度",""),IF(S20="","",IF(NOT(ISNUMBER(S20)),"进口滞止密度应为数值",IF(S20&lt;=0,"进口滞止密度应大于0",""))),IF(T20="","缺少等熵指数k",""),IF(T20="","",IF(NOT(ISNUMBER(T20)),"等熵指数k应为数值",IF(OR(T20&lt;1,T20&gt;2),"等熵指数k应为1～2",""))),IF(U20="","缺少最高通风机效率ηr",""),IF(U20="","",IF(NOT(ISNUMBER(U20)),"最高通风机效率ηr应为数值",IF(OR(U20&lt;1,U20&gt;100),"最高通风机效率ηr应为1～100的百分数本值",""))),IF(AD20="","缺少铭牌照片",""),IF(AND(ISTEXT(AE20),OR(AE20&lt;&gt;TRIM(AE20),ISNUMBER(SEARCH("　",AE20)))),"填表备注含首尾空格或全角空格",""),IF(AND(H20="",F20&lt;&gt;""),"离心通风机缺少单双吸",""),IF(AND(ISNUMBER(L20),L20&gt;30000),"风机压力超过30kPa，超出通风机标准范围",""),IF(AND(F20="外转子电机直联前向多翼离心风机",G20&lt;&gt;"",G20&lt;&gt;"外转子电机直联"),"外转子前向多翼离心风机应选择外转子电机直联","")),"")</f>
        <v/>
      </c>
    </row>
    <row r="21" ht="42" customHeight="1" s="184">
      <c r="A21" s="224">
        <f>IF(COUNTA(B21,C21,D21,E21,F21,G21,H21,I21,J21,K21,L21,M21,N21,O21,P21,Q21,R21,S21,T21,U21,AD21,AE21)&gt;0,ROW()-3,"")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29" t="n"/>
      <c r="L21" s="229" t="n"/>
      <c r="M21" s="229" t="n"/>
      <c r="N21" s="229" t="n"/>
      <c r="O21" s="229" t="n"/>
      <c r="P21" s="229" t="n"/>
      <c r="Q21" s="229" t="n"/>
      <c r="R21" s="229" t="n"/>
      <c r="S21" s="229" t="n"/>
      <c r="T21" s="235" t="n"/>
      <c r="U21" s="229" t="n"/>
      <c r="V21" s="113" t="n"/>
      <c r="W21" s="236" t="n"/>
      <c r="X21" s="113" t="n"/>
      <c r="Y21" s="113" t="n"/>
      <c r="Z21" s="227" t="n"/>
      <c r="AA21" s="227" t="n"/>
      <c r="AB21" s="227" t="n"/>
      <c r="AC21" s="81" t="n"/>
      <c r="AD21" s="180" t="n"/>
      <c r="AE21" s="180" t="n"/>
      <c r="AF21" s="99">
        <f>IF(COUNTA(B21,C21,D21,E21,F21,G21,H21,I21,J21,K21,L21,M21,N21,O21,P21,Q21,R21,S21,T21,U21,AD21,AE21)&gt;0,TEXTJOIN("；",TRUE,IF(B21="","缺少设备名称",""),IF(AND(ISTEXT(B21),OR(B21&lt;&gt;TRIM(B21),ISNUMBER(SEARCH("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",E21)))),"安装位置含首尾空格或全角空格",""),IF(F21="","缺少设备类别",""),IF(F21="","",IF(COUNTIF(EV_CENTRIFUGAL_FAN_CATEGORY,F21)=0,"设备类别不在标准枚举中","")),IF(AND(ISTEXT(F21),OR(F21&lt;&gt;TRIM(F21),ISNUMBER(SEARCH("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",G21)))),"传动方式含首尾空格或全角空格",""),IF(H21="","",IF(COUNTIF(EV_SUCTION,H21)=0,"单双吸不在标准枚举中","")),IF(AND(ISTEXT(H21),OR(H21&lt;&gt;TRIM(H21),ISNUMBER(SEARCH("　",H21)))),"单双吸含首尾空格或全角空格",""),IF(I21="","缺少是否暖通空调用",""),IF(I21="","",IF(COUNTIF(EV_YES_NO,I21)=0,"是否暖通空调用不在标准枚举中","")),IF(AND(ISTEXT(I21),OR(I21&lt;&gt;TRIM(I21),ISNUMBER(SEARCH("　",I21)))),"是否暖通空调用含首尾空格或全角空格",""),IF(J21="","缺少是否带进气箱",""),IF(J21="","",IF(COUNTIF(EV_YES_NO,J21)=0,"是否带进气箱不在标准枚举中","")),IF(AND(ISTEXT(J21),OR(J21&lt;&gt;TRIM(J21),ISNUMBER(SEARCH("　",J21)))),"是否带进气箱含首尾空格或全角空格",""),IF(K21="","缺少流量",""),IF(K21="","",IF(NOT(ISNUMBER(K21)),"流量应为数值",IF(K21&lt;=0,"流量应大于0",""))),IF(L21="","缺少风机压力pF",""),IF(L21="","",IF(NOT(ISNUMBER(L21)),"风机压力pF应为数值",IF(L21&lt;=0,"风机压力pF应大于0",""))),IF(M21="","缺少出口滞止压力",""),IF(M21="","",IF(NOT(ISNUMBER(M21)),"出口滞止压力应为数值",IF(M21&lt;=0,"出口滞止压力应大于0",""))),IF(N21="","缺少进口滞止压力",""),IF(N21="","",IF(NOT(ISNUMBER(N21)),"进口滞止压力应为数值",IF(N21&lt;=0,"进口滞止压力应大于0",""))),IF(O21="","缺少额定功率",""),IF(O21="","",IF(NOT(ISNUMBER(O21)),"额定功率应为数值",IF(O21&lt;=0,"额定功率应大于0",""))),IF(P21="","缺少叶轮功率",""),IF(P21="","",IF(NOT(ISNUMBER(P21)),"叶轮功率应为数值",IF(P21&lt;=0,"叶轮功率应大于0",""))),IF(Q21="","缺少转速",""),IF(Q21="","",IF(NOT(ISNUMBER(Q21)),"转速应为数值",IF(Q21&lt;=0,"转速应大于0",""))),IF(R21="","缺少机号",""),IF(R21="","",IF(NOT(ISNUMBER(R21)),"机号应为数值",IF(R21&lt;=0,"机号应大于0",""))),IF(S21="","缺少进口滞止密度",""),IF(S21="","",IF(NOT(ISNUMBER(S21)),"进口滞止密度应为数值",IF(S21&lt;=0,"进口滞止密度应大于0",""))),IF(T21="","缺少等熵指数k",""),IF(T21="","",IF(NOT(ISNUMBER(T21)),"等熵指数k应为数值",IF(OR(T21&lt;1,T21&gt;2),"等熵指数k应为1～2",""))),IF(U21="","缺少最高通风机效率ηr",""),IF(U21="","",IF(NOT(ISNUMBER(U21)),"最高通风机效率ηr应为数值",IF(OR(U21&lt;1,U21&gt;100),"最高通风机效率ηr应为1～100的百分数本值",""))),IF(AD21="","缺少铭牌照片",""),IF(AND(ISTEXT(AE21),OR(AE21&lt;&gt;TRIM(AE21),ISNUMBER(SEARCH("　",AE21)))),"填表备注含首尾空格或全角空格",""),IF(AND(H21="",F21&lt;&gt;""),"离心通风机缺少单双吸",""),IF(AND(ISNUMBER(L21),L21&gt;30000),"风机压力超过30kPa，超出通风机标准范围",""),IF(AND(F21="外转子电机直联前向多翼离心风机",G21&lt;&gt;"",G21&lt;&gt;"外转子电机直联"),"外转子前向多翼离心风机应选择外转子电机直联","")),"")</f>
        <v/>
      </c>
    </row>
    <row r="22" ht="42" customHeight="1" s="184">
      <c r="A22" s="224">
        <f>IF(COUNTA(B22,C22,D22,E22,F22,G22,H22,I22,J22,K22,L22,M22,N22,O22,P22,Q22,R22,S22,T22,U22,AD22,AE22)&gt;0,ROW()-3,"")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35" t="n"/>
      <c r="U22" s="229" t="n"/>
      <c r="V22" s="113" t="n"/>
      <c r="W22" s="236" t="n"/>
      <c r="X22" s="113" t="n"/>
      <c r="Y22" s="113" t="n"/>
      <c r="Z22" s="227" t="n"/>
      <c r="AA22" s="227" t="n"/>
      <c r="AB22" s="227" t="n"/>
      <c r="AC22" s="81" t="n"/>
      <c r="AD22" s="180" t="n"/>
      <c r="AE22" s="180" t="n"/>
      <c r="AF22" s="99">
        <f>IF(COUNTA(B22,C22,D22,E22,F22,G22,H22,I22,J22,K22,L22,M22,N22,O22,P22,Q22,R22,S22,T22,U22,AD22,AE22)&gt;0,TEXTJOIN("；",TRUE,IF(B22="","缺少设备名称",""),IF(AND(ISTEXT(B22),OR(B22&lt;&gt;TRIM(B22),ISNUMBER(SEARCH("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",E22)))),"安装位置含首尾空格或全角空格",""),IF(F22="","缺少设备类别",""),IF(F22="","",IF(COUNTIF(EV_CENTRIFUGAL_FAN_CATEGORY,F22)=0,"设备类别不在标准枚举中","")),IF(AND(ISTEXT(F22),OR(F22&lt;&gt;TRIM(F22),ISNUMBER(SEARCH("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",G22)))),"传动方式含首尾空格或全角空格",""),IF(H22="","",IF(COUNTIF(EV_SUCTION,H22)=0,"单双吸不在标准枚举中","")),IF(AND(ISTEXT(H22),OR(H22&lt;&gt;TRIM(H22),ISNUMBER(SEARCH("　",H22)))),"单双吸含首尾空格或全角空格",""),IF(I22="","缺少是否暖通空调用",""),IF(I22="","",IF(COUNTIF(EV_YES_NO,I22)=0,"是否暖通空调用不在标准枚举中","")),IF(AND(ISTEXT(I22),OR(I22&lt;&gt;TRIM(I22),ISNUMBER(SEARCH("　",I22)))),"是否暖通空调用含首尾空格或全角空格",""),IF(J22="","缺少是否带进气箱",""),IF(J22="","",IF(COUNTIF(EV_YES_NO,J22)=0,"是否带进气箱不在标准枚举中","")),IF(AND(ISTEXT(J22),OR(J22&lt;&gt;TRIM(J22),ISNUMBER(SEARCH("　",J22)))),"是否带进气箱含首尾空格或全角空格",""),IF(K22="","缺少流量",""),IF(K22="","",IF(NOT(ISNUMBER(K22)),"流量应为数值",IF(K22&lt;=0,"流量应大于0",""))),IF(L22="","缺少风机压力pF",""),IF(L22="","",IF(NOT(ISNUMBER(L22)),"风机压力pF应为数值",IF(L22&lt;=0,"风机压力pF应大于0",""))),IF(M22="","缺少出口滞止压力",""),IF(M22="","",IF(NOT(ISNUMBER(M22)),"出口滞止压力应为数值",IF(M22&lt;=0,"出口滞止压力应大于0",""))),IF(N22="","缺少进口滞止压力",""),IF(N22="","",IF(NOT(ISNUMBER(N22)),"进口滞止压力应为数值",IF(N22&lt;=0,"进口滞止压力应大于0",""))),IF(O22="","缺少额定功率",""),IF(O22="","",IF(NOT(ISNUMBER(O22)),"额定功率应为数值",IF(O22&lt;=0,"额定功率应大于0",""))),IF(P22="","缺少叶轮功率",""),IF(P22="","",IF(NOT(ISNUMBER(P22)),"叶轮功率应为数值",IF(P22&lt;=0,"叶轮功率应大于0",""))),IF(Q22="","缺少转速",""),IF(Q22="","",IF(NOT(ISNUMBER(Q22)),"转速应为数值",IF(Q22&lt;=0,"转速应大于0",""))),IF(R22="","缺少机号",""),IF(R22="","",IF(NOT(ISNUMBER(R22)),"机号应为数值",IF(R22&lt;=0,"机号应大于0",""))),IF(S22="","缺少进口滞止密度",""),IF(S22="","",IF(NOT(ISNUMBER(S22)),"进口滞止密度应为数值",IF(S22&lt;=0,"进口滞止密度应大于0",""))),IF(T22="","缺少等熵指数k",""),IF(T22="","",IF(NOT(ISNUMBER(T22)),"等熵指数k应为数值",IF(OR(T22&lt;1,T22&gt;2),"等熵指数k应为1～2",""))),IF(U22="","缺少最高通风机效率ηr",""),IF(U22="","",IF(NOT(ISNUMBER(U22)),"最高通风机效率ηr应为数值",IF(OR(U22&lt;1,U22&gt;100),"最高通风机效率ηr应为1～100的百分数本值",""))),IF(AD22="","缺少铭牌照片",""),IF(AND(ISTEXT(AE22),OR(AE22&lt;&gt;TRIM(AE22),ISNUMBER(SEARCH("　",AE22)))),"填表备注含首尾空格或全角空格",""),IF(AND(H22="",F22&lt;&gt;""),"离心通风机缺少单双吸",""),IF(AND(ISNUMBER(L22),L22&gt;30000),"风机压力超过30kPa，超出通风机标准范围",""),IF(AND(F22="外转子电机直联前向多翼离心风机",G22&lt;&gt;"",G22&lt;&gt;"外转子电机直联"),"外转子前向多翼离心风机应选择外转子电机直联","")),"")</f>
        <v/>
      </c>
    </row>
    <row r="23" ht="42" customHeight="1" s="184">
      <c r="A23" s="224">
        <f>IF(COUNTA(B23,C23,D23,E23,F23,G23,H23,I23,J23,K23,L23,M23,N23,O23,P23,Q23,R23,S23,T23,U23,AD23,AE23)&gt;0,ROW()-3,"")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35" t="n"/>
      <c r="U23" s="229" t="n"/>
      <c r="V23" s="113" t="n"/>
      <c r="W23" s="236" t="n"/>
      <c r="X23" s="113" t="n"/>
      <c r="Y23" s="113" t="n"/>
      <c r="Z23" s="227" t="n"/>
      <c r="AA23" s="227" t="n"/>
      <c r="AB23" s="227" t="n"/>
      <c r="AC23" s="81" t="n"/>
      <c r="AD23" s="180" t="n"/>
      <c r="AE23" s="180" t="n"/>
      <c r="AF23" s="99">
        <f>IF(COUNTA(B23,C23,D23,E23,F23,G23,H23,I23,J23,K23,L23,M23,N23,O23,P23,Q23,R23,S23,T23,U23,AD23,AE23)&gt;0,TEXTJOIN("；",TRUE,IF(B23="","缺少设备名称",""),IF(AND(ISTEXT(B23),OR(B23&lt;&gt;TRIM(B23),ISNUMBER(SEARCH("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",E23)))),"安装位置含首尾空格或全角空格",""),IF(F23="","缺少设备类别",""),IF(F23="","",IF(COUNTIF(EV_CENTRIFUGAL_FAN_CATEGORY,F23)=0,"设备类别不在标准枚举中","")),IF(AND(ISTEXT(F23),OR(F23&lt;&gt;TRIM(F23),ISNUMBER(SEARCH("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",G23)))),"传动方式含首尾空格或全角空格",""),IF(H23="","",IF(COUNTIF(EV_SUCTION,H23)=0,"单双吸不在标准枚举中","")),IF(AND(ISTEXT(H23),OR(H23&lt;&gt;TRIM(H23),ISNUMBER(SEARCH("　",H23)))),"单双吸含首尾空格或全角空格",""),IF(I23="","缺少是否暖通空调用",""),IF(I23="","",IF(COUNTIF(EV_YES_NO,I23)=0,"是否暖通空调用不在标准枚举中","")),IF(AND(ISTEXT(I23),OR(I23&lt;&gt;TRIM(I23),ISNUMBER(SEARCH("　",I23)))),"是否暖通空调用含首尾空格或全角空格",""),IF(J23="","缺少是否带进气箱",""),IF(J23="","",IF(COUNTIF(EV_YES_NO,J23)=0,"是否带进气箱不在标准枚举中","")),IF(AND(ISTEXT(J23),OR(J23&lt;&gt;TRIM(J23),ISNUMBER(SEARCH("　",J23)))),"是否带进气箱含首尾空格或全角空格",""),IF(K23="","缺少流量",""),IF(K23="","",IF(NOT(ISNUMBER(K23)),"流量应为数值",IF(K23&lt;=0,"流量应大于0",""))),IF(L23="","缺少风机压力pF",""),IF(L23="","",IF(NOT(ISNUMBER(L23)),"风机压力pF应为数值",IF(L23&lt;=0,"风机压力pF应大于0",""))),IF(M23="","缺少出口滞止压力",""),IF(M23="","",IF(NOT(ISNUMBER(M23)),"出口滞止压力应为数值",IF(M23&lt;=0,"出口滞止压力应大于0",""))),IF(N23="","缺少进口滞止压力",""),IF(N23="","",IF(NOT(ISNUMBER(N23)),"进口滞止压力应为数值",IF(N23&lt;=0,"进口滞止压力应大于0",""))),IF(O23="","缺少额定功率",""),IF(O23="","",IF(NOT(ISNUMBER(O23)),"额定功率应为数值",IF(O23&lt;=0,"额定功率应大于0",""))),IF(P23="","缺少叶轮功率",""),IF(P23="","",IF(NOT(ISNUMBER(P23)),"叶轮功率应为数值",IF(P23&lt;=0,"叶轮功率应大于0",""))),IF(Q23="","缺少转速",""),IF(Q23="","",IF(NOT(ISNUMBER(Q23)),"转速应为数值",IF(Q23&lt;=0,"转速应大于0",""))),IF(R23="","缺少机号",""),IF(R23="","",IF(NOT(ISNUMBER(R23)),"机号应为数值",IF(R23&lt;=0,"机号应大于0",""))),IF(S23="","缺少进口滞止密度",""),IF(S23="","",IF(NOT(ISNUMBER(S23)),"进口滞止密度应为数值",IF(S23&lt;=0,"进口滞止密度应大于0",""))),IF(T23="","缺少等熵指数k",""),IF(T23="","",IF(NOT(ISNUMBER(T23)),"等熵指数k应为数值",IF(OR(T23&lt;1,T23&gt;2),"等熵指数k应为1～2",""))),IF(U23="","缺少最高通风机效率ηr",""),IF(U23="","",IF(NOT(ISNUMBER(U23)),"最高通风机效率ηr应为数值",IF(OR(U23&lt;1,U23&gt;100),"最高通风机效率ηr应为1～100的百分数本值",""))),IF(AD23="","缺少铭牌照片",""),IF(AND(ISTEXT(AE23),OR(AE23&lt;&gt;TRIM(AE23),ISNUMBER(SEARCH("　",AE23)))),"填表备注含首尾空格或全角空格",""),IF(AND(H23="",F23&lt;&gt;""),"离心通风机缺少单双吸",""),IF(AND(ISNUMBER(L23),L23&gt;30000),"风机压力超过30kPa，超出通风机标准范围",""),IF(AND(F23="外转子电机直联前向多翼离心风机",G23&lt;&gt;"",G23&lt;&gt;"外转子电机直联"),"外转子前向多翼离心风机应选择外转子电机直联","")),"")</f>
        <v/>
      </c>
    </row>
    <row r="24" ht="42" customHeight="1" s="184">
      <c r="A24" s="224">
        <f>IF(COUNTA(B24,C24,D24,E24,F24,G24,H24,I24,J24,K24,L24,M24,N24,O24,P24,Q24,R24,S24,T24,U24,AD24,AE24)&gt;0,ROW()-3,"")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29" t="n"/>
      <c r="L24" s="229" t="n"/>
      <c r="M24" s="229" t="n"/>
      <c r="N24" s="229" t="n"/>
      <c r="O24" s="229" t="n"/>
      <c r="P24" s="229" t="n"/>
      <c r="Q24" s="229" t="n"/>
      <c r="R24" s="229" t="n"/>
      <c r="S24" s="229" t="n"/>
      <c r="T24" s="235" t="n"/>
      <c r="U24" s="229" t="n"/>
      <c r="V24" s="113" t="n"/>
      <c r="W24" s="236" t="n"/>
      <c r="X24" s="113" t="n"/>
      <c r="Y24" s="113" t="n"/>
      <c r="Z24" s="227" t="n"/>
      <c r="AA24" s="227" t="n"/>
      <c r="AB24" s="227" t="n"/>
      <c r="AC24" s="81" t="n"/>
      <c r="AD24" s="180" t="n"/>
      <c r="AE24" s="180" t="n"/>
      <c r="AF24" s="99">
        <f>IF(COUNTA(B24,C24,D24,E24,F24,G24,H24,I24,J24,K24,L24,M24,N24,O24,P24,Q24,R24,S24,T24,U24,AD24,AE24)&gt;0,TEXTJOIN("；",TRUE,IF(B24="","缺少设备名称",""),IF(AND(ISTEXT(B24),OR(B24&lt;&gt;TRIM(B24),ISNUMBER(SEARCH("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",E24)))),"安装位置含首尾空格或全角空格",""),IF(F24="","缺少设备类别",""),IF(F24="","",IF(COUNTIF(EV_CENTRIFUGAL_FAN_CATEGORY,F24)=0,"设备类别不在标准枚举中","")),IF(AND(ISTEXT(F24),OR(F24&lt;&gt;TRIM(F24),ISNUMBER(SEARCH("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",G24)))),"传动方式含首尾空格或全角空格",""),IF(H24="","",IF(COUNTIF(EV_SUCTION,H24)=0,"单双吸不在标准枚举中","")),IF(AND(ISTEXT(H24),OR(H24&lt;&gt;TRIM(H24),ISNUMBER(SEARCH("　",H24)))),"单双吸含首尾空格或全角空格",""),IF(I24="","缺少是否暖通空调用",""),IF(I24="","",IF(COUNTIF(EV_YES_NO,I24)=0,"是否暖通空调用不在标准枚举中","")),IF(AND(ISTEXT(I24),OR(I24&lt;&gt;TRIM(I24),ISNUMBER(SEARCH("　",I24)))),"是否暖通空调用含首尾空格或全角空格",""),IF(J24="","缺少是否带进气箱",""),IF(J24="","",IF(COUNTIF(EV_YES_NO,J24)=0,"是否带进气箱不在标准枚举中","")),IF(AND(ISTEXT(J24),OR(J24&lt;&gt;TRIM(J24),ISNUMBER(SEARCH("　",J24)))),"是否带进气箱含首尾空格或全角空格",""),IF(K24="","缺少流量",""),IF(K24="","",IF(NOT(ISNUMBER(K24)),"流量应为数值",IF(K24&lt;=0,"流量应大于0",""))),IF(L24="","缺少风机压力pF",""),IF(L24="","",IF(NOT(ISNUMBER(L24)),"风机压力pF应为数值",IF(L24&lt;=0,"风机压力pF应大于0",""))),IF(M24="","缺少出口滞止压力",""),IF(M24="","",IF(NOT(ISNUMBER(M24)),"出口滞止压力应为数值",IF(M24&lt;=0,"出口滞止压力应大于0",""))),IF(N24="","缺少进口滞止压力",""),IF(N24="","",IF(NOT(ISNUMBER(N24)),"进口滞止压力应为数值",IF(N24&lt;=0,"进口滞止压力应大于0",""))),IF(O24="","缺少额定功率",""),IF(O24="","",IF(NOT(ISNUMBER(O24)),"额定功率应为数值",IF(O24&lt;=0,"额定功率应大于0",""))),IF(P24="","缺少叶轮功率",""),IF(P24="","",IF(NOT(ISNUMBER(P24)),"叶轮功率应为数值",IF(P24&lt;=0,"叶轮功率应大于0",""))),IF(Q24="","缺少转速",""),IF(Q24="","",IF(NOT(ISNUMBER(Q24)),"转速应为数值",IF(Q24&lt;=0,"转速应大于0",""))),IF(R24="","缺少机号",""),IF(R24="","",IF(NOT(ISNUMBER(R24)),"机号应为数值",IF(R24&lt;=0,"机号应大于0",""))),IF(S24="","缺少进口滞止密度",""),IF(S24="","",IF(NOT(ISNUMBER(S24)),"进口滞止密度应为数值",IF(S24&lt;=0,"进口滞止密度应大于0",""))),IF(T24="","缺少等熵指数k",""),IF(T24="","",IF(NOT(ISNUMBER(T24)),"等熵指数k应为数值",IF(OR(T24&lt;1,T24&gt;2),"等熵指数k应为1～2",""))),IF(U24="","缺少最高通风机效率ηr",""),IF(U24="","",IF(NOT(ISNUMBER(U24)),"最高通风机效率ηr应为数值",IF(OR(U24&lt;1,U24&gt;100),"最高通风机效率ηr应为1～100的百分数本值",""))),IF(AD24="","缺少铭牌照片",""),IF(AND(ISTEXT(AE24),OR(AE24&lt;&gt;TRIM(AE24),ISNUMBER(SEARCH("　",AE24)))),"填表备注含首尾空格或全角空格",""),IF(AND(H24="",F24&lt;&gt;""),"离心通风机缺少单双吸",""),IF(AND(ISNUMBER(L24),L24&gt;30000),"风机压力超过30kPa，超出通风机标准范围",""),IF(AND(F24="外转子电机直联前向多翼离心风机",G24&lt;&gt;"",G24&lt;&gt;"外转子电机直联"),"外转子前向多翼离心风机应选择外转子电机直联","")),"")</f>
        <v/>
      </c>
    </row>
    <row r="25" ht="42" customHeight="1" s="184">
      <c r="A25" s="224">
        <f>IF(COUNTA(B25,C25,D25,E25,F25,G25,H25,I25,J25,K25,L25,M25,N25,O25,P25,Q25,R25,S25,T25,U25,AD25,AE25)&gt;0,ROW()-3,"")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29" t="n"/>
      <c r="L25" s="229" t="n"/>
      <c r="M25" s="229" t="n"/>
      <c r="N25" s="229" t="n"/>
      <c r="O25" s="229" t="n"/>
      <c r="P25" s="229" t="n"/>
      <c r="Q25" s="229" t="n"/>
      <c r="R25" s="229" t="n"/>
      <c r="S25" s="229" t="n"/>
      <c r="T25" s="235" t="n"/>
      <c r="U25" s="229" t="n"/>
      <c r="V25" s="113" t="n"/>
      <c r="W25" s="236" t="n"/>
      <c r="X25" s="113" t="n"/>
      <c r="Y25" s="113" t="n"/>
      <c r="Z25" s="227" t="n"/>
      <c r="AA25" s="227" t="n"/>
      <c r="AB25" s="227" t="n"/>
      <c r="AC25" s="81" t="n"/>
      <c r="AD25" s="180" t="n"/>
      <c r="AE25" s="180" t="n"/>
      <c r="AF25" s="99">
        <f>IF(COUNTA(B25,C25,D25,E25,F25,G25,H25,I25,J25,K25,L25,M25,N25,O25,P25,Q25,R25,S25,T25,U25,AD25,AE25)&gt;0,TEXTJOIN("；",TRUE,IF(B25="","缺少设备名称",""),IF(AND(ISTEXT(B25),OR(B25&lt;&gt;TRIM(B25),ISNUMBER(SEARCH("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",E25)))),"安装位置含首尾空格或全角空格",""),IF(F25="","缺少设备类别",""),IF(F25="","",IF(COUNTIF(EV_CENTRIFUGAL_FAN_CATEGORY,F25)=0,"设备类别不在标准枚举中","")),IF(AND(ISTEXT(F25),OR(F25&lt;&gt;TRIM(F25),ISNUMBER(SEARCH("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",G25)))),"传动方式含首尾空格或全角空格",""),IF(H25="","",IF(COUNTIF(EV_SUCTION,H25)=0,"单双吸不在标准枚举中","")),IF(AND(ISTEXT(H25),OR(H25&lt;&gt;TRIM(H25),ISNUMBER(SEARCH("　",H25)))),"单双吸含首尾空格或全角空格",""),IF(I25="","缺少是否暖通空调用",""),IF(I25="","",IF(COUNTIF(EV_YES_NO,I25)=0,"是否暖通空调用不在标准枚举中","")),IF(AND(ISTEXT(I25),OR(I25&lt;&gt;TRIM(I25),ISNUMBER(SEARCH("　",I25)))),"是否暖通空调用含首尾空格或全角空格",""),IF(J25="","缺少是否带进气箱",""),IF(J25="","",IF(COUNTIF(EV_YES_NO,J25)=0,"是否带进气箱不在标准枚举中","")),IF(AND(ISTEXT(J25),OR(J25&lt;&gt;TRIM(J25),ISNUMBER(SEARCH("　",J25)))),"是否带进气箱含首尾空格或全角空格",""),IF(K25="","缺少流量",""),IF(K25="","",IF(NOT(ISNUMBER(K25)),"流量应为数值",IF(K25&lt;=0,"流量应大于0",""))),IF(L25="","缺少风机压力pF",""),IF(L25="","",IF(NOT(ISNUMBER(L25)),"风机压力pF应为数值",IF(L25&lt;=0,"风机压力pF应大于0",""))),IF(M25="","缺少出口滞止压力",""),IF(M25="","",IF(NOT(ISNUMBER(M25)),"出口滞止压力应为数值",IF(M25&lt;=0,"出口滞止压力应大于0",""))),IF(N25="","缺少进口滞止压力",""),IF(N25="","",IF(NOT(ISNUMBER(N25)),"进口滞止压力应为数值",IF(N25&lt;=0,"进口滞止压力应大于0",""))),IF(O25="","缺少额定功率",""),IF(O25="","",IF(NOT(ISNUMBER(O25)),"额定功率应为数值",IF(O25&lt;=0,"额定功率应大于0",""))),IF(P25="","缺少叶轮功率",""),IF(P25="","",IF(NOT(ISNUMBER(P25)),"叶轮功率应为数值",IF(P25&lt;=0,"叶轮功率应大于0",""))),IF(Q25="","缺少转速",""),IF(Q25="","",IF(NOT(ISNUMBER(Q25)),"转速应为数值",IF(Q25&lt;=0,"转速应大于0",""))),IF(R25="","缺少机号",""),IF(R25="","",IF(NOT(ISNUMBER(R25)),"机号应为数值",IF(R25&lt;=0,"机号应大于0",""))),IF(S25="","缺少进口滞止密度",""),IF(S25="","",IF(NOT(ISNUMBER(S25)),"进口滞止密度应为数值",IF(S25&lt;=0,"进口滞止密度应大于0",""))),IF(T25="","缺少等熵指数k",""),IF(T25="","",IF(NOT(ISNUMBER(T25)),"等熵指数k应为数值",IF(OR(T25&lt;1,T25&gt;2),"等熵指数k应为1～2",""))),IF(U25="","缺少最高通风机效率ηr",""),IF(U25="","",IF(NOT(ISNUMBER(U25)),"最高通风机效率ηr应为数值",IF(OR(U25&lt;1,U25&gt;100),"最高通风机效率ηr应为1～100的百分数本值",""))),IF(AD25="","缺少铭牌照片",""),IF(AND(ISTEXT(AE25),OR(AE25&lt;&gt;TRIM(AE25),ISNUMBER(SEARCH("　",AE25)))),"填表备注含首尾空格或全角空格",""),IF(AND(H25="",F25&lt;&gt;""),"离心通风机缺少单双吸",""),IF(AND(ISNUMBER(L25),L25&gt;30000),"风机压力超过30kPa，超出通风机标准范围",""),IF(AND(F25="外转子电机直联前向多翼离心风机",G25&lt;&gt;"",G25&lt;&gt;"外转子电机直联"),"外转子前向多翼离心风机应选择外转子电机直联","")),"")</f>
        <v/>
      </c>
    </row>
    <row r="26" ht="42" customHeight="1" s="184">
      <c r="A26" s="224">
        <f>IF(COUNTA(B26,C26,D26,E26,F26,G26,H26,I26,J26,K26,L26,M26,N26,O26,P26,Q26,R26,S26,T26,U26,AD26,AE26)&gt;0,ROW()-3,"")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29" t="n"/>
      <c r="L26" s="229" t="n"/>
      <c r="M26" s="229" t="n"/>
      <c r="N26" s="229" t="n"/>
      <c r="O26" s="229" t="n"/>
      <c r="P26" s="229" t="n"/>
      <c r="Q26" s="229" t="n"/>
      <c r="R26" s="229" t="n"/>
      <c r="S26" s="229" t="n"/>
      <c r="T26" s="235" t="n"/>
      <c r="U26" s="229" t="n"/>
      <c r="V26" s="113" t="n"/>
      <c r="W26" s="236" t="n"/>
      <c r="X26" s="113" t="n"/>
      <c r="Y26" s="113" t="n"/>
      <c r="Z26" s="227" t="n"/>
      <c r="AA26" s="227" t="n"/>
      <c r="AB26" s="227" t="n"/>
      <c r="AC26" s="81" t="n"/>
      <c r="AD26" s="180" t="n"/>
      <c r="AE26" s="180" t="n"/>
      <c r="AF26" s="99">
        <f>IF(COUNTA(B26,C26,D26,E26,F26,G26,H26,I26,J26,K26,L26,M26,N26,O26,P26,Q26,R26,S26,T26,U26,AD26,AE26)&gt;0,TEXTJOIN("；",TRUE,IF(B26="","缺少设备名称",""),IF(AND(ISTEXT(B26),OR(B26&lt;&gt;TRIM(B26),ISNUMBER(SEARCH("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",E26)))),"安装位置含首尾空格或全角空格",""),IF(F26="","缺少设备类别",""),IF(F26="","",IF(COUNTIF(EV_CENTRIFUGAL_FAN_CATEGORY,F26)=0,"设备类别不在标准枚举中","")),IF(AND(ISTEXT(F26),OR(F26&lt;&gt;TRIM(F26),ISNUMBER(SEARCH("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",G26)))),"传动方式含首尾空格或全角空格",""),IF(H26="","",IF(COUNTIF(EV_SUCTION,H26)=0,"单双吸不在标准枚举中","")),IF(AND(ISTEXT(H26),OR(H26&lt;&gt;TRIM(H26),ISNUMBER(SEARCH("　",H26)))),"单双吸含首尾空格或全角空格",""),IF(I26="","缺少是否暖通空调用",""),IF(I26="","",IF(COUNTIF(EV_YES_NO,I26)=0,"是否暖通空调用不在标准枚举中","")),IF(AND(ISTEXT(I26),OR(I26&lt;&gt;TRIM(I26),ISNUMBER(SEARCH("　",I26)))),"是否暖通空调用含首尾空格或全角空格",""),IF(J26="","缺少是否带进气箱",""),IF(J26="","",IF(COUNTIF(EV_YES_NO,J26)=0,"是否带进气箱不在标准枚举中","")),IF(AND(ISTEXT(J26),OR(J26&lt;&gt;TRIM(J26),ISNUMBER(SEARCH("　",J26)))),"是否带进气箱含首尾空格或全角空格",""),IF(K26="","缺少流量",""),IF(K26="","",IF(NOT(ISNUMBER(K26)),"流量应为数值",IF(K26&lt;=0,"流量应大于0",""))),IF(L26="","缺少风机压力pF",""),IF(L26="","",IF(NOT(ISNUMBER(L26)),"风机压力pF应为数值",IF(L26&lt;=0,"风机压力pF应大于0",""))),IF(M26="","缺少出口滞止压力",""),IF(M26="","",IF(NOT(ISNUMBER(M26)),"出口滞止压力应为数值",IF(M26&lt;=0,"出口滞止压力应大于0",""))),IF(N26="","缺少进口滞止压力",""),IF(N26="","",IF(NOT(ISNUMBER(N26)),"进口滞止压力应为数值",IF(N26&lt;=0,"进口滞止压力应大于0",""))),IF(O26="","缺少额定功率",""),IF(O26="","",IF(NOT(ISNUMBER(O26)),"额定功率应为数值",IF(O26&lt;=0,"额定功率应大于0",""))),IF(P26="","缺少叶轮功率",""),IF(P26="","",IF(NOT(ISNUMBER(P26)),"叶轮功率应为数值",IF(P26&lt;=0,"叶轮功率应大于0",""))),IF(Q26="","缺少转速",""),IF(Q26="","",IF(NOT(ISNUMBER(Q26)),"转速应为数值",IF(Q26&lt;=0,"转速应大于0",""))),IF(R26="","缺少机号",""),IF(R26="","",IF(NOT(ISNUMBER(R26)),"机号应为数值",IF(R26&lt;=0,"机号应大于0",""))),IF(S26="","缺少进口滞止密度",""),IF(S26="","",IF(NOT(ISNUMBER(S26)),"进口滞止密度应为数值",IF(S26&lt;=0,"进口滞止密度应大于0",""))),IF(T26="","缺少等熵指数k",""),IF(T26="","",IF(NOT(ISNUMBER(T26)),"等熵指数k应为数值",IF(OR(T26&lt;1,T26&gt;2),"等熵指数k应为1～2",""))),IF(U26="","缺少最高通风机效率ηr",""),IF(U26="","",IF(NOT(ISNUMBER(U26)),"最高通风机效率ηr应为数值",IF(OR(U26&lt;1,U26&gt;100),"最高通风机效率ηr应为1～100的百分数本值",""))),IF(AD26="","缺少铭牌照片",""),IF(AND(ISTEXT(AE26),OR(AE26&lt;&gt;TRIM(AE26),ISNUMBER(SEARCH("　",AE26)))),"填表备注含首尾空格或全角空格",""),IF(AND(H26="",F26&lt;&gt;""),"离心通风机缺少单双吸",""),IF(AND(ISNUMBER(L26),L26&gt;30000),"风机压力超过30kPa，超出通风机标准范围",""),IF(AND(F26="外转子电机直联前向多翼离心风机",G26&lt;&gt;"",G26&lt;&gt;"外转子电机直联"),"外转子前向多翼离心风机应选择外转子电机直联","")),"")</f>
        <v/>
      </c>
    </row>
    <row r="27" ht="42" customHeight="1" s="184">
      <c r="A27" s="224">
        <f>IF(COUNTA(B27,C27,D27,E27,F27,G27,H27,I27,J27,K27,L27,M27,N27,O27,P27,Q27,R27,S27,T27,U27,AD27,AE27)&gt;0,ROW()-3,"")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35" t="n"/>
      <c r="U27" s="229" t="n"/>
      <c r="V27" s="113" t="n"/>
      <c r="W27" s="236" t="n"/>
      <c r="X27" s="113" t="n"/>
      <c r="Y27" s="113" t="n"/>
      <c r="Z27" s="227" t="n"/>
      <c r="AA27" s="227" t="n"/>
      <c r="AB27" s="227" t="n"/>
      <c r="AC27" s="81" t="n"/>
      <c r="AD27" s="180" t="n"/>
      <c r="AE27" s="180" t="n"/>
      <c r="AF27" s="99">
        <f>IF(COUNTA(B27,C27,D27,E27,F27,G27,H27,I27,J27,K27,L27,M27,N27,O27,P27,Q27,R27,S27,T27,U27,AD27,AE27)&gt;0,TEXTJOIN("；",TRUE,IF(B27="","缺少设备名称",""),IF(AND(ISTEXT(B27),OR(B27&lt;&gt;TRIM(B27),ISNUMBER(SEARCH("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",E27)))),"安装位置含首尾空格或全角空格",""),IF(F27="","缺少设备类别",""),IF(F27="","",IF(COUNTIF(EV_CENTRIFUGAL_FAN_CATEGORY,F27)=0,"设备类别不在标准枚举中","")),IF(AND(ISTEXT(F27),OR(F27&lt;&gt;TRIM(F27),ISNUMBER(SEARCH("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",G27)))),"传动方式含首尾空格或全角空格",""),IF(H27="","",IF(COUNTIF(EV_SUCTION,H27)=0,"单双吸不在标准枚举中","")),IF(AND(ISTEXT(H27),OR(H27&lt;&gt;TRIM(H27),ISNUMBER(SEARCH("　",H27)))),"单双吸含首尾空格或全角空格",""),IF(I27="","缺少是否暖通空调用",""),IF(I27="","",IF(COUNTIF(EV_YES_NO,I27)=0,"是否暖通空调用不在标准枚举中","")),IF(AND(ISTEXT(I27),OR(I27&lt;&gt;TRIM(I27),ISNUMBER(SEARCH("　",I27)))),"是否暖通空调用含首尾空格或全角空格",""),IF(J27="","缺少是否带进气箱",""),IF(J27="","",IF(COUNTIF(EV_YES_NO,J27)=0,"是否带进气箱不在标准枚举中","")),IF(AND(ISTEXT(J27),OR(J27&lt;&gt;TRIM(J27),ISNUMBER(SEARCH("　",J27)))),"是否带进气箱含首尾空格或全角空格",""),IF(K27="","缺少流量",""),IF(K27="","",IF(NOT(ISNUMBER(K27)),"流量应为数值",IF(K27&lt;=0,"流量应大于0",""))),IF(L27="","缺少风机压力pF",""),IF(L27="","",IF(NOT(ISNUMBER(L27)),"风机压力pF应为数值",IF(L27&lt;=0,"风机压力pF应大于0",""))),IF(M27="","缺少出口滞止压力",""),IF(M27="","",IF(NOT(ISNUMBER(M27)),"出口滞止压力应为数值",IF(M27&lt;=0,"出口滞止压力应大于0",""))),IF(N27="","缺少进口滞止压力",""),IF(N27="","",IF(NOT(ISNUMBER(N27)),"进口滞止压力应为数值",IF(N27&lt;=0,"进口滞止压力应大于0",""))),IF(O27="","缺少额定功率",""),IF(O27="","",IF(NOT(ISNUMBER(O27)),"额定功率应为数值",IF(O27&lt;=0,"额定功率应大于0",""))),IF(P27="","缺少叶轮功率",""),IF(P27="","",IF(NOT(ISNUMBER(P27)),"叶轮功率应为数值",IF(P27&lt;=0,"叶轮功率应大于0",""))),IF(Q27="","缺少转速",""),IF(Q27="","",IF(NOT(ISNUMBER(Q27)),"转速应为数值",IF(Q27&lt;=0,"转速应大于0",""))),IF(R27="","缺少机号",""),IF(R27="","",IF(NOT(ISNUMBER(R27)),"机号应为数值",IF(R27&lt;=0,"机号应大于0",""))),IF(S27="","缺少进口滞止密度",""),IF(S27="","",IF(NOT(ISNUMBER(S27)),"进口滞止密度应为数值",IF(S27&lt;=0,"进口滞止密度应大于0",""))),IF(T27="","缺少等熵指数k",""),IF(T27="","",IF(NOT(ISNUMBER(T27)),"等熵指数k应为数值",IF(OR(T27&lt;1,T27&gt;2),"等熵指数k应为1～2",""))),IF(U27="","缺少最高通风机效率ηr",""),IF(U27="","",IF(NOT(ISNUMBER(U27)),"最高通风机效率ηr应为数值",IF(OR(U27&lt;1,U27&gt;100),"最高通风机效率ηr应为1～100的百分数本值",""))),IF(AD27="","缺少铭牌照片",""),IF(AND(ISTEXT(AE27),OR(AE27&lt;&gt;TRIM(AE27),ISNUMBER(SEARCH("　",AE27)))),"填表备注含首尾空格或全角空格",""),IF(AND(H27="",F27&lt;&gt;""),"离心通风机缺少单双吸",""),IF(AND(ISNUMBER(L27),L27&gt;30000),"风机压力超过30kPa，超出通风机标准范围",""),IF(AND(F27="外转子电机直联前向多翼离心风机",G27&lt;&gt;"",G27&lt;&gt;"外转子电机直联"),"外转子前向多翼离心风机应选择外转子电机直联","")),"")</f>
        <v/>
      </c>
    </row>
    <row r="28" ht="42" customHeight="1" s="184">
      <c r="A28" s="224">
        <f>IF(COUNTA(B28,C28,D28,E28,F28,G28,H28,I28,J28,K28,L28,M28,N28,O28,P28,Q28,R28,S28,T28,U28,AD28,AE28)&gt;0,ROW()-3,"")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29" t="n"/>
      <c r="L28" s="229" t="n"/>
      <c r="M28" s="229" t="n"/>
      <c r="N28" s="229" t="n"/>
      <c r="O28" s="229" t="n"/>
      <c r="P28" s="229" t="n"/>
      <c r="Q28" s="229" t="n"/>
      <c r="R28" s="229" t="n"/>
      <c r="S28" s="229" t="n"/>
      <c r="T28" s="235" t="n"/>
      <c r="U28" s="229" t="n"/>
      <c r="V28" s="113" t="n"/>
      <c r="W28" s="236" t="n"/>
      <c r="X28" s="113" t="n"/>
      <c r="Y28" s="113" t="n"/>
      <c r="Z28" s="227" t="n"/>
      <c r="AA28" s="227" t="n"/>
      <c r="AB28" s="227" t="n"/>
      <c r="AC28" s="81" t="n"/>
      <c r="AD28" s="180" t="n"/>
      <c r="AE28" s="180" t="n"/>
      <c r="AF28" s="99">
        <f>IF(COUNTA(B28,C28,D28,E28,F28,G28,H28,I28,J28,K28,L28,M28,N28,O28,P28,Q28,R28,S28,T28,U28,AD28,AE28)&gt;0,TEXTJOIN("；",TRUE,IF(B28="","缺少设备名称",""),IF(AND(ISTEXT(B28),OR(B28&lt;&gt;TRIM(B28),ISNUMBER(SEARCH("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",E28)))),"安装位置含首尾空格或全角空格",""),IF(F28="","缺少设备类别",""),IF(F28="","",IF(COUNTIF(EV_CENTRIFUGAL_FAN_CATEGORY,F28)=0,"设备类别不在标准枚举中","")),IF(AND(ISTEXT(F28),OR(F28&lt;&gt;TRIM(F28),ISNUMBER(SEARCH("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",G28)))),"传动方式含首尾空格或全角空格",""),IF(H28="","",IF(COUNTIF(EV_SUCTION,H28)=0,"单双吸不在标准枚举中","")),IF(AND(ISTEXT(H28),OR(H28&lt;&gt;TRIM(H28),ISNUMBER(SEARCH("　",H28)))),"单双吸含首尾空格或全角空格",""),IF(I28="","缺少是否暖通空调用",""),IF(I28="","",IF(COUNTIF(EV_YES_NO,I28)=0,"是否暖通空调用不在标准枚举中","")),IF(AND(ISTEXT(I28),OR(I28&lt;&gt;TRIM(I28),ISNUMBER(SEARCH("　",I28)))),"是否暖通空调用含首尾空格或全角空格",""),IF(J28="","缺少是否带进气箱",""),IF(J28="","",IF(COUNTIF(EV_YES_NO,J28)=0,"是否带进气箱不在标准枚举中","")),IF(AND(ISTEXT(J28),OR(J28&lt;&gt;TRIM(J28),ISNUMBER(SEARCH("　",J28)))),"是否带进气箱含首尾空格或全角空格",""),IF(K28="","缺少流量",""),IF(K28="","",IF(NOT(ISNUMBER(K28)),"流量应为数值",IF(K28&lt;=0,"流量应大于0",""))),IF(L28="","缺少风机压力pF",""),IF(L28="","",IF(NOT(ISNUMBER(L28)),"风机压力pF应为数值",IF(L28&lt;=0,"风机压力pF应大于0",""))),IF(M28="","缺少出口滞止压力",""),IF(M28="","",IF(NOT(ISNUMBER(M28)),"出口滞止压力应为数值",IF(M28&lt;=0,"出口滞止压力应大于0",""))),IF(N28="","缺少进口滞止压力",""),IF(N28="","",IF(NOT(ISNUMBER(N28)),"进口滞止压力应为数值",IF(N28&lt;=0,"进口滞止压力应大于0",""))),IF(O28="","缺少额定功率",""),IF(O28="","",IF(NOT(ISNUMBER(O28)),"额定功率应为数值",IF(O28&lt;=0,"额定功率应大于0",""))),IF(P28="","缺少叶轮功率",""),IF(P28="","",IF(NOT(ISNUMBER(P28)),"叶轮功率应为数值",IF(P28&lt;=0,"叶轮功率应大于0",""))),IF(Q28="","缺少转速",""),IF(Q28="","",IF(NOT(ISNUMBER(Q28)),"转速应为数值",IF(Q28&lt;=0,"转速应大于0",""))),IF(R28="","缺少机号",""),IF(R28="","",IF(NOT(ISNUMBER(R28)),"机号应为数值",IF(R28&lt;=0,"机号应大于0",""))),IF(S28="","缺少进口滞止密度",""),IF(S28="","",IF(NOT(ISNUMBER(S28)),"进口滞止密度应为数值",IF(S28&lt;=0,"进口滞止密度应大于0",""))),IF(T28="","缺少等熵指数k",""),IF(T28="","",IF(NOT(ISNUMBER(T28)),"等熵指数k应为数值",IF(OR(T28&lt;1,T28&gt;2),"等熵指数k应为1～2",""))),IF(U28="","缺少最高通风机效率ηr",""),IF(U28="","",IF(NOT(ISNUMBER(U28)),"最高通风机效率ηr应为数值",IF(OR(U28&lt;1,U28&gt;100),"最高通风机效率ηr应为1～100的百分数本值",""))),IF(AD28="","缺少铭牌照片",""),IF(AND(ISTEXT(AE28),OR(AE28&lt;&gt;TRIM(AE28),ISNUMBER(SEARCH("　",AE28)))),"填表备注含首尾空格或全角空格",""),IF(AND(H28="",F28&lt;&gt;""),"离心通风机缺少单双吸",""),IF(AND(ISNUMBER(L28),L28&gt;30000),"风机压力超过30kPa，超出通风机标准范围",""),IF(AND(F28="外转子电机直联前向多翼离心风机",G28&lt;&gt;"",G28&lt;&gt;"外转子电机直联"),"外转子前向多翼离心风机应选择外转子电机直联","")),"")</f>
        <v/>
      </c>
    </row>
    <row r="29" ht="42" customHeight="1" s="184">
      <c r="A29" s="224">
        <f>IF(COUNTA(B29,C29,D29,E29,F29,G29,H29,I29,J29,K29,L29,M29,N29,O29,P29,Q29,R29,S29,T29,U29,AD29,AE29)&gt;0,ROW()-3,"")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29" t="n"/>
      <c r="L29" s="229" t="n"/>
      <c r="M29" s="229" t="n"/>
      <c r="N29" s="229" t="n"/>
      <c r="O29" s="229" t="n"/>
      <c r="P29" s="229" t="n"/>
      <c r="Q29" s="229" t="n"/>
      <c r="R29" s="229" t="n"/>
      <c r="S29" s="229" t="n"/>
      <c r="T29" s="235" t="n"/>
      <c r="U29" s="229" t="n"/>
      <c r="V29" s="113" t="n"/>
      <c r="W29" s="236" t="n"/>
      <c r="X29" s="113" t="n"/>
      <c r="Y29" s="113" t="n"/>
      <c r="Z29" s="227" t="n"/>
      <c r="AA29" s="227" t="n"/>
      <c r="AB29" s="227" t="n"/>
      <c r="AC29" s="81" t="n"/>
      <c r="AD29" s="180" t="n"/>
      <c r="AE29" s="180" t="n"/>
      <c r="AF29" s="99">
        <f>IF(COUNTA(B29,C29,D29,E29,F29,G29,H29,I29,J29,K29,L29,M29,N29,O29,P29,Q29,R29,S29,T29,U29,AD29,AE29)&gt;0,TEXTJOIN("；",TRUE,IF(B29="","缺少设备名称",""),IF(AND(ISTEXT(B29),OR(B29&lt;&gt;TRIM(B29),ISNUMBER(SEARCH("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",E29)))),"安装位置含首尾空格或全角空格",""),IF(F29="","缺少设备类别",""),IF(F29="","",IF(COUNTIF(EV_CENTRIFUGAL_FAN_CATEGORY,F29)=0,"设备类别不在标准枚举中","")),IF(AND(ISTEXT(F29),OR(F29&lt;&gt;TRIM(F29),ISNUMBER(SEARCH("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",G29)))),"传动方式含首尾空格或全角空格",""),IF(H29="","",IF(COUNTIF(EV_SUCTION,H29)=0,"单双吸不在标准枚举中","")),IF(AND(ISTEXT(H29),OR(H29&lt;&gt;TRIM(H29),ISNUMBER(SEARCH("　",H29)))),"单双吸含首尾空格或全角空格",""),IF(I29="","缺少是否暖通空调用",""),IF(I29="","",IF(COUNTIF(EV_YES_NO,I29)=0,"是否暖通空调用不在标准枚举中","")),IF(AND(ISTEXT(I29),OR(I29&lt;&gt;TRIM(I29),ISNUMBER(SEARCH("　",I29)))),"是否暖通空调用含首尾空格或全角空格",""),IF(J29="","缺少是否带进气箱",""),IF(J29="","",IF(COUNTIF(EV_YES_NO,J29)=0,"是否带进气箱不在标准枚举中","")),IF(AND(ISTEXT(J29),OR(J29&lt;&gt;TRIM(J29),ISNUMBER(SEARCH("　",J29)))),"是否带进气箱含首尾空格或全角空格",""),IF(K29="","缺少流量",""),IF(K29="","",IF(NOT(ISNUMBER(K29)),"流量应为数值",IF(K29&lt;=0,"流量应大于0",""))),IF(L29="","缺少风机压力pF",""),IF(L29="","",IF(NOT(ISNUMBER(L29)),"风机压力pF应为数值",IF(L29&lt;=0,"风机压力pF应大于0",""))),IF(M29="","缺少出口滞止压力",""),IF(M29="","",IF(NOT(ISNUMBER(M29)),"出口滞止压力应为数值",IF(M29&lt;=0,"出口滞止压力应大于0",""))),IF(N29="","缺少进口滞止压力",""),IF(N29="","",IF(NOT(ISNUMBER(N29)),"进口滞止压力应为数值",IF(N29&lt;=0,"进口滞止压力应大于0",""))),IF(O29="","缺少额定功率",""),IF(O29="","",IF(NOT(ISNUMBER(O29)),"额定功率应为数值",IF(O29&lt;=0,"额定功率应大于0",""))),IF(P29="","缺少叶轮功率",""),IF(P29="","",IF(NOT(ISNUMBER(P29)),"叶轮功率应为数值",IF(P29&lt;=0,"叶轮功率应大于0",""))),IF(Q29="","缺少转速",""),IF(Q29="","",IF(NOT(ISNUMBER(Q29)),"转速应为数值",IF(Q29&lt;=0,"转速应大于0",""))),IF(R29="","缺少机号",""),IF(R29="","",IF(NOT(ISNUMBER(R29)),"机号应为数值",IF(R29&lt;=0,"机号应大于0",""))),IF(S29="","缺少进口滞止密度",""),IF(S29="","",IF(NOT(ISNUMBER(S29)),"进口滞止密度应为数值",IF(S29&lt;=0,"进口滞止密度应大于0",""))),IF(T29="","缺少等熵指数k",""),IF(T29="","",IF(NOT(ISNUMBER(T29)),"等熵指数k应为数值",IF(OR(T29&lt;1,T29&gt;2),"等熵指数k应为1～2",""))),IF(U29="","缺少最高通风机效率ηr",""),IF(U29="","",IF(NOT(ISNUMBER(U29)),"最高通风机效率ηr应为数值",IF(OR(U29&lt;1,U29&gt;100),"最高通风机效率ηr应为1～100的百分数本值",""))),IF(AD29="","缺少铭牌照片",""),IF(AND(ISTEXT(AE29),OR(AE29&lt;&gt;TRIM(AE29),ISNUMBER(SEARCH("　",AE29)))),"填表备注含首尾空格或全角空格",""),IF(AND(H29="",F29&lt;&gt;""),"离心通风机缺少单双吸",""),IF(AND(ISNUMBER(L29),L29&gt;30000),"风机压力超过30kPa，超出通风机标准范围",""),IF(AND(F29="外转子电机直联前向多翼离心风机",G29&lt;&gt;"",G29&lt;&gt;"外转子电机直联"),"外转子前向多翼离心风机应选择外转子电机直联","")),"")</f>
        <v/>
      </c>
    </row>
    <row r="30" ht="42" customHeight="1" s="184">
      <c r="A30" s="224">
        <f>IF(COUNTA(B30,C30,D30,E30,F30,G30,H30,I30,J30,K30,L30,M30,N30,O30,P30,Q30,R30,S30,T30,U30,AD30,AE30)&gt;0,ROW()-3,"")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29" t="n"/>
      <c r="L30" s="229" t="n"/>
      <c r="M30" s="229" t="n"/>
      <c r="N30" s="229" t="n"/>
      <c r="O30" s="229" t="n"/>
      <c r="P30" s="229" t="n"/>
      <c r="Q30" s="229" t="n"/>
      <c r="R30" s="229" t="n"/>
      <c r="S30" s="229" t="n"/>
      <c r="T30" s="235" t="n"/>
      <c r="U30" s="229" t="n"/>
      <c r="V30" s="113" t="n"/>
      <c r="W30" s="236" t="n"/>
      <c r="X30" s="113" t="n"/>
      <c r="Y30" s="113" t="n"/>
      <c r="Z30" s="227" t="n"/>
      <c r="AA30" s="227" t="n"/>
      <c r="AB30" s="227" t="n"/>
      <c r="AC30" s="81" t="n"/>
      <c r="AD30" s="180" t="n"/>
      <c r="AE30" s="180" t="n"/>
      <c r="AF30" s="99">
        <f>IF(COUNTA(B30,C30,D30,E30,F30,G30,H30,I30,J30,K30,L30,M30,N30,O30,P30,Q30,R30,S30,T30,U30,AD30,AE30)&gt;0,TEXTJOIN("；",TRUE,IF(B30="","缺少设备名称",""),IF(AND(ISTEXT(B30),OR(B30&lt;&gt;TRIM(B30),ISNUMBER(SEARCH("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",E30)))),"安装位置含首尾空格或全角空格",""),IF(F30="","缺少设备类别",""),IF(F30="","",IF(COUNTIF(EV_CENTRIFUGAL_FAN_CATEGORY,F30)=0,"设备类别不在标准枚举中","")),IF(AND(ISTEXT(F30),OR(F30&lt;&gt;TRIM(F30),ISNUMBER(SEARCH("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",G30)))),"传动方式含首尾空格或全角空格",""),IF(H30="","",IF(COUNTIF(EV_SUCTION,H30)=0,"单双吸不在标准枚举中","")),IF(AND(ISTEXT(H30),OR(H30&lt;&gt;TRIM(H30),ISNUMBER(SEARCH("　",H30)))),"单双吸含首尾空格或全角空格",""),IF(I30="","缺少是否暖通空调用",""),IF(I30="","",IF(COUNTIF(EV_YES_NO,I30)=0,"是否暖通空调用不在标准枚举中","")),IF(AND(ISTEXT(I30),OR(I30&lt;&gt;TRIM(I30),ISNUMBER(SEARCH("　",I30)))),"是否暖通空调用含首尾空格或全角空格",""),IF(J30="","缺少是否带进气箱",""),IF(J30="","",IF(COUNTIF(EV_YES_NO,J30)=0,"是否带进气箱不在标准枚举中","")),IF(AND(ISTEXT(J30),OR(J30&lt;&gt;TRIM(J30),ISNUMBER(SEARCH("　",J30)))),"是否带进气箱含首尾空格或全角空格",""),IF(K30="","缺少流量",""),IF(K30="","",IF(NOT(ISNUMBER(K30)),"流量应为数值",IF(K30&lt;=0,"流量应大于0",""))),IF(L30="","缺少风机压力pF",""),IF(L30="","",IF(NOT(ISNUMBER(L30)),"风机压力pF应为数值",IF(L30&lt;=0,"风机压力pF应大于0",""))),IF(M30="","缺少出口滞止压力",""),IF(M30="","",IF(NOT(ISNUMBER(M30)),"出口滞止压力应为数值",IF(M30&lt;=0,"出口滞止压力应大于0",""))),IF(N30="","缺少进口滞止压力",""),IF(N30="","",IF(NOT(ISNUMBER(N30)),"进口滞止压力应为数值",IF(N30&lt;=0,"进口滞止压力应大于0",""))),IF(O30="","缺少额定功率",""),IF(O30="","",IF(NOT(ISNUMBER(O30)),"额定功率应为数值",IF(O30&lt;=0,"额定功率应大于0",""))),IF(P30="","缺少叶轮功率",""),IF(P30="","",IF(NOT(ISNUMBER(P30)),"叶轮功率应为数值",IF(P30&lt;=0,"叶轮功率应大于0",""))),IF(Q30="","缺少转速",""),IF(Q30="","",IF(NOT(ISNUMBER(Q30)),"转速应为数值",IF(Q30&lt;=0,"转速应大于0",""))),IF(R30="","缺少机号",""),IF(R30="","",IF(NOT(ISNUMBER(R30)),"机号应为数值",IF(R30&lt;=0,"机号应大于0",""))),IF(S30="","缺少进口滞止密度",""),IF(S30="","",IF(NOT(ISNUMBER(S30)),"进口滞止密度应为数值",IF(S30&lt;=0,"进口滞止密度应大于0",""))),IF(T30="","缺少等熵指数k",""),IF(T30="","",IF(NOT(ISNUMBER(T30)),"等熵指数k应为数值",IF(OR(T30&lt;1,T30&gt;2),"等熵指数k应为1～2",""))),IF(U30="","缺少最高通风机效率ηr",""),IF(U30="","",IF(NOT(ISNUMBER(U30)),"最高通风机效率ηr应为数值",IF(OR(U30&lt;1,U30&gt;100),"最高通风机效率ηr应为1～100的百分数本值",""))),IF(AD30="","缺少铭牌照片",""),IF(AND(ISTEXT(AE30),OR(AE30&lt;&gt;TRIM(AE30),ISNUMBER(SEARCH("　",AE30)))),"填表备注含首尾空格或全角空格",""),IF(AND(H30="",F30&lt;&gt;""),"离心通风机缺少单双吸",""),IF(AND(ISNUMBER(L30),L30&gt;30000),"风机压力超过30kPa，超出通风机标准范围",""),IF(AND(F30="外转子电机直联前向多翼离心风机",G30&lt;&gt;"",G30&lt;&gt;"外转子电机直联"),"外转子前向多翼离心风机应选择外转子电机直联","")),"")</f>
        <v/>
      </c>
    </row>
    <row r="31" ht="42" customHeight="1" s="184">
      <c r="A31" s="224">
        <f>IF(COUNTA(B31,C31,D31,E31,F31,G31,H31,I31,J31,K31,L31,M31,N31,O31,P31,Q31,R31,S31,T31,U31,AD31,AE31)&gt;0,ROW()-3,"")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35" t="n"/>
      <c r="U31" s="229" t="n"/>
      <c r="V31" s="113" t="n"/>
      <c r="W31" s="236" t="n"/>
      <c r="X31" s="113" t="n"/>
      <c r="Y31" s="113" t="n"/>
      <c r="Z31" s="227" t="n"/>
      <c r="AA31" s="227" t="n"/>
      <c r="AB31" s="227" t="n"/>
      <c r="AC31" s="81" t="n"/>
      <c r="AD31" s="180" t="n"/>
      <c r="AE31" s="180" t="n"/>
      <c r="AF31" s="99">
        <f>IF(COUNTA(B31,C31,D31,E31,F31,G31,H31,I31,J31,K31,L31,M31,N31,O31,P31,Q31,R31,S31,T31,U31,AD31,AE31)&gt;0,TEXTJOIN("；",TRUE,IF(B31="","缺少设备名称",""),IF(AND(ISTEXT(B31),OR(B31&lt;&gt;TRIM(B31),ISNUMBER(SEARCH("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",E31)))),"安装位置含首尾空格或全角空格",""),IF(F31="","缺少设备类别",""),IF(F31="","",IF(COUNTIF(EV_CENTRIFUGAL_FAN_CATEGORY,F31)=0,"设备类别不在标准枚举中","")),IF(AND(ISTEXT(F31),OR(F31&lt;&gt;TRIM(F31),ISNUMBER(SEARCH("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",G31)))),"传动方式含首尾空格或全角空格",""),IF(H31="","",IF(COUNTIF(EV_SUCTION,H31)=0,"单双吸不在标准枚举中","")),IF(AND(ISTEXT(H31),OR(H31&lt;&gt;TRIM(H31),ISNUMBER(SEARCH("　",H31)))),"单双吸含首尾空格或全角空格",""),IF(I31="","缺少是否暖通空调用",""),IF(I31="","",IF(COUNTIF(EV_YES_NO,I31)=0,"是否暖通空调用不在标准枚举中","")),IF(AND(ISTEXT(I31),OR(I31&lt;&gt;TRIM(I31),ISNUMBER(SEARCH("　",I31)))),"是否暖通空调用含首尾空格或全角空格",""),IF(J31="","缺少是否带进气箱",""),IF(J31="","",IF(COUNTIF(EV_YES_NO,J31)=0,"是否带进气箱不在标准枚举中","")),IF(AND(ISTEXT(J31),OR(J31&lt;&gt;TRIM(J31),ISNUMBER(SEARCH("　",J31)))),"是否带进气箱含首尾空格或全角空格",""),IF(K31="","缺少流量",""),IF(K31="","",IF(NOT(ISNUMBER(K31)),"流量应为数值",IF(K31&lt;=0,"流量应大于0",""))),IF(L31="","缺少风机压力pF",""),IF(L31="","",IF(NOT(ISNUMBER(L31)),"风机压力pF应为数值",IF(L31&lt;=0,"风机压力pF应大于0",""))),IF(M31="","缺少出口滞止压力",""),IF(M31="","",IF(NOT(ISNUMBER(M31)),"出口滞止压力应为数值",IF(M31&lt;=0,"出口滞止压力应大于0",""))),IF(N31="","缺少进口滞止压力",""),IF(N31="","",IF(NOT(ISNUMBER(N31)),"进口滞止压力应为数值",IF(N31&lt;=0,"进口滞止压力应大于0",""))),IF(O31="","缺少额定功率",""),IF(O31="","",IF(NOT(ISNUMBER(O31)),"额定功率应为数值",IF(O31&lt;=0,"额定功率应大于0",""))),IF(P31="","缺少叶轮功率",""),IF(P31="","",IF(NOT(ISNUMBER(P31)),"叶轮功率应为数值",IF(P31&lt;=0,"叶轮功率应大于0",""))),IF(Q31="","缺少转速",""),IF(Q31="","",IF(NOT(ISNUMBER(Q31)),"转速应为数值",IF(Q31&lt;=0,"转速应大于0",""))),IF(R31="","缺少机号",""),IF(R31="","",IF(NOT(ISNUMBER(R31)),"机号应为数值",IF(R31&lt;=0,"机号应大于0",""))),IF(S31="","缺少进口滞止密度",""),IF(S31="","",IF(NOT(ISNUMBER(S31)),"进口滞止密度应为数值",IF(S31&lt;=0,"进口滞止密度应大于0",""))),IF(T31="","缺少等熵指数k",""),IF(T31="","",IF(NOT(ISNUMBER(T31)),"等熵指数k应为数值",IF(OR(T31&lt;1,T31&gt;2),"等熵指数k应为1～2",""))),IF(U31="","缺少最高通风机效率ηr",""),IF(U31="","",IF(NOT(ISNUMBER(U31)),"最高通风机效率ηr应为数值",IF(OR(U31&lt;1,U31&gt;100),"最高通风机效率ηr应为1～100的百分数本值",""))),IF(AD31="","缺少铭牌照片",""),IF(AND(ISTEXT(AE31),OR(AE31&lt;&gt;TRIM(AE31),ISNUMBER(SEARCH("　",AE31)))),"填表备注含首尾空格或全角空格",""),IF(AND(H31="",F31&lt;&gt;""),"离心通风机缺少单双吸",""),IF(AND(ISNUMBER(L31),L31&gt;30000),"风机压力超过30kPa，超出通风机标准范围",""),IF(AND(F31="外转子电机直联前向多翼离心风机",G31&lt;&gt;"",G31&lt;&gt;"外转子电机直联"),"外转子前向多翼离心风机应选择外转子电机直联","")),"")</f>
        <v/>
      </c>
    </row>
    <row r="32" ht="42" customHeight="1" s="184">
      <c r="A32" s="224">
        <f>IF(COUNTA(B32,C32,D32,E32,F32,G32,H32,I32,J32,K32,L32,M32,N32,O32,P32,Q32,R32,S32,T32,U32,AD32,AE32)&gt;0,ROW()-3,"")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35" t="n"/>
      <c r="U32" s="229" t="n"/>
      <c r="V32" s="113" t="n"/>
      <c r="W32" s="236" t="n"/>
      <c r="X32" s="113" t="n"/>
      <c r="Y32" s="113" t="n"/>
      <c r="Z32" s="227" t="n"/>
      <c r="AA32" s="227" t="n"/>
      <c r="AB32" s="227" t="n"/>
      <c r="AC32" s="81" t="n"/>
      <c r="AD32" s="180" t="n"/>
      <c r="AE32" s="180" t="n"/>
      <c r="AF32" s="99">
        <f>IF(COUNTA(B32,C32,D32,E32,F32,G32,H32,I32,J32,K32,L32,M32,N32,O32,P32,Q32,R32,S32,T32,U32,AD32,AE32)&gt;0,TEXTJOIN("；",TRUE,IF(B32="","缺少设备名称",""),IF(AND(ISTEXT(B32),OR(B32&lt;&gt;TRIM(B32),ISNUMBER(SEARCH("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",E32)))),"安装位置含首尾空格或全角空格",""),IF(F32="","缺少设备类别",""),IF(F32="","",IF(COUNTIF(EV_CENTRIFUGAL_FAN_CATEGORY,F32)=0,"设备类别不在标准枚举中","")),IF(AND(ISTEXT(F32),OR(F32&lt;&gt;TRIM(F32),ISNUMBER(SEARCH("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",G32)))),"传动方式含首尾空格或全角空格",""),IF(H32="","",IF(COUNTIF(EV_SUCTION,H32)=0,"单双吸不在标准枚举中","")),IF(AND(ISTEXT(H32),OR(H32&lt;&gt;TRIM(H32),ISNUMBER(SEARCH("　",H32)))),"单双吸含首尾空格或全角空格",""),IF(I32="","缺少是否暖通空调用",""),IF(I32="","",IF(COUNTIF(EV_YES_NO,I32)=0,"是否暖通空调用不在标准枚举中","")),IF(AND(ISTEXT(I32),OR(I32&lt;&gt;TRIM(I32),ISNUMBER(SEARCH("　",I32)))),"是否暖通空调用含首尾空格或全角空格",""),IF(J32="","缺少是否带进气箱",""),IF(J32="","",IF(COUNTIF(EV_YES_NO,J32)=0,"是否带进气箱不在标准枚举中","")),IF(AND(ISTEXT(J32),OR(J32&lt;&gt;TRIM(J32),ISNUMBER(SEARCH("　",J32)))),"是否带进气箱含首尾空格或全角空格",""),IF(K32="","缺少流量",""),IF(K32="","",IF(NOT(ISNUMBER(K32)),"流量应为数值",IF(K32&lt;=0,"流量应大于0",""))),IF(L32="","缺少风机压力pF",""),IF(L32="","",IF(NOT(ISNUMBER(L32)),"风机压力pF应为数值",IF(L32&lt;=0,"风机压力pF应大于0",""))),IF(M32="","缺少出口滞止压力",""),IF(M32="","",IF(NOT(ISNUMBER(M32)),"出口滞止压力应为数值",IF(M32&lt;=0,"出口滞止压力应大于0",""))),IF(N32="","缺少进口滞止压力",""),IF(N32="","",IF(NOT(ISNUMBER(N32)),"进口滞止压力应为数值",IF(N32&lt;=0,"进口滞止压力应大于0",""))),IF(O32="","缺少额定功率",""),IF(O32="","",IF(NOT(ISNUMBER(O32)),"额定功率应为数值",IF(O32&lt;=0,"额定功率应大于0",""))),IF(P32="","缺少叶轮功率",""),IF(P32="","",IF(NOT(ISNUMBER(P32)),"叶轮功率应为数值",IF(P32&lt;=0,"叶轮功率应大于0",""))),IF(Q32="","缺少转速",""),IF(Q32="","",IF(NOT(ISNUMBER(Q32)),"转速应为数值",IF(Q32&lt;=0,"转速应大于0",""))),IF(R32="","缺少机号",""),IF(R32="","",IF(NOT(ISNUMBER(R32)),"机号应为数值",IF(R32&lt;=0,"机号应大于0",""))),IF(S32="","缺少进口滞止密度",""),IF(S32="","",IF(NOT(ISNUMBER(S32)),"进口滞止密度应为数值",IF(S32&lt;=0,"进口滞止密度应大于0",""))),IF(T32="","缺少等熵指数k",""),IF(T32="","",IF(NOT(ISNUMBER(T32)),"等熵指数k应为数值",IF(OR(T32&lt;1,T32&gt;2),"等熵指数k应为1～2",""))),IF(U32="","缺少最高通风机效率ηr",""),IF(U32="","",IF(NOT(ISNUMBER(U32)),"最高通风机效率ηr应为数值",IF(OR(U32&lt;1,U32&gt;100),"最高通风机效率ηr应为1～100的百分数本值",""))),IF(AD32="","缺少铭牌照片",""),IF(AND(ISTEXT(AE32),OR(AE32&lt;&gt;TRIM(AE32),ISNUMBER(SEARCH("　",AE32)))),"填表备注含首尾空格或全角空格",""),IF(AND(H32="",F32&lt;&gt;""),"离心通风机缺少单双吸",""),IF(AND(ISNUMBER(L32),L32&gt;30000),"风机压力超过30kPa，超出通风机标准范围",""),IF(AND(F32="外转子电机直联前向多翼离心风机",G32&lt;&gt;"",G32&lt;&gt;"外转子电机直联"),"外转子前向多翼离心风机应选择外转子电机直联","")),"")</f>
        <v/>
      </c>
    </row>
    <row r="33" ht="42" customHeight="1" s="184">
      <c r="A33" s="224">
        <f>IF(COUNTA(B33,C33,D33,E33,F33,G33,H33,I33,J33,K33,L33,M33,N33,O33,P33,Q33,R33,S33,T33,U33,AD33,AE33)&gt;0,ROW()-3,"")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29" t="n"/>
      <c r="L33" s="229" t="n"/>
      <c r="M33" s="229" t="n"/>
      <c r="N33" s="229" t="n"/>
      <c r="O33" s="229" t="n"/>
      <c r="P33" s="229" t="n"/>
      <c r="Q33" s="229" t="n"/>
      <c r="R33" s="229" t="n"/>
      <c r="S33" s="229" t="n"/>
      <c r="T33" s="235" t="n"/>
      <c r="U33" s="229" t="n"/>
      <c r="V33" s="113" t="n"/>
      <c r="W33" s="236" t="n"/>
      <c r="X33" s="113" t="n"/>
      <c r="Y33" s="113" t="n"/>
      <c r="Z33" s="227" t="n"/>
      <c r="AA33" s="227" t="n"/>
      <c r="AB33" s="227" t="n"/>
      <c r="AC33" s="81" t="n"/>
      <c r="AD33" s="180" t="n"/>
      <c r="AE33" s="180" t="n"/>
      <c r="AF33" s="99">
        <f>IF(COUNTA(B33,C33,D33,E33,F33,G33,H33,I33,J33,K33,L33,M33,N33,O33,P33,Q33,R33,S33,T33,U33,AD33,AE33)&gt;0,TEXTJOIN("；",TRUE,IF(B33="","缺少设备名称",""),IF(AND(ISTEXT(B33),OR(B33&lt;&gt;TRIM(B33),ISNUMBER(SEARCH("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",E33)))),"安装位置含首尾空格或全角空格",""),IF(F33="","缺少设备类别",""),IF(F33="","",IF(COUNTIF(EV_CENTRIFUGAL_FAN_CATEGORY,F33)=0,"设备类别不在标准枚举中","")),IF(AND(ISTEXT(F33),OR(F33&lt;&gt;TRIM(F33),ISNUMBER(SEARCH("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",G33)))),"传动方式含首尾空格或全角空格",""),IF(H33="","",IF(COUNTIF(EV_SUCTION,H33)=0,"单双吸不在标准枚举中","")),IF(AND(ISTEXT(H33),OR(H33&lt;&gt;TRIM(H33),ISNUMBER(SEARCH("　",H33)))),"单双吸含首尾空格或全角空格",""),IF(I33="","缺少是否暖通空调用",""),IF(I33="","",IF(COUNTIF(EV_YES_NO,I33)=0,"是否暖通空调用不在标准枚举中","")),IF(AND(ISTEXT(I33),OR(I33&lt;&gt;TRIM(I33),ISNUMBER(SEARCH("　",I33)))),"是否暖通空调用含首尾空格或全角空格",""),IF(J33="","缺少是否带进气箱",""),IF(J33="","",IF(COUNTIF(EV_YES_NO,J33)=0,"是否带进气箱不在标准枚举中","")),IF(AND(ISTEXT(J33),OR(J33&lt;&gt;TRIM(J33),ISNUMBER(SEARCH("　",J33)))),"是否带进气箱含首尾空格或全角空格",""),IF(K33="","缺少流量",""),IF(K33="","",IF(NOT(ISNUMBER(K33)),"流量应为数值",IF(K33&lt;=0,"流量应大于0",""))),IF(L33="","缺少风机压力pF",""),IF(L33="","",IF(NOT(ISNUMBER(L33)),"风机压力pF应为数值",IF(L33&lt;=0,"风机压力pF应大于0",""))),IF(M33="","缺少出口滞止压力",""),IF(M33="","",IF(NOT(ISNUMBER(M33)),"出口滞止压力应为数值",IF(M33&lt;=0,"出口滞止压力应大于0",""))),IF(N33="","缺少进口滞止压力",""),IF(N33="","",IF(NOT(ISNUMBER(N33)),"进口滞止压力应为数值",IF(N33&lt;=0,"进口滞止压力应大于0",""))),IF(O33="","缺少额定功率",""),IF(O33="","",IF(NOT(ISNUMBER(O33)),"额定功率应为数值",IF(O33&lt;=0,"额定功率应大于0",""))),IF(P33="","缺少叶轮功率",""),IF(P33="","",IF(NOT(ISNUMBER(P33)),"叶轮功率应为数值",IF(P33&lt;=0,"叶轮功率应大于0",""))),IF(Q33="","缺少转速",""),IF(Q33="","",IF(NOT(ISNUMBER(Q33)),"转速应为数值",IF(Q33&lt;=0,"转速应大于0",""))),IF(R33="","缺少机号",""),IF(R33="","",IF(NOT(ISNUMBER(R33)),"机号应为数值",IF(R33&lt;=0,"机号应大于0",""))),IF(S33="","缺少进口滞止密度",""),IF(S33="","",IF(NOT(ISNUMBER(S33)),"进口滞止密度应为数值",IF(S33&lt;=0,"进口滞止密度应大于0",""))),IF(T33="","缺少等熵指数k",""),IF(T33="","",IF(NOT(ISNUMBER(T33)),"等熵指数k应为数值",IF(OR(T33&lt;1,T33&gt;2),"等熵指数k应为1～2",""))),IF(U33="","缺少最高通风机效率ηr",""),IF(U33="","",IF(NOT(ISNUMBER(U33)),"最高通风机效率ηr应为数值",IF(OR(U33&lt;1,U33&gt;100),"最高通风机效率ηr应为1～100的百分数本值",""))),IF(AD33="","缺少铭牌照片",""),IF(AND(ISTEXT(AE33),OR(AE33&lt;&gt;TRIM(AE33),ISNUMBER(SEARCH("　",AE33)))),"填表备注含首尾空格或全角空格",""),IF(AND(H33="",F33&lt;&gt;""),"离心通风机缺少单双吸",""),IF(AND(ISNUMBER(L33),L33&gt;30000),"风机压力超过30kPa，超出通风机标准范围",""),IF(AND(F33="外转子电机直联前向多翼离心风机",G33&lt;&gt;"",G33&lt;&gt;"外转子电机直联"),"外转子前向多翼离心风机应选择外转子电机直联","")),"")</f>
        <v/>
      </c>
    </row>
    <row r="34" ht="42" customHeight="1" s="184">
      <c r="A34" s="224">
        <f>IF(COUNTA(B34,C34,D34,E34,F34,G34,H34,I34,J34,K34,L34,M34,N34,O34,P34,Q34,R34,S34,T34,U34,AD34,AE34)&gt;0,ROW()-3,"")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29" t="n"/>
      <c r="L34" s="229" t="n"/>
      <c r="M34" s="229" t="n"/>
      <c r="N34" s="229" t="n"/>
      <c r="O34" s="229" t="n"/>
      <c r="P34" s="229" t="n"/>
      <c r="Q34" s="229" t="n"/>
      <c r="R34" s="229" t="n"/>
      <c r="S34" s="229" t="n"/>
      <c r="T34" s="235" t="n"/>
      <c r="U34" s="229" t="n"/>
      <c r="V34" s="113" t="n"/>
      <c r="W34" s="236" t="n"/>
      <c r="X34" s="113" t="n"/>
      <c r="Y34" s="113" t="n"/>
      <c r="Z34" s="227" t="n"/>
      <c r="AA34" s="227" t="n"/>
      <c r="AB34" s="227" t="n"/>
      <c r="AC34" s="81" t="n"/>
      <c r="AD34" s="180" t="n"/>
      <c r="AE34" s="180" t="n"/>
      <c r="AF34" s="99">
        <f>IF(COUNTA(B34,C34,D34,E34,F34,G34,H34,I34,J34,K34,L34,M34,N34,O34,P34,Q34,R34,S34,T34,U34,AD34,AE34)&gt;0,TEXTJOIN("；",TRUE,IF(B34="","缺少设备名称",""),IF(AND(ISTEXT(B34),OR(B34&lt;&gt;TRIM(B34),ISNUMBER(SEARCH("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",E34)))),"安装位置含首尾空格或全角空格",""),IF(F34="","缺少设备类别",""),IF(F34="","",IF(COUNTIF(EV_CENTRIFUGAL_FAN_CATEGORY,F34)=0,"设备类别不在标准枚举中","")),IF(AND(ISTEXT(F34),OR(F34&lt;&gt;TRIM(F34),ISNUMBER(SEARCH("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",G34)))),"传动方式含首尾空格或全角空格",""),IF(H34="","",IF(COUNTIF(EV_SUCTION,H34)=0,"单双吸不在标准枚举中","")),IF(AND(ISTEXT(H34),OR(H34&lt;&gt;TRIM(H34),ISNUMBER(SEARCH("　",H34)))),"单双吸含首尾空格或全角空格",""),IF(I34="","缺少是否暖通空调用",""),IF(I34="","",IF(COUNTIF(EV_YES_NO,I34)=0,"是否暖通空调用不在标准枚举中","")),IF(AND(ISTEXT(I34),OR(I34&lt;&gt;TRIM(I34),ISNUMBER(SEARCH("　",I34)))),"是否暖通空调用含首尾空格或全角空格",""),IF(J34="","缺少是否带进气箱",""),IF(J34="","",IF(COUNTIF(EV_YES_NO,J34)=0,"是否带进气箱不在标准枚举中","")),IF(AND(ISTEXT(J34),OR(J34&lt;&gt;TRIM(J34),ISNUMBER(SEARCH("　",J34)))),"是否带进气箱含首尾空格或全角空格",""),IF(K34="","缺少流量",""),IF(K34="","",IF(NOT(ISNUMBER(K34)),"流量应为数值",IF(K34&lt;=0,"流量应大于0",""))),IF(L34="","缺少风机压力pF",""),IF(L34="","",IF(NOT(ISNUMBER(L34)),"风机压力pF应为数值",IF(L34&lt;=0,"风机压力pF应大于0",""))),IF(M34="","缺少出口滞止压力",""),IF(M34="","",IF(NOT(ISNUMBER(M34)),"出口滞止压力应为数值",IF(M34&lt;=0,"出口滞止压力应大于0",""))),IF(N34="","缺少进口滞止压力",""),IF(N34="","",IF(NOT(ISNUMBER(N34)),"进口滞止压力应为数值",IF(N34&lt;=0,"进口滞止压力应大于0",""))),IF(O34="","缺少额定功率",""),IF(O34="","",IF(NOT(ISNUMBER(O34)),"额定功率应为数值",IF(O34&lt;=0,"额定功率应大于0",""))),IF(P34="","缺少叶轮功率",""),IF(P34="","",IF(NOT(ISNUMBER(P34)),"叶轮功率应为数值",IF(P34&lt;=0,"叶轮功率应大于0",""))),IF(Q34="","缺少转速",""),IF(Q34="","",IF(NOT(ISNUMBER(Q34)),"转速应为数值",IF(Q34&lt;=0,"转速应大于0",""))),IF(R34="","缺少机号",""),IF(R34="","",IF(NOT(ISNUMBER(R34)),"机号应为数值",IF(R34&lt;=0,"机号应大于0",""))),IF(S34="","缺少进口滞止密度",""),IF(S34="","",IF(NOT(ISNUMBER(S34)),"进口滞止密度应为数值",IF(S34&lt;=0,"进口滞止密度应大于0",""))),IF(T34="","缺少等熵指数k",""),IF(T34="","",IF(NOT(ISNUMBER(T34)),"等熵指数k应为数值",IF(OR(T34&lt;1,T34&gt;2),"等熵指数k应为1～2",""))),IF(U34="","缺少最高通风机效率ηr",""),IF(U34="","",IF(NOT(ISNUMBER(U34)),"最高通风机效率ηr应为数值",IF(OR(U34&lt;1,U34&gt;100),"最高通风机效率ηr应为1～100的百分数本值",""))),IF(AD34="","缺少铭牌照片",""),IF(AND(ISTEXT(AE34),OR(AE34&lt;&gt;TRIM(AE34),ISNUMBER(SEARCH("　",AE34)))),"填表备注含首尾空格或全角空格",""),IF(AND(H34="",F34&lt;&gt;""),"离心通风机缺少单双吸",""),IF(AND(ISNUMBER(L34),L34&gt;30000),"风机压力超过30kPa，超出通风机标准范围",""),IF(AND(F34="外转子电机直联前向多翼离心风机",G34&lt;&gt;"",G34&lt;&gt;"外转子电机直联"),"外转子前向多翼离心风机应选择外转子电机直联","")),"")</f>
        <v/>
      </c>
    </row>
    <row r="35" ht="42" customHeight="1" s="184">
      <c r="A35" s="224">
        <f>IF(COUNTA(B35,C35,D35,E35,F35,G35,H35,I35,J35,K35,L35,M35,N35,O35,P35,Q35,R35,S35,T35,U35,AD35,AE35)&gt;0,ROW()-3,"")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29" t="n"/>
      <c r="L35" s="229" t="n"/>
      <c r="M35" s="229" t="n"/>
      <c r="N35" s="229" t="n"/>
      <c r="O35" s="229" t="n"/>
      <c r="P35" s="229" t="n"/>
      <c r="Q35" s="229" t="n"/>
      <c r="R35" s="229" t="n"/>
      <c r="S35" s="229" t="n"/>
      <c r="T35" s="235" t="n"/>
      <c r="U35" s="229" t="n"/>
      <c r="V35" s="113" t="n"/>
      <c r="W35" s="236" t="n"/>
      <c r="X35" s="113" t="n"/>
      <c r="Y35" s="113" t="n"/>
      <c r="Z35" s="227" t="n"/>
      <c r="AA35" s="227" t="n"/>
      <c r="AB35" s="227" t="n"/>
      <c r="AC35" s="81" t="n"/>
      <c r="AD35" s="180" t="n"/>
      <c r="AE35" s="180" t="n"/>
      <c r="AF35" s="99">
        <f>IF(COUNTA(B35,C35,D35,E35,F35,G35,H35,I35,J35,K35,L35,M35,N35,O35,P35,Q35,R35,S35,T35,U35,AD35,AE35)&gt;0,TEXTJOIN("；",TRUE,IF(B35="","缺少设备名称",""),IF(AND(ISTEXT(B35),OR(B35&lt;&gt;TRIM(B35),ISNUMBER(SEARCH("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",E35)))),"安装位置含首尾空格或全角空格",""),IF(F35="","缺少设备类别",""),IF(F35="","",IF(COUNTIF(EV_CENTRIFUGAL_FAN_CATEGORY,F35)=0,"设备类别不在标准枚举中","")),IF(AND(ISTEXT(F35),OR(F35&lt;&gt;TRIM(F35),ISNUMBER(SEARCH("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",G35)))),"传动方式含首尾空格或全角空格",""),IF(H35="","",IF(COUNTIF(EV_SUCTION,H35)=0,"单双吸不在标准枚举中","")),IF(AND(ISTEXT(H35),OR(H35&lt;&gt;TRIM(H35),ISNUMBER(SEARCH("　",H35)))),"单双吸含首尾空格或全角空格",""),IF(I35="","缺少是否暖通空调用",""),IF(I35="","",IF(COUNTIF(EV_YES_NO,I35)=0,"是否暖通空调用不在标准枚举中","")),IF(AND(ISTEXT(I35),OR(I35&lt;&gt;TRIM(I35),ISNUMBER(SEARCH("　",I35)))),"是否暖通空调用含首尾空格或全角空格",""),IF(J35="","缺少是否带进气箱",""),IF(J35="","",IF(COUNTIF(EV_YES_NO,J35)=0,"是否带进气箱不在标准枚举中","")),IF(AND(ISTEXT(J35),OR(J35&lt;&gt;TRIM(J35),ISNUMBER(SEARCH("　",J35)))),"是否带进气箱含首尾空格或全角空格",""),IF(K35="","缺少流量",""),IF(K35="","",IF(NOT(ISNUMBER(K35)),"流量应为数值",IF(K35&lt;=0,"流量应大于0",""))),IF(L35="","缺少风机压力pF",""),IF(L35="","",IF(NOT(ISNUMBER(L35)),"风机压力pF应为数值",IF(L35&lt;=0,"风机压力pF应大于0",""))),IF(M35="","缺少出口滞止压力",""),IF(M35="","",IF(NOT(ISNUMBER(M35)),"出口滞止压力应为数值",IF(M35&lt;=0,"出口滞止压力应大于0",""))),IF(N35="","缺少进口滞止压力",""),IF(N35="","",IF(NOT(ISNUMBER(N35)),"进口滞止压力应为数值",IF(N35&lt;=0,"进口滞止压力应大于0",""))),IF(O35="","缺少额定功率",""),IF(O35="","",IF(NOT(ISNUMBER(O35)),"额定功率应为数值",IF(O35&lt;=0,"额定功率应大于0",""))),IF(P35="","缺少叶轮功率",""),IF(P35="","",IF(NOT(ISNUMBER(P35)),"叶轮功率应为数值",IF(P35&lt;=0,"叶轮功率应大于0",""))),IF(Q35="","缺少转速",""),IF(Q35="","",IF(NOT(ISNUMBER(Q35)),"转速应为数值",IF(Q35&lt;=0,"转速应大于0",""))),IF(R35="","缺少机号",""),IF(R35="","",IF(NOT(ISNUMBER(R35)),"机号应为数值",IF(R35&lt;=0,"机号应大于0",""))),IF(S35="","缺少进口滞止密度",""),IF(S35="","",IF(NOT(ISNUMBER(S35)),"进口滞止密度应为数值",IF(S35&lt;=0,"进口滞止密度应大于0",""))),IF(T35="","缺少等熵指数k",""),IF(T35="","",IF(NOT(ISNUMBER(T35)),"等熵指数k应为数值",IF(OR(T35&lt;1,T35&gt;2),"等熵指数k应为1～2",""))),IF(U35="","缺少最高通风机效率ηr",""),IF(U35="","",IF(NOT(ISNUMBER(U35)),"最高通风机效率ηr应为数值",IF(OR(U35&lt;1,U35&gt;100),"最高通风机效率ηr应为1～100的百分数本值",""))),IF(AD35="","缺少铭牌照片",""),IF(AND(ISTEXT(AE35),OR(AE35&lt;&gt;TRIM(AE35),ISNUMBER(SEARCH("　",AE35)))),"填表备注含首尾空格或全角空格",""),IF(AND(H35="",F35&lt;&gt;""),"离心通风机缺少单双吸",""),IF(AND(ISNUMBER(L35),L35&gt;30000),"风机压力超过30kPa，超出通风机标准范围",""),IF(AND(F35="外转子电机直联前向多翼离心风机",G35&lt;&gt;"",G35&lt;&gt;"外转子电机直联"),"外转子前向多翼离心风机应选择外转子电机直联","")),"")</f>
        <v/>
      </c>
    </row>
    <row r="36" ht="42" customHeight="1" s="184">
      <c r="A36" s="224">
        <f>IF(COUNTA(B36,C36,D36,E36,F36,G36,H36,I36,J36,K36,L36,M36,N36,O36,P36,Q36,R36,S36,T36,U36,AD36,AE36)&gt;0,ROW()-3,"")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35" t="n"/>
      <c r="U36" s="229" t="n"/>
      <c r="V36" s="113" t="n"/>
      <c r="W36" s="236" t="n"/>
      <c r="X36" s="113" t="n"/>
      <c r="Y36" s="113" t="n"/>
      <c r="Z36" s="227" t="n"/>
      <c r="AA36" s="227" t="n"/>
      <c r="AB36" s="227" t="n"/>
      <c r="AC36" s="81" t="n"/>
      <c r="AD36" s="180" t="n"/>
      <c r="AE36" s="180" t="n"/>
      <c r="AF36" s="99">
        <f>IF(COUNTA(B36,C36,D36,E36,F36,G36,H36,I36,J36,K36,L36,M36,N36,O36,P36,Q36,R36,S36,T36,U36,AD36,AE36)&gt;0,TEXTJOIN("；",TRUE,IF(B36="","缺少设备名称",""),IF(AND(ISTEXT(B36),OR(B36&lt;&gt;TRIM(B36),ISNUMBER(SEARCH("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",E36)))),"安装位置含首尾空格或全角空格",""),IF(F36="","缺少设备类别",""),IF(F36="","",IF(COUNTIF(EV_CENTRIFUGAL_FAN_CATEGORY,F36)=0,"设备类别不在标准枚举中","")),IF(AND(ISTEXT(F36),OR(F36&lt;&gt;TRIM(F36),ISNUMBER(SEARCH("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",G36)))),"传动方式含首尾空格或全角空格",""),IF(H36="","",IF(COUNTIF(EV_SUCTION,H36)=0,"单双吸不在标准枚举中","")),IF(AND(ISTEXT(H36),OR(H36&lt;&gt;TRIM(H36),ISNUMBER(SEARCH("　",H36)))),"单双吸含首尾空格或全角空格",""),IF(I36="","缺少是否暖通空调用",""),IF(I36="","",IF(COUNTIF(EV_YES_NO,I36)=0,"是否暖通空调用不在标准枚举中","")),IF(AND(ISTEXT(I36),OR(I36&lt;&gt;TRIM(I36),ISNUMBER(SEARCH("　",I36)))),"是否暖通空调用含首尾空格或全角空格",""),IF(J36="","缺少是否带进气箱",""),IF(J36="","",IF(COUNTIF(EV_YES_NO,J36)=0,"是否带进气箱不在标准枚举中","")),IF(AND(ISTEXT(J36),OR(J36&lt;&gt;TRIM(J36),ISNUMBER(SEARCH("　",J36)))),"是否带进气箱含首尾空格或全角空格",""),IF(K36="","缺少流量",""),IF(K36="","",IF(NOT(ISNUMBER(K36)),"流量应为数值",IF(K36&lt;=0,"流量应大于0",""))),IF(L36="","缺少风机压力pF",""),IF(L36="","",IF(NOT(ISNUMBER(L36)),"风机压力pF应为数值",IF(L36&lt;=0,"风机压力pF应大于0",""))),IF(M36="","缺少出口滞止压力",""),IF(M36="","",IF(NOT(ISNUMBER(M36)),"出口滞止压力应为数值",IF(M36&lt;=0,"出口滞止压力应大于0",""))),IF(N36="","缺少进口滞止压力",""),IF(N36="","",IF(NOT(ISNUMBER(N36)),"进口滞止压力应为数值",IF(N36&lt;=0,"进口滞止压力应大于0",""))),IF(O36="","缺少额定功率",""),IF(O36="","",IF(NOT(ISNUMBER(O36)),"额定功率应为数值",IF(O36&lt;=0,"额定功率应大于0",""))),IF(P36="","缺少叶轮功率",""),IF(P36="","",IF(NOT(ISNUMBER(P36)),"叶轮功率应为数值",IF(P36&lt;=0,"叶轮功率应大于0",""))),IF(Q36="","缺少转速",""),IF(Q36="","",IF(NOT(ISNUMBER(Q36)),"转速应为数值",IF(Q36&lt;=0,"转速应大于0",""))),IF(R36="","缺少机号",""),IF(R36="","",IF(NOT(ISNUMBER(R36)),"机号应为数值",IF(R36&lt;=0,"机号应大于0",""))),IF(S36="","缺少进口滞止密度",""),IF(S36="","",IF(NOT(ISNUMBER(S36)),"进口滞止密度应为数值",IF(S36&lt;=0,"进口滞止密度应大于0",""))),IF(T36="","缺少等熵指数k",""),IF(T36="","",IF(NOT(ISNUMBER(T36)),"等熵指数k应为数值",IF(OR(T36&lt;1,T36&gt;2),"等熵指数k应为1～2",""))),IF(U36="","缺少最高通风机效率ηr",""),IF(U36="","",IF(NOT(ISNUMBER(U36)),"最高通风机效率ηr应为数值",IF(OR(U36&lt;1,U36&gt;100),"最高通风机效率ηr应为1～100的百分数本值",""))),IF(AD36="","缺少铭牌照片",""),IF(AND(ISTEXT(AE36),OR(AE36&lt;&gt;TRIM(AE36),ISNUMBER(SEARCH("　",AE36)))),"填表备注含首尾空格或全角空格",""),IF(AND(H36="",F36&lt;&gt;""),"离心通风机缺少单双吸",""),IF(AND(ISNUMBER(L36),L36&gt;30000),"风机压力超过30kPa，超出通风机标准范围",""),IF(AND(F36="外转子电机直联前向多翼离心风机",G36&lt;&gt;"",G36&lt;&gt;"外转子电机直联"),"外转子前向多翼离心风机应选择外转子电机直联","")),"")</f>
        <v/>
      </c>
    </row>
    <row r="37" ht="42" customHeight="1" s="184">
      <c r="A37" s="224">
        <f>IF(COUNTA(B37,C37,D37,E37,F37,G37,H37,I37,J37,K37,L37,M37,N37,O37,P37,Q37,R37,S37,T37,U37,AD37,AE37)&gt;0,ROW()-3,"")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29" t="n"/>
      <c r="L37" s="229" t="n"/>
      <c r="M37" s="229" t="n"/>
      <c r="N37" s="229" t="n"/>
      <c r="O37" s="229" t="n"/>
      <c r="P37" s="229" t="n"/>
      <c r="Q37" s="229" t="n"/>
      <c r="R37" s="229" t="n"/>
      <c r="S37" s="229" t="n"/>
      <c r="T37" s="235" t="n"/>
      <c r="U37" s="229" t="n"/>
      <c r="V37" s="113" t="n"/>
      <c r="W37" s="236" t="n"/>
      <c r="X37" s="113" t="n"/>
      <c r="Y37" s="113" t="n"/>
      <c r="Z37" s="227" t="n"/>
      <c r="AA37" s="227" t="n"/>
      <c r="AB37" s="227" t="n"/>
      <c r="AC37" s="81" t="n"/>
      <c r="AD37" s="180" t="n"/>
      <c r="AE37" s="180" t="n"/>
      <c r="AF37" s="99">
        <f>IF(COUNTA(B37,C37,D37,E37,F37,G37,H37,I37,J37,K37,L37,M37,N37,O37,P37,Q37,R37,S37,T37,U37,AD37,AE37)&gt;0,TEXTJOIN("；",TRUE,IF(B37="","缺少设备名称",""),IF(AND(ISTEXT(B37),OR(B37&lt;&gt;TRIM(B37),ISNUMBER(SEARCH("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",E37)))),"安装位置含首尾空格或全角空格",""),IF(F37="","缺少设备类别",""),IF(F37="","",IF(COUNTIF(EV_CENTRIFUGAL_FAN_CATEGORY,F37)=0,"设备类别不在标准枚举中","")),IF(AND(ISTEXT(F37),OR(F37&lt;&gt;TRIM(F37),ISNUMBER(SEARCH("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",G37)))),"传动方式含首尾空格或全角空格",""),IF(H37="","",IF(COUNTIF(EV_SUCTION,H37)=0,"单双吸不在标准枚举中","")),IF(AND(ISTEXT(H37),OR(H37&lt;&gt;TRIM(H37),ISNUMBER(SEARCH("　",H37)))),"单双吸含首尾空格或全角空格",""),IF(I37="","缺少是否暖通空调用",""),IF(I37="","",IF(COUNTIF(EV_YES_NO,I37)=0,"是否暖通空调用不在标准枚举中","")),IF(AND(ISTEXT(I37),OR(I37&lt;&gt;TRIM(I37),ISNUMBER(SEARCH("　",I37)))),"是否暖通空调用含首尾空格或全角空格",""),IF(J37="","缺少是否带进气箱",""),IF(J37="","",IF(COUNTIF(EV_YES_NO,J37)=0,"是否带进气箱不在标准枚举中","")),IF(AND(ISTEXT(J37),OR(J37&lt;&gt;TRIM(J37),ISNUMBER(SEARCH("　",J37)))),"是否带进气箱含首尾空格或全角空格",""),IF(K37="","缺少流量",""),IF(K37="","",IF(NOT(ISNUMBER(K37)),"流量应为数值",IF(K37&lt;=0,"流量应大于0",""))),IF(L37="","缺少风机压力pF",""),IF(L37="","",IF(NOT(ISNUMBER(L37)),"风机压力pF应为数值",IF(L37&lt;=0,"风机压力pF应大于0",""))),IF(M37="","缺少出口滞止压力",""),IF(M37="","",IF(NOT(ISNUMBER(M37)),"出口滞止压力应为数值",IF(M37&lt;=0,"出口滞止压力应大于0",""))),IF(N37="","缺少进口滞止压力",""),IF(N37="","",IF(NOT(ISNUMBER(N37)),"进口滞止压力应为数值",IF(N37&lt;=0,"进口滞止压力应大于0",""))),IF(O37="","缺少额定功率",""),IF(O37="","",IF(NOT(ISNUMBER(O37)),"额定功率应为数值",IF(O37&lt;=0,"额定功率应大于0",""))),IF(P37="","缺少叶轮功率",""),IF(P37="","",IF(NOT(ISNUMBER(P37)),"叶轮功率应为数值",IF(P37&lt;=0,"叶轮功率应大于0",""))),IF(Q37="","缺少转速",""),IF(Q37="","",IF(NOT(ISNUMBER(Q37)),"转速应为数值",IF(Q37&lt;=0,"转速应大于0",""))),IF(R37="","缺少机号",""),IF(R37="","",IF(NOT(ISNUMBER(R37)),"机号应为数值",IF(R37&lt;=0,"机号应大于0",""))),IF(S37="","缺少进口滞止密度",""),IF(S37="","",IF(NOT(ISNUMBER(S37)),"进口滞止密度应为数值",IF(S37&lt;=0,"进口滞止密度应大于0",""))),IF(T37="","缺少等熵指数k",""),IF(T37="","",IF(NOT(ISNUMBER(T37)),"等熵指数k应为数值",IF(OR(T37&lt;1,T37&gt;2),"等熵指数k应为1～2",""))),IF(U37="","缺少最高通风机效率ηr",""),IF(U37="","",IF(NOT(ISNUMBER(U37)),"最高通风机效率ηr应为数值",IF(OR(U37&lt;1,U37&gt;100),"最高通风机效率ηr应为1～100的百分数本值",""))),IF(AD37="","缺少铭牌照片",""),IF(AND(ISTEXT(AE37),OR(AE37&lt;&gt;TRIM(AE37),ISNUMBER(SEARCH("　",AE37)))),"填表备注含首尾空格或全角空格",""),IF(AND(H37="",F37&lt;&gt;""),"离心通风机缺少单双吸",""),IF(AND(ISNUMBER(L37),L37&gt;30000),"风机压力超过30kPa，超出通风机标准范围",""),IF(AND(F37="外转子电机直联前向多翼离心风机",G37&lt;&gt;"",G37&lt;&gt;"外转子电机直联"),"外转子前向多翼离心风机应选择外转子电机直联","")),"")</f>
        <v/>
      </c>
    </row>
    <row r="38" ht="42" customHeight="1" s="184">
      <c r="A38" s="224">
        <f>IF(COUNTA(B38,C38,D38,E38,F38,G38,H38,I38,J38,K38,L38,M38,N38,O38,P38,Q38,R38,S38,T38,U38,AD38,AE38)&gt;0,ROW()-3,"")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29" t="n"/>
      <c r="L38" s="229" t="n"/>
      <c r="M38" s="229" t="n"/>
      <c r="N38" s="229" t="n"/>
      <c r="O38" s="229" t="n"/>
      <c r="P38" s="229" t="n"/>
      <c r="Q38" s="229" t="n"/>
      <c r="R38" s="229" t="n"/>
      <c r="S38" s="229" t="n"/>
      <c r="T38" s="235" t="n"/>
      <c r="U38" s="229" t="n"/>
      <c r="V38" s="113" t="n"/>
      <c r="W38" s="236" t="n"/>
      <c r="X38" s="113" t="n"/>
      <c r="Y38" s="113" t="n"/>
      <c r="Z38" s="227" t="n"/>
      <c r="AA38" s="227" t="n"/>
      <c r="AB38" s="227" t="n"/>
      <c r="AC38" s="81" t="n"/>
      <c r="AD38" s="180" t="n"/>
      <c r="AE38" s="180" t="n"/>
      <c r="AF38" s="99">
        <f>IF(COUNTA(B38,C38,D38,E38,F38,G38,H38,I38,J38,K38,L38,M38,N38,O38,P38,Q38,R38,S38,T38,U38,AD38,AE38)&gt;0,TEXTJOIN("；",TRUE,IF(B38="","缺少设备名称",""),IF(AND(ISTEXT(B38),OR(B38&lt;&gt;TRIM(B38),ISNUMBER(SEARCH("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",E38)))),"安装位置含首尾空格或全角空格",""),IF(F38="","缺少设备类别",""),IF(F38="","",IF(COUNTIF(EV_CENTRIFUGAL_FAN_CATEGORY,F38)=0,"设备类别不在标准枚举中","")),IF(AND(ISTEXT(F38),OR(F38&lt;&gt;TRIM(F38),ISNUMBER(SEARCH("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",G38)))),"传动方式含首尾空格或全角空格",""),IF(H38="","",IF(COUNTIF(EV_SUCTION,H38)=0,"单双吸不在标准枚举中","")),IF(AND(ISTEXT(H38),OR(H38&lt;&gt;TRIM(H38),ISNUMBER(SEARCH("　",H38)))),"单双吸含首尾空格或全角空格",""),IF(I38="","缺少是否暖通空调用",""),IF(I38="","",IF(COUNTIF(EV_YES_NO,I38)=0,"是否暖通空调用不在标准枚举中","")),IF(AND(ISTEXT(I38),OR(I38&lt;&gt;TRIM(I38),ISNUMBER(SEARCH("　",I38)))),"是否暖通空调用含首尾空格或全角空格",""),IF(J38="","缺少是否带进气箱",""),IF(J38="","",IF(COUNTIF(EV_YES_NO,J38)=0,"是否带进气箱不在标准枚举中","")),IF(AND(ISTEXT(J38),OR(J38&lt;&gt;TRIM(J38),ISNUMBER(SEARCH("　",J38)))),"是否带进气箱含首尾空格或全角空格",""),IF(K38="","缺少流量",""),IF(K38="","",IF(NOT(ISNUMBER(K38)),"流量应为数值",IF(K38&lt;=0,"流量应大于0",""))),IF(L38="","缺少风机压力pF",""),IF(L38="","",IF(NOT(ISNUMBER(L38)),"风机压力pF应为数值",IF(L38&lt;=0,"风机压力pF应大于0",""))),IF(M38="","缺少出口滞止压力",""),IF(M38="","",IF(NOT(ISNUMBER(M38)),"出口滞止压力应为数值",IF(M38&lt;=0,"出口滞止压力应大于0",""))),IF(N38="","缺少进口滞止压力",""),IF(N38="","",IF(NOT(ISNUMBER(N38)),"进口滞止压力应为数值",IF(N38&lt;=0,"进口滞止压力应大于0",""))),IF(O38="","缺少额定功率",""),IF(O38="","",IF(NOT(ISNUMBER(O38)),"额定功率应为数值",IF(O38&lt;=0,"额定功率应大于0",""))),IF(P38="","缺少叶轮功率",""),IF(P38="","",IF(NOT(ISNUMBER(P38)),"叶轮功率应为数值",IF(P38&lt;=0,"叶轮功率应大于0",""))),IF(Q38="","缺少转速",""),IF(Q38="","",IF(NOT(ISNUMBER(Q38)),"转速应为数值",IF(Q38&lt;=0,"转速应大于0",""))),IF(R38="","缺少机号",""),IF(R38="","",IF(NOT(ISNUMBER(R38)),"机号应为数值",IF(R38&lt;=0,"机号应大于0",""))),IF(S38="","缺少进口滞止密度",""),IF(S38="","",IF(NOT(ISNUMBER(S38)),"进口滞止密度应为数值",IF(S38&lt;=0,"进口滞止密度应大于0",""))),IF(T38="","缺少等熵指数k",""),IF(T38="","",IF(NOT(ISNUMBER(T38)),"等熵指数k应为数值",IF(OR(T38&lt;1,T38&gt;2),"等熵指数k应为1～2",""))),IF(U38="","缺少最高通风机效率ηr",""),IF(U38="","",IF(NOT(ISNUMBER(U38)),"最高通风机效率ηr应为数值",IF(OR(U38&lt;1,U38&gt;100),"最高通风机效率ηr应为1～100的百分数本值",""))),IF(AD38="","缺少铭牌照片",""),IF(AND(ISTEXT(AE38),OR(AE38&lt;&gt;TRIM(AE38),ISNUMBER(SEARCH("　",AE38)))),"填表备注含首尾空格或全角空格",""),IF(AND(H38="",F38&lt;&gt;""),"离心通风机缺少单双吸",""),IF(AND(ISNUMBER(L38),L38&gt;30000),"风机压力超过30kPa，超出通风机标准范围",""),IF(AND(F38="外转子电机直联前向多翼离心风机",G38&lt;&gt;"",G38&lt;&gt;"外转子电机直联"),"外转子前向多翼离心风机应选择外转子电机直联","")),"")</f>
        <v/>
      </c>
    </row>
    <row r="39" ht="42" customHeight="1" s="184">
      <c r="A39" s="224">
        <f>IF(COUNTA(B39,C39,D39,E39,F39,G39,H39,I39,J39,K39,L39,M39,N39,O39,P39,Q39,R39,S39,T39,U39,AD39,AE39)&gt;0,ROW()-3,"")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29" t="n"/>
      <c r="L39" s="229" t="n"/>
      <c r="M39" s="229" t="n"/>
      <c r="N39" s="229" t="n"/>
      <c r="O39" s="229" t="n"/>
      <c r="P39" s="229" t="n"/>
      <c r="Q39" s="229" t="n"/>
      <c r="R39" s="229" t="n"/>
      <c r="S39" s="229" t="n"/>
      <c r="T39" s="235" t="n"/>
      <c r="U39" s="229" t="n"/>
      <c r="V39" s="113" t="n"/>
      <c r="W39" s="236" t="n"/>
      <c r="X39" s="113" t="n"/>
      <c r="Y39" s="113" t="n"/>
      <c r="Z39" s="227" t="n"/>
      <c r="AA39" s="227" t="n"/>
      <c r="AB39" s="227" t="n"/>
      <c r="AC39" s="81" t="n"/>
      <c r="AD39" s="180" t="n"/>
      <c r="AE39" s="180" t="n"/>
      <c r="AF39" s="99">
        <f>IF(COUNTA(B39,C39,D39,E39,F39,G39,H39,I39,J39,K39,L39,M39,N39,O39,P39,Q39,R39,S39,T39,U39,AD39,AE39)&gt;0,TEXTJOIN("；",TRUE,IF(B39="","缺少设备名称",""),IF(AND(ISTEXT(B39),OR(B39&lt;&gt;TRIM(B39),ISNUMBER(SEARCH("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",E39)))),"安装位置含首尾空格或全角空格",""),IF(F39="","缺少设备类别",""),IF(F39="","",IF(COUNTIF(EV_CENTRIFUGAL_FAN_CATEGORY,F39)=0,"设备类别不在标准枚举中","")),IF(AND(ISTEXT(F39),OR(F39&lt;&gt;TRIM(F39),ISNUMBER(SEARCH("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",G39)))),"传动方式含首尾空格或全角空格",""),IF(H39="","",IF(COUNTIF(EV_SUCTION,H39)=0,"单双吸不在标准枚举中","")),IF(AND(ISTEXT(H39),OR(H39&lt;&gt;TRIM(H39),ISNUMBER(SEARCH("　",H39)))),"单双吸含首尾空格或全角空格",""),IF(I39="","缺少是否暖通空调用",""),IF(I39="","",IF(COUNTIF(EV_YES_NO,I39)=0,"是否暖通空调用不在标准枚举中","")),IF(AND(ISTEXT(I39),OR(I39&lt;&gt;TRIM(I39),ISNUMBER(SEARCH("　",I39)))),"是否暖通空调用含首尾空格或全角空格",""),IF(J39="","缺少是否带进气箱",""),IF(J39="","",IF(COUNTIF(EV_YES_NO,J39)=0,"是否带进气箱不在标准枚举中","")),IF(AND(ISTEXT(J39),OR(J39&lt;&gt;TRIM(J39),ISNUMBER(SEARCH("　",J39)))),"是否带进气箱含首尾空格或全角空格",""),IF(K39="","缺少流量",""),IF(K39="","",IF(NOT(ISNUMBER(K39)),"流量应为数值",IF(K39&lt;=0,"流量应大于0",""))),IF(L39="","缺少风机压力pF",""),IF(L39="","",IF(NOT(ISNUMBER(L39)),"风机压力pF应为数值",IF(L39&lt;=0,"风机压力pF应大于0",""))),IF(M39="","缺少出口滞止压力",""),IF(M39="","",IF(NOT(ISNUMBER(M39)),"出口滞止压力应为数值",IF(M39&lt;=0,"出口滞止压力应大于0",""))),IF(N39="","缺少进口滞止压力",""),IF(N39="","",IF(NOT(ISNUMBER(N39)),"进口滞止压力应为数值",IF(N39&lt;=0,"进口滞止压力应大于0",""))),IF(O39="","缺少额定功率",""),IF(O39="","",IF(NOT(ISNUMBER(O39)),"额定功率应为数值",IF(O39&lt;=0,"额定功率应大于0",""))),IF(P39="","缺少叶轮功率",""),IF(P39="","",IF(NOT(ISNUMBER(P39)),"叶轮功率应为数值",IF(P39&lt;=0,"叶轮功率应大于0",""))),IF(Q39="","缺少转速",""),IF(Q39="","",IF(NOT(ISNUMBER(Q39)),"转速应为数值",IF(Q39&lt;=0,"转速应大于0",""))),IF(R39="","缺少机号",""),IF(R39="","",IF(NOT(ISNUMBER(R39)),"机号应为数值",IF(R39&lt;=0,"机号应大于0",""))),IF(S39="","缺少进口滞止密度",""),IF(S39="","",IF(NOT(ISNUMBER(S39)),"进口滞止密度应为数值",IF(S39&lt;=0,"进口滞止密度应大于0",""))),IF(T39="","缺少等熵指数k",""),IF(T39="","",IF(NOT(ISNUMBER(T39)),"等熵指数k应为数值",IF(OR(T39&lt;1,T39&gt;2),"等熵指数k应为1～2",""))),IF(U39="","缺少最高通风机效率ηr",""),IF(U39="","",IF(NOT(ISNUMBER(U39)),"最高通风机效率ηr应为数值",IF(OR(U39&lt;1,U39&gt;100),"最高通风机效率ηr应为1～100的百分数本值",""))),IF(AD39="","缺少铭牌照片",""),IF(AND(ISTEXT(AE39),OR(AE39&lt;&gt;TRIM(AE39),ISNUMBER(SEARCH("　",AE39)))),"填表备注含首尾空格或全角空格",""),IF(AND(H39="",F39&lt;&gt;""),"离心通风机缺少单双吸",""),IF(AND(ISNUMBER(L39),L39&gt;30000),"风机压力超过30kPa，超出通风机标准范围",""),IF(AND(F39="外转子电机直联前向多翼离心风机",G39&lt;&gt;"",G39&lt;&gt;"外转子电机直联"),"外转子前向多翼离心风机应选择外转子电机直联","")),"")</f>
        <v/>
      </c>
    </row>
    <row r="40" ht="42" customHeight="1" s="184">
      <c r="A40" s="224">
        <f>IF(COUNTA(B40,C40,D40,E40,F40,G40,H40,I40,J40,K40,L40,M40,N40,O40,P40,Q40,R40,S40,T40,U40,AD40,AE40)&gt;0,ROW()-3,"")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35" t="n"/>
      <c r="U40" s="229" t="n"/>
      <c r="V40" s="113" t="n"/>
      <c r="W40" s="236" t="n"/>
      <c r="X40" s="113" t="n"/>
      <c r="Y40" s="113" t="n"/>
      <c r="Z40" s="227" t="n"/>
      <c r="AA40" s="227" t="n"/>
      <c r="AB40" s="227" t="n"/>
      <c r="AC40" s="81" t="n"/>
      <c r="AD40" s="180" t="n"/>
      <c r="AE40" s="180" t="n"/>
      <c r="AF40" s="99">
        <f>IF(COUNTA(B40,C40,D40,E40,F40,G40,H40,I40,J40,K40,L40,M40,N40,O40,P40,Q40,R40,S40,T40,U40,AD40,AE40)&gt;0,TEXTJOIN("；",TRUE,IF(B40="","缺少设备名称",""),IF(AND(ISTEXT(B40),OR(B40&lt;&gt;TRIM(B40),ISNUMBER(SEARCH("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",E40)))),"安装位置含首尾空格或全角空格",""),IF(F40="","缺少设备类别",""),IF(F40="","",IF(COUNTIF(EV_CENTRIFUGAL_FAN_CATEGORY,F40)=0,"设备类别不在标准枚举中","")),IF(AND(ISTEXT(F40),OR(F40&lt;&gt;TRIM(F40),ISNUMBER(SEARCH("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",G40)))),"传动方式含首尾空格或全角空格",""),IF(H40="","",IF(COUNTIF(EV_SUCTION,H40)=0,"单双吸不在标准枚举中","")),IF(AND(ISTEXT(H40),OR(H40&lt;&gt;TRIM(H40),ISNUMBER(SEARCH("　",H40)))),"单双吸含首尾空格或全角空格",""),IF(I40="","缺少是否暖通空调用",""),IF(I40="","",IF(COUNTIF(EV_YES_NO,I40)=0,"是否暖通空调用不在标准枚举中","")),IF(AND(ISTEXT(I40),OR(I40&lt;&gt;TRIM(I40),ISNUMBER(SEARCH("　",I40)))),"是否暖通空调用含首尾空格或全角空格",""),IF(J40="","缺少是否带进气箱",""),IF(J40="","",IF(COUNTIF(EV_YES_NO,J40)=0,"是否带进气箱不在标准枚举中","")),IF(AND(ISTEXT(J40),OR(J40&lt;&gt;TRIM(J40),ISNUMBER(SEARCH("　",J40)))),"是否带进气箱含首尾空格或全角空格",""),IF(K40="","缺少流量",""),IF(K40="","",IF(NOT(ISNUMBER(K40)),"流量应为数值",IF(K40&lt;=0,"流量应大于0",""))),IF(L40="","缺少风机压力pF",""),IF(L40="","",IF(NOT(ISNUMBER(L40)),"风机压力pF应为数值",IF(L40&lt;=0,"风机压力pF应大于0",""))),IF(M40="","缺少出口滞止压力",""),IF(M40="","",IF(NOT(ISNUMBER(M40)),"出口滞止压力应为数值",IF(M40&lt;=0,"出口滞止压力应大于0",""))),IF(N40="","缺少进口滞止压力",""),IF(N40="","",IF(NOT(ISNUMBER(N40)),"进口滞止压力应为数值",IF(N40&lt;=0,"进口滞止压力应大于0",""))),IF(O40="","缺少额定功率",""),IF(O40="","",IF(NOT(ISNUMBER(O40)),"额定功率应为数值",IF(O40&lt;=0,"额定功率应大于0",""))),IF(P40="","缺少叶轮功率",""),IF(P40="","",IF(NOT(ISNUMBER(P40)),"叶轮功率应为数值",IF(P40&lt;=0,"叶轮功率应大于0",""))),IF(Q40="","缺少转速",""),IF(Q40="","",IF(NOT(ISNUMBER(Q40)),"转速应为数值",IF(Q40&lt;=0,"转速应大于0",""))),IF(R40="","缺少机号",""),IF(R40="","",IF(NOT(ISNUMBER(R40)),"机号应为数值",IF(R40&lt;=0,"机号应大于0",""))),IF(S40="","缺少进口滞止密度",""),IF(S40="","",IF(NOT(ISNUMBER(S40)),"进口滞止密度应为数值",IF(S40&lt;=0,"进口滞止密度应大于0",""))),IF(T40="","缺少等熵指数k",""),IF(T40="","",IF(NOT(ISNUMBER(T40)),"等熵指数k应为数值",IF(OR(T40&lt;1,T40&gt;2),"等熵指数k应为1～2",""))),IF(U40="","缺少最高通风机效率ηr",""),IF(U40="","",IF(NOT(ISNUMBER(U40)),"最高通风机效率ηr应为数值",IF(OR(U40&lt;1,U40&gt;100),"最高通风机效率ηr应为1～100的百分数本值",""))),IF(AD40="","缺少铭牌照片",""),IF(AND(ISTEXT(AE40),OR(AE40&lt;&gt;TRIM(AE40),ISNUMBER(SEARCH("　",AE40)))),"填表备注含首尾空格或全角空格",""),IF(AND(H40="",F40&lt;&gt;""),"离心通风机缺少单双吸",""),IF(AND(ISNUMBER(L40),L40&gt;30000),"风机压力超过30kPa，超出通风机标准范围",""),IF(AND(F40="外转子电机直联前向多翼离心风机",G40&lt;&gt;"",G40&lt;&gt;"外转子电机直联"),"外转子前向多翼离心风机应选择外转子电机直联","")),"")</f>
        <v/>
      </c>
    </row>
    <row r="41" ht="42" customHeight="1" s="184">
      <c r="A41" s="224">
        <f>IF(COUNTA(B41,C41,D41,E41,F41,G41,H41,I41,J41,K41,L41,M41,N41,O41,P41,Q41,R41,S41,T41,U41,AD41,AE41)&gt;0,ROW()-3,"")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29" t="n"/>
      <c r="L41" s="229" t="n"/>
      <c r="M41" s="229" t="n"/>
      <c r="N41" s="229" t="n"/>
      <c r="O41" s="229" t="n"/>
      <c r="P41" s="229" t="n"/>
      <c r="Q41" s="229" t="n"/>
      <c r="R41" s="229" t="n"/>
      <c r="S41" s="229" t="n"/>
      <c r="T41" s="235" t="n"/>
      <c r="U41" s="229" t="n"/>
      <c r="V41" s="113" t="n"/>
      <c r="W41" s="236" t="n"/>
      <c r="X41" s="113" t="n"/>
      <c r="Y41" s="113" t="n"/>
      <c r="Z41" s="227" t="n"/>
      <c r="AA41" s="227" t="n"/>
      <c r="AB41" s="227" t="n"/>
      <c r="AC41" s="81" t="n"/>
      <c r="AD41" s="180" t="n"/>
      <c r="AE41" s="180" t="n"/>
      <c r="AF41" s="99">
        <f>IF(COUNTA(B41,C41,D41,E41,F41,G41,H41,I41,J41,K41,L41,M41,N41,O41,P41,Q41,R41,S41,T41,U41,AD41,AE41)&gt;0,TEXTJOIN("；",TRUE,IF(B41="","缺少设备名称",""),IF(AND(ISTEXT(B41),OR(B41&lt;&gt;TRIM(B41),ISNUMBER(SEARCH("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",E41)))),"安装位置含首尾空格或全角空格",""),IF(F41="","缺少设备类别",""),IF(F41="","",IF(COUNTIF(EV_CENTRIFUGAL_FAN_CATEGORY,F41)=0,"设备类别不在标准枚举中","")),IF(AND(ISTEXT(F41),OR(F41&lt;&gt;TRIM(F41),ISNUMBER(SEARCH("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",G41)))),"传动方式含首尾空格或全角空格",""),IF(H41="","",IF(COUNTIF(EV_SUCTION,H41)=0,"单双吸不在标准枚举中","")),IF(AND(ISTEXT(H41),OR(H41&lt;&gt;TRIM(H41),ISNUMBER(SEARCH("　",H41)))),"单双吸含首尾空格或全角空格",""),IF(I41="","缺少是否暖通空调用",""),IF(I41="","",IF(COUNTIF(EV_YES_NO,I41)=0,"是否暖通空调用不在标准枚举中","")),IF(AND(ISTEXT(I41),OR(I41&lt;&gt;TRIM(I41),ISNUMBER(SEARCH("　",I41)))),"是否暖通空调用含首尾空格或全角空格",""),IF(J41="","缺少是否带进气箱",""),IF(J41="","",IF(COUNTIF(EV_YES_NO,J41)=0,"是否带进气箱不在标准枚举中","")),IF(AND(ISTEXT(J41),OR(J41&lt;&gt;TRIM(J41),ISNUMBER(SEARCH("　",J41)))),"是否带进气箱含首尾空格或全角空格",""),IF(K41="","缺少流量",""),IF(K41="","",IF(NOT(ISNUMBER(K41)),"流量应为数值",IF(K41&lt;=0,"流量应大于0",""))),IF(L41="","缺少风机压力pF",""),IF(L41="","",IF(NOT(ISNUMBER(L41)),"风机压力pF应为数值",IF(L41&lt;=0,"风机压力pF应大于0",""))),IF(M41="","缺少出口滞止压力",""),IF(M41="","",IF(NOT(ISNUMBER(M41)),"出口滞止压力应为数值",IF(M41&lt;=0,"出口滞止压力应大于0",""))),IF(N41="","缺少进口滞止压力",""),IF(N41="","",IF(NOT(ISNUMBER(N41)),"进口滞止压力应为数值",IF(N41&lt;=0,"进口滞止压力应大于0",""))),IF(O41="","缺少额定功率",""),IF(O41="","",IF(NOT(ISNUMBER(O41)),"额定功率应为数值",IF(O41&lt;=0,"额定功率应大于0",""))),IF(P41="","缺少叶轮功率",""),IF(P41="","",IF(NOT(ISNUMBER(P41)),"叶轮功率应为数值",IF(P41&lt;=0,"叶轮功率应大于0",""))),IF(Q41="","缺少转速",""),IF(Q41="","",IF(NOT(ISNUMBER(Q41)),"转速应为数值",IF(Q41&lt;=0,"转速应大于0",""))),IF(R41="","缺少机号",""),IF(R41="","",IF(NOT(ISNUMBER(R41)),"机号应为数值",IF(R41&lt;=0,"机号应大于0",""))),IF(S41="","缺少进口滞止密度",""),IF(S41="","",IF(NOT(ISNUMBER(S41)),"进口滞止密度应为数值",IF(S41&lt;=0,"进口滞止密度应大于0",""))),IF(T41="","缺少等熵指数k",""),IF(T41="","",IF(NOT(ISNUMBER(T41)),"等熵指数k应为数值",IF(OR(T41&lt;1,T41&gt;2),"等熵指数k应为1～2",""))),IF(U41="","缺少最高通风机效率ηr",""),IF(U41="","",IF(NOT(ISNUMBER(U41)),"最高通风机效率ηr应为数值",IF(OR(U41&lt;1,U41&gt;100),"最高通风机效率ηr应为1～100的百分数本值",""))),IF(AD41="","缺少铭牌照片",""),IF(AND(ISTEXT(AE41),OR(AE41&lt;&gt;TRIM(AE41),ISNUMBER(SEARCH("　",AE41)))),"填表备注含首尾空格或全角空格",""),IF(AND(H41="",F41&lt;&gt;""),"离心通风机缺少单双吸",""),IF(AND(ISNUMBER(L41),L41&gt;30000),"风机压力超过30kPa，超出通风机标准范围",""),IF(AND(F41="外转子电机直联前向多翼离心风机",G41&lt;&gt;"",G41&lt;&gt;"外转子电机直联"),"外转子前向多翼离心风机应选择外转子电机直联","")),"")</f>
        <v/>
      </c>
    </row>
    <row r="42" ht="42" customHeight="1" s="184">
      <c r="A42" s="224">
        <f>IF(COUNTA(B42,C42,D42,E42,F42,G42,H42,I42,J42,K42,L42,M42,N42,O42,P42,Q42,R42,S42,T42,U42,AD42,AE42)&gt;0,ROW()-3,"")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29" t="n"/>
      <c r="L42" s="229" t="n"/>
      <c r="M42" s="229" t="n"/>
      <c r="N42" s="229" t="n"/>
      <c r="O42" s="229" t="n"/>
      <c r="P42" s="229" t="n"/>
      <c r="Q42" s="229" t="n"/>
      <c r="R42" s="229" t="n"/>
      <c r="S42" s="229" t="n"/>
      <c r="T42" s="235" t="n"/>
      <c r="U42" s="229" t="n"/>
      <c r="V42" s="113" t="n"/>
      <c r="W42" s="236" t="n"/>
      <c r="X42" s="113" t="n"/>
      <c r="Y42" s="113" t="n"/>
      <c r="Z42" s="227" t="n"/>
      <c r="AA42" s="227" t="n"/>
      <c r="AB42" s="227" t="n"/>
      <c r="AC42" s="81" t="n"/>
      <c r="AD42" s="180" t="n"/>
      <c r="AE42" s="180" t="n"/>
      <c r="AF42" s="99">
        <f>IF(COUNTA(B42,C42,D42,E42,F42,G42,H42,I42,J42,K42,L42,M42,N42,O42,P42,Q42,R42,S42,T42,U42,AD42,AE42)&gt;0,TEXTJOIN("；",TRUE,IF(B42="","缺少设备名称",""),IF(AND(ISTEXT(B42),OR(B42&lt;&gt;TRIM(B42),ISNUMBER(SEARCH("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",E42)))),"安装位置含首尾空格或全角空格",""),IF(F42="","缺少设备类别",""),IF(F42="","",IF(COUNTIF(EV_CENTRIFUGAL_FAN_CATEGORY,F42)=0,"设备类别不在标准枚举中","")),IF(AND(ISTEXT(F42),OR(F42&lt;&gt;TRIM(F42),ISNUMBER(SEARCH("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",G42)))),"传动方式含首尾空格或全角空格",""),IF(H42="","",IF(COUNTIF(EV_SUCTION,H42)=0,"单双吸不在标准枚举中","")),IF(AND(ISTEXT(H42),OR(H42&lt;&gt;TRIM(H42),ISNUMBER(SEARCH("　",H42)))),"单双吸含首尾空格或全角空格",""),IF(I42="","缺少是否暖通空调用",""),IF(I42="","",IF(COUNTIF(EV_YES_NO,I42)=0,"是否暖通空调用不在标准枚举中","")),IF(AND(ISTEXT(I42),OR(I42&lt;&gt;TRIM(I42),ISNUMBER(SEARCH("　",I42)))),"是否暖通空调用含首尾空格或全角空格",""),IF(J42="","缺少是否带进气箱",""),IF(J42="","",IF(COUNTIF(EV_YES_NO,J42)=0,"是否带进气箱不在标准枚举中","")),IF(AND(ISTEXT(J42),OR(J42&lt;&gt;TRIM(J42),ISNUMBER(SEARCH("　",J42)))),"是否带进气箱含首尾空格或全角空格",""),IF(K42="","缺少流量",""),IF(K42="","",IF(NOT(ISNUMBER(K42)),"流量应为数值",IF(K42&lt;=0,"流量应大于0",""))),IF(L42="","缺少风机压力pF",""),IF(L42="","",IF(NOT(ISNUMBER(L42)),"风机压力pF应为数值",IF(L42&lt;=0,"风机压力pF应大于0",""))),IF(M42="","缺少出口滞止压力",""),IF(M42="","",IF(NOT(ISNUMBER(M42)),"出口滞止压力应为数值",IF(M42&lt;=0,"出口滞止压力应大于0",""))),IF(N42="","缺少进口滞止压力",""),IF(N42="","",IF(NOT(ISNUMBER(N42)),"进口滞止压力应为数值",IF(N42&lt;=0,"进口滞止压力应大于0",""))),IF(O42="","缺少额定功率",""),IF(O42="","",IF(NOT(ISNUMBER(O42)),"额定功率应为数值",IF(O42&lt;=0,"额定功率应大于0",""))),IF(P42="","缺少叶轮功率",""),IF(P42="","",IF(NOT(ISNUMBER(P42)),"叶轮功率应为数值",IF(P42&lt;=0,"叶轮功率应大于0",""))),IF(Q42="","缺少转速",""),IF(Q42="","",IF(NOT(ISNUMBER(Q42)),"转速应为数值",IF(Q42&lt;=0,"转速应大于0",""))),IF(R42="","缺少机号",""),IF(R42="","",IF(NOT(ISNUMBER(R42)),"机号应为数值",IF(R42&lt;=0,"机号应大于0",""))),IF(S42="","缺少进口滞止密度",""),IF(S42="","",IF(NOT(ISNUMBER(S42)),"进口滞止密度应为数值",IF(S42&lt;=0,"进口滞止密度应大于0",""))),IF(T42="","缺少等熵指数k",""),IF(T42="","",IF(NOT(ISNUMBER(T42)),"等熵指数k应为数值",IF(OR(T42&lt;1,T42&gt;2),"等熵指数k应为1～2",""))),IF(U42="","缺少最高通风机效率ηr",""),IF(U42="","",IF(NOT(ISNUMBER(U42)),"最高通风机效率ηr应为数值",IF(OR(U42&lt;1,U42&gt;100),"最高通风机效率ηr应为1～100的百分数本值",""))),IF(AD42="","缺少铭牌照片",""),IF(AND(ISTEXT(AE42),OR(AE42&lt;&gt;TRIM(AE42),ISNUMBER(SEARCH("　",AE42)))),"填表备注含首尾空格或全角空格",""),IF(AND(H42="",F42&lt;&gt;""),"离心通风机缺少单双吸",""),IF(AND(ISNUMBER(L42),L42&gt;30000),"风机压力超过30kPa，超出通风机标准范围",""),IF(AND(F42="外转子电机直联前向多翼离心风机",G42&lt;&gt;"",G42&lt;&gt;"外转子电机直联"),"外转子前向多翼离心风机应选择外转子电机直联","")),"")</f>
        <v/>
      </c>
    </row>
    <row r="43" ht="42" customHeight="1" s="184">
      <c r="A43" s="224">
        <f>IF(COUNTA(B43,C43,D43,E43,F43,G43,H43,I43,J43,K43,L43,M43,N43,O43,P43,Q43,R43,S43,T43,U43,AD43,AE43)&gt;0,ROW()-3,"")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35" t="n"/>
      <c r="U43" s="229" t="n"/>
      <c r="V43" s="113" t="n"/>
      <c r="W43" s="236" t="n"/>
      <c r="X43" s="113" t="n"/>
      <c r="Y43" s="113" t="n"/>
      <c r="Z43" s="227" t="n"/>
      <c r="AA43" s="227" t="n"/>
      <c r="AB43" s="227" t="n"/>
      <c r="AC43" s="81" t="n"/>
      <c r="AD43" s="180" t="n"/>
      <c r="AE43" s="180" t="n"/>
      <c r="AF43" s="99">
        <f>IF(COUNTA(B43,C43,D43,E43,F43,G43,H43,I43,J43,K43,L43,M43,N43,O43,P43,Q43,R43,S43,T43,U43,AD43,AE43)&gt;0,TEXTJOIN("；",TRUE,IF(B43="","缺少设备名称",""),IF(AND(ISTEXT(B43),OR(B43&lt;&gt;TRIM(B43),ISNUMBER(SEARCH("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",E43)))),"安装位置含首尾空格或全角空格",""),IF(F43="","缺少设备类别",""),IF(F43="","",IF(COUNTIF(EV_CENTRIFUGAL_FAN_CATEGORY,F43)=0,"设备类别不在标准枚举中","")),IF(AND(ISTEXT(F43),OR(F43&lt;&gt;TRIM(F43),ISNUMBER(SEARCH("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",G43)))),"传动方式含首尾空格或全角空格",""),IF(H43="","",IF(COUNTIF(EV_SUCTION,H43)=0,"单双吸不在标准枚举中","")),IF(AND(ISTEXT(H43),OR(H43&lt;&gt;TRIM(H43),ISNUMBER(SEARCH("　",H43)))),"单双吸含首尾空格或全角空格",""),IF(I43="","缺少是否暖通空调用",""),IF(I43="","",IF(COUNTIF(EV_YES_NO,I43)=0,"是否暖通空调用不在标准枚举中","")),IF(AND(ISTEXT(I43),OR(I43&lt;&gt;TRIM(I43),ISNUMBER(SEARCH("　",I43)))),"是否暖通空调用含首尾空格或全角空格",""),IF(J43="","缺少是否带进气箱",""),IF(J43="","",IF(COUNTIF(EV_YES_NO,J43)=0,"是否带进气箱不在标准枚举中","")),IF(AND(ISTEXT(J43),OR(J43&lt;&gt;TRIM(J43),ISNUMBER(SEARCH("　",J43)))),"是否带进气箱含首尾空格或全角空格",""),IF(K43="","缺少流量",""),IF(K43="","",IF(NOT(ISNUMBER(K43)),"流量应为数值",IF(K43&lt;=0,"流量应大于0",""))),IF(L43="","缺少风机压力pF",""),IF(L43="","",IF(NOT(ISNUMBER(L43)),"风机压力pF应为数值",IF(L43&lt;=0,"风机压力pF应大于0",""))),IF(M43="","缺少出口滞止压力",""),IF(M43="","",IF(NOT(ISNUMBER(M43)),"出口滞止压力应为数值",IF(M43&lt;=0,"出口滞止压力应大于0",""))),IF(N43="","缺少进口滞止压力",""),IF(N43="","",IF(NOT(ISNUMBER(N43)),"进口滞止压力应为数值",IF(N43&lt;=0,"进口滞止压力应大于0",""))),IF(O43="","缺少额定功率",""),IF(O43="","",IF(NOT(ISNUMBER(O43)),"额定功率应为数值",IF(O43&lt;=0,"额定功率应大于0",""))),IF(P43="","缺少叶轮功率",""),IF(P43="","",IF(NOT(ISNUMBER(P43)),"叶轮功率应为数值",IF(P43&lt;=0,"叶轮功率应大于0",""))),IF(Q43="","缺少转速",""),IF(Q43="","",IF(NOT(ISNUMBER(Q43)),"转速应为数值",IF(Q43&lt;=0,"转速应大于0",""))),IF(R43="","缺少机号",""),IF(R43="","",IF(NOT(ISNUMBER(R43)),"机号应为数值",IF(R43&lt;=0,"机号应大于0",""))),IF(S43="","缺少进口滞止密度",""),IF(S43="","",IF(NOT(ISNUMBER(S43)),"进口滞止密度应为数值",IF(S43&lt;=0,"进口滞止密度应大于0",""))),IF(T43="","缺少等熵指数k",""),IF(T43="","",IF(NOT(ISNUMBER(T43)),"等熵指数k应为数值",IF(OR(T43&lt;1,T43&gt;2),"等熵指数k应为1～2",""))),IF(U43="","缺少最高通风机效率ηr",""),IF(U43="","",IF(NOT(ISNUMBER(U43)),"最高通风机效率ηr应为数值",IF(OR(U43&lt;1,U43&gt;100),"最高通风机效率ηr应为1～100的百分数本值",""))),IF(AD43="","缺少铭牌照片",""),IF(AND(ISTEXT(AE43),OR(AE43&lt;&gt;TRIM(AE43),ISNUMBER(SEARCH("　",AE43)))),"填表备注含首尾空格或全角空格",""),IF(AND(H43="",F43&lt;&gt;""),"离心通风机缺少单双吸",""),IF(AND(ISNUMBER(L43),L43&gt;30000),"风机压力超过30kPa，超出通风机标准范围",""),IF(AND(F43="外转子电机直联前向多翼离心风机",G43&lt;&gt;"",G43&lt;&gt;"外转子电机直联"),"外转子前向多翼离心风机应选择外转子电机直联","")),"")</f>
        <v/>
      </c>
    </row>
    <row r="44" ht="42" customHeight="1" s="184">
      <c r="A44" s="224">
        <f>IF(COUNTA(B44,C44,D44,E44,F44,G44,H44,I44,J44,K44,L44,M44,N44,O44,P44,Q44,R44,S44,T44,U44,AD44,AE44)&gt;0,ROW()-3,"")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35" t="n"/>
      <c r="U44" s="229" t="n"/>
      <c r="V44" s="113" t="n"/>
      <c r="W44" s="236" t="n"/>
      <c r="X44" s="113" t="n"/>
      <c r="Y44" s="113" t="n"/>
      <c r="Z44" s="227" t="n"/>
      <c r="AA44" s="227" t="n"/>
      <c r="AB44" s="227" t="n"/>
      <c r="AC44" s="81" t="n"/>
      <c r="AD44" s="180" t="n"/>
      <c r="AE44" s="180" t="n"/>
      <c r="AF44" s="99">
        <f>IF(COUNTA(B44,C44,D44,E44,F44,G44,H44,I44,J44,K44,L44,M44,N44,O44,P44,Q44,R44,S44,T44,U44,AD44,AE44)&gt;0,TEXTJOIN("；",TRUE,IF(B44="","缺少设备名称",""),IF(AND(ISTEXT(B44),OR(B44&lt;&gt;TRIM(B44),ISNUMBER(SEARCH("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",E44)))),"安装位置含首尾空格或全角空格",""),IF(F44="","缺少设备类别",""),IF(F44="","",IF(COUNTIF(EV_CENTRIFUGAL_FAN_CATEGORY,F44)=0,"设备类别不在标准枚举中","")),IF(AND(ISTEXT(F44),OR(F44&lt;&gt;TRIM(F44),ISNUMBER(SEARCH("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",G44)))),"传动方式含首尾空格或全角空格",""),IF(H44="","",IF(COUNTIF(EV_SUCTION,H44)=0,"单双吸不在标准枚举中","")),IF(AND(ISTEXT(H44),OR(H44&lt;&gt;TRIM(H44),ISNUMBER(SEARCH("　",H44)))),"单双吸含首尾空格或全角空格",""),IF(I44="","缺少是否暖通空调用",""),IF(I44="","",IF(COUNTIF(EV_YES_NO,I44)=0,"是否暖通空调用不在标准枚举中","")),IF(AND(ISTEXT(I44),OR(I44&lt;&gt;TRIM(I44),ISNUMBER(SEARCH("　",I44)))),"是否暖通空调用含首尾空格或全角空格",""),IF(J44="","缺少是否带进气箱",""),IF(J44="","",IF(COUNTIF(EV_YES_NO,J44)=0,"是否带进气箱不在标准枚举中","")),IF(AND(ISTEXT(J44),OR(J44&lt;&gt;TRIM(J44),ISNUMBER(SEARCH("　",J44)))),"是否带进气箱含首尾空格或全角空格",""),IF(K44="","缺少流量",""),IF(K44="","",IF(NOT(ISNUMBER(K44)),"流量应为数值",IF(K44&lt;=0,"流量应大于0",""))),IF(L44="","缺少风机压力pF",""),IF(L44="","",IF(NOT(ISNUMBER(L44)),"风机压力pF应为数值",IF(L44&lt;=0,"风机压力pF应大于0",""))),IF(M44="","缺少出口滞止压力",""),IF(M44="","",IF(NOT(ISNUMBER(M44)),"出口滞止压力应为数值",IF(M44&lt;=0,"出口滞止压力应大于0",""))),IF(N44="","缺少进口滞止压力",""),IF(N44="","",IF(NOT(ISNUMBER(N44)),"进口滞止压力应为数值",IF(N44&lt;=0,"进口滞止压力应大于0",""))),IF(O44="","缺少额定功率",""),IF(O44="","",IF(NOT(ISNUMBER(O44)),"额定功率应为数值",IF(O44&lt;=0,"额定功率应大于0",""))),IF(P44="","缺少叶轮功率",""),IF(P44="","",IF(NOT(ISNUMBER(P44)),"叶轮功率应为数值",IF(P44&lt;=0,"叶轮功率应大于0",""))),IF(Q44="","缺少转速",""),IF(Q44="","",IF(NOT(ISNUMBER(Q44)),"转速应为数值",IF(Q44&lt;=0,"转速应大于0",""))),IF(R44="","缺少机号",""),IF(R44="","",IF(NOT(ISNUMBER(R44)),"机号应为数值",IF(R44&lt;=0,"机号应大于0",""))),IF(S44="","缺少进口滞止密度",""),IF(S44="","",IF(NOT(ISNUMBER(S44)),"进口滞止密度应为数值",IF(S44&lt;=0,"进口滞止密度应大于0",""))),IF(T44="","缺少等熵指数k",""),IF(T44="","",IF(NOT(ISNUMBER(T44)),"等熵指数k应为数值",IF(OR(T44&lt;1,T44&gt;2),"等熵指数k应为1～2",""))),IF(U44="","缺少最高通风机效率ηr",""),IF(U44="","",IF(NOT(ISNUMBER(U44)),"最高通风机效率ηr应为数值",IF(OR(U44&lt;1,U44&gt;100),"最高通风机效率ηr应为1～100的百分数本值",""))),IF(AD44="","缺少铭牌照片",""),IF(AND(ISTEXT(AE44),OR(AE44&lt;&gt;TRIM(AE44),ISNUMBER(SEARCH("　",AE44)))),"填表备注含首尾空格或全角空格",""),IF(AND(H44="",F44&lt;&gt;""),"离心通风机缺少单双吸",""),IF(AND(ISNUMBER(L44),L44&gt;30000),"风机压力超过30kPa，超出通风机标准范围",""),IF(AND(F44="外转子电机直联前向多翼离心风机",G44&lt;&gt;"",G44&lt;&gt;"外转子电机直联"),"外转子前向多翼离心风机应选择外转子电机直联","")),"")</f>
        <v/>
      </c>
    </row>
    <row r="45" ht="42" customHeight="1" s="184">
      <c r="A45" s="224">
        <f>IF(COUNTA(B45,C45,D45,E45,F45,G45,H45,I45,J45,K45,L45,M45,N45,O45,P45,Q45,R45,S45,T45,U45,AD45,AE45)&gt;0,ROW()-3,"")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35" t="n"/>
      <c r="U45" s="229" t="n"/>
      <c r="V45" s="113" t="n"/>
      <c r="W45" s="236" t="n"/>
      <c r="X45" s="113" t="n"/>
      <c r="Y45" s="113" t="n"/>
      <c r="Z45" s="227" t="n"/>
      <c r="AA45" s="227" t="n"/>
      <c r="AB45" s="227" t="n"/>
      <c r="AC45" s="81" t="n"/>
      <c r="AD45" s="180" t="n"/>
      <c r="AE45" s="180" t="n"/>
      <c r="AF45" s="99">
        <f>IF(COUNTA(B45,C45,D45,E45,F45,G45,H45,I45,J45,K45,L45,M45,N45,O45,P45,Q45,R45,S45,T45,U45,AD45,AE45)&gt;0,TEXTJOIN("；",TRUE,IF(B45="","缺少设备名称",""),IF(AND(ISTEXT(B45),OR(B45&lt;&gt;TRIM(B45),ISNUMBER(SEARCH("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",E45)))),"安装位置含首尾空格或全角空格",""),IF(F45="","缺少设备类别",""),IF(F45="","",IF(COUNTIF(EV_CENTRIFUGAL_FAN_CATEGORY,F45)=0,"设备类别不在标准枚举中","")),IF(AND(ISTEXT(F45),OR(F45&lt;&gt;TRIM(F45),ISNUMBER(SEARCH("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",G45)))),"传动方式含首尾空格或全角空格",""),IF(H45="","",IF(COUNTIF(EV_SUCTION,H45)=0,"单双吸不在标准枚举中","")),IF(AND(ISTEXT(H45),OR(H45&lt;&gt;TRIM(H45),ISNUMBER(SEARCH("　",H45)))),"单双吸含首尾空格或全角空格",""),IF(I45="","缺少是否暖通空调用",""),IF(I45="","",IF(COUNTIF(EV_YES_NO,I45)=0,"是否暖通空调用不在标准枚举中","")),IF(AND(ISTEXT(I45),OR(I45&lt;&gt;TRIM(I45),ISNUMBER(SEARCH("　",I45)))),"是否暖通空调用含首尾空格或全角空格",""),IF(J45="","缺少是否带进气箱",""),IF(J45="","",IF(COUNTIF(EV_YES_NO,J45)=0,"是否带进气箱不在标准枚举中","")),IF(AND(ISTEXT(J45),OR(J45&lt;&gt;TRIM(J45),ISNUMBER(SEARCH("　",J45)))),"是否带进气箱含首尾空格或全角空格",""),IF(K45="","缺少流量",""),IF(K45="","",IF(NOT(ISNUMBER(K45)),"流量应为数值",IF(K45&lt;=0,"流量应大于0",""))),IF(L45="","缺少风机压力pF",""),IF(L45="","",IF(NOT(ISNUMBER(L45)),"风机压力pF应为数值",IF(L45&lt;=0,"风机压力pF应大于0",""))),IF(M45="","缺少出口滞止压力",""),IF(M45="","",IF(NOT(ISNUMBER(M45)),"出口滞止压力应为数值",IF(M45&lt;=0,"出口滞止压力应大于0",""))),IF(N45="","缺少进口滞止压力",""),IF(N45="","",IF(NOT(ISNUMBER(N45)),"进口滞止压力应为数值",IF(N45&lt;=0,"进口滞止压力应大于0",""))),IF(O45="","缺少额定功率",""),IF(O45="","",IF(NOT(ISNUMBER(O45)),"额定功率应为数值",IF(O45&lt;=0,"额定功率应大于0",""))),IF(P45="","缺少叶轮功率",""),IF(P45="","",IF(NOT(ISNUMBER(P45)),"叶轮功率应为数值",IF(P45&lt;=0,"叶轮功率应大于0",""))),IF(Q45="","缺少转速",""),IF(Q45="","",IF(NOT(ISNUMBER(Q45)),"转速应为数值",IF(Q45&lt;=0,"转速应大于0",""))),IF(R45="","缺少机号",""),IF(R45="","",IF(NOT(ISNUMBER(R45)),"机号应为数值",IF(R45&lt;=0,"机号应大于0",""))),IF(S45="","缺少进口滞止密度",""),IF(S45="","",IF(NOT(ISNUMBER(S45)),"进口滞止密度应为数值",IF(S45&lt;=0,"进口滞止密度应大于0",""))),IF(T45="","缺少等熵指数k",""),IF(T45="","",IF(NOT(ISNUMBER(T45)),"等熵指数k应为数值",IF(OR(T45&lt;1,T45&gt;2),"等熵指数k应为1～2",""))),IF(U45="","缺少最高通风机效率ηr",""),IF(U45="","",IF(NOT(ISNUMBER(U45)),"最高通风机效率ηr应为数值",IF(OR(U45&lt;1,U45&gt;100),"最高通风机效率ηr应为1～100的百分数本值",""))),IF(AD45="","缺少铭牌照片",""),IF(AND(ISTEXT(AE45),OR(AE45&lt;&gt;TRIM(AE45),ISNUMBER(SEARCH("　",AE45)))),"填表备注含首尾空格或全角空格",""),IF(AND(H45="",F45&lt;&gt;""),"离心通风机缺少单双吸",""),IF(AND(ISNUMBER(L45),L45&gt;30000),"风机压力超过30kPa，超出通风机标准范围",""),IF(AND(F45="外转子电机直联前向多翼离心风机",G45&lt;&gt;"",G45&lt;&gt;"外转子电机直联"),"外转子前向多翼离心风机应选择外转子电机直联","")),"")</f>
        <v/>
      </c>
    </row>
    <row r="46" ht="42" customHeight="1" s="184">
      <c r="A46" s="224">
        <f>IF(COUNTA(B46,C46,D46,E46,F46,G46,H46,I46,J46,K46,L46,M46,N46,O46,P46,Q46,R46,S46,T46,U46,AD46,AE46)&gt;0,ROW()-3,"")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35" t="n"/>
      <c r="U46" s="229" t="n"/>
      <c r="V46" s="113" t="n"/>
      <c r="W46" s="236" t="n"/>
      <c r="X46" s="113" t="n"/>
      <c r="Y46" s="113" t="n"/>
      <c r="Z46" s="227" t="n"/>
      <c r="AA46" s="227" t="n"/>
      <c r="AB46" s="227" t="n"/>
      <c r="AC46" s="81" t="n"/>
      <c r="AD46" s="180" t="n"/>
      <c r="AE46" s="180" t="n"/>
      <c r="AF46" s="99">
        <f>IF(COUNTA(B46,C46,D46,E46,F46,G46,H46,I46,J46,K46,L46,M46,N46,O46,P46,Q46,R46,S46,T46,U46,AD46,AE46)&gt;0,TEXTJOIN("；",TRUE,IF(B46="","缺少设备名称",""),IF(AND(ISTEXT(B46),OR(B46&lt;&gt;TRIM(B46),ISNUMBER(SEARCH("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",E46)))),"安装位置含首尾空格或全角空格",""),IF(F46="","缺少设备类别",""),IF(F46="","",IF(COUNTIF(EV_CENTRIFUGAL_FAN_CATEGORY,F46)=0,"设备类别不在标准枚举中","")),IF(AND(ISTEXT(F46),OR(F46&lt;&gt;TRIM(F46),ISNUMBER(SEARCH("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",G46)))),"传动方式含首尾空格或全角空格",""),IF(H46="","",IF(COUNTIF(EV_SUCTION,H46)=0,"单双吸不在标准枚举中","")),IF(AND(ISTEXT(H46),OR(H46&lt;&gt;TRIM(H46),ISNUMBER(SEARCH("　",H46)))),"单双吸含首尾空格或全角空格",""),IF(I46="","缺少是否暖通空调用",""),IF(I46="","",IF(COUNTIF(EV_YES_NO,I46)=0,"是否暖通空调用不在标准枚举中","")),IF(AND(ISTEXT(I46),OR(I46&lt;&gt;TRIM(I46),ISNUMBER(SEARCH("　",I46)))),"是否暖通空调用含首尾空格或全角空格",""),IF(J46="","缺少是否带进气箱",""),IF(J46="","",IF(COUNTIF(EV_YES_NO,J46)=0,"是否带进气箱不在标准枚举中","")),IF(AND(ISTEXT(J46),OR(J46&lt;&gt;TRIM(J46),ISNUMBER(SEARCH("　",J46)))),"是否带进气箱含首尾空格或全角空格",""),IF(K46="","缺少流量",""),IF(K46="","",IF(NOT(ISNUMBER(K46)),"流量应为数值",IF(K46&lt;=0,"流量应大于0",""))),IF(L46="","缺少风机压力pF",""),IF(L46="","",IF(NOT(ISNUMBER(L46)),"风机压力pF应为数值",IF(L46&lt;=0,"风机压力pF应大于0",""))),IF(M46="","缺少出口滞止压力",""),IF(M46="","",IF(NOT(ISNUMBER(M46)),"出口滞止压力应为数值",IF(M46&lt;=0,"出口滞止压力应大于0",""))),IF(N46="","缺少进口滞止压力",""),IF(N46="","",IF(NOT(ISNUMBER(N46)),"进口滞止压力应为数值",IF(N46&lt;=0,"进口滞止压力应大于0",""))),IF(O46="","缺少额定功率",""),IF(O46="","",IF(NOT(ISNUMBER(O46)),"额定功率应为数值",IF(O46&lt;=0,"额定功率应大于0",""))),IF(P46="","缺少叶轮功率",""),IF(P46="","",IF(NOT(ISNUMBER(P46)),"叶轮功率应为数值",IF(P46&lt;=0,"叶轮功率应大于0",""))),IF(Q46="","缺少转速",""),IF(Q46="","",IF(NOT(ISNUMBER(Q46)),"转速应为数值",IF(Q46&lt;=0,"转速应大于0",""))),IF(R46="","缺少机号",""),IF(R46="","",IF(NOT(ISNUMBER(R46)),"机号应为数值",IF(R46&lt;=0,"机号应大于0",""))),IF(S46="","缺少进口滞止密度",""),IF(S46="","",IF(NOT(ISNUMBER(S46)),"进口滞止密度应为数值",IF(S46&lt;=0,"进口滞止密度应大于0",""))),IF(T46="","缺少等熵指数k",""),IF(T46="","",IF(NOT(ISNUMBER(T46)),"等熵指数k应为数值",IF(OR(T46&lt;1,T46&gt;2),"等熵指数k应为1～2",""))),IF(U46="","缺少最高通风机效率ηr",""),IF(U46="","",IF(NOT(ISNUMBER(U46)),"最高通风机效率ηr应为数值",IF(OR(U46&lt;1,U46&gt;100),"最高通风机效率ηr应为1～100的百分数本值",""))),IF(AD46="","缺少铭牌照片",""),IF(AND(ISTEXT(AE46),OR(AE46&lt;&gt;TRIM(AE46),ISNUMBER(SEARCH("　",AE46)))),"填表备注含首尾空格或全角空格",""),IF(AND(H46="",F46&lt;&gt;""),"离心通风机缺少单双吸",""),IF(AND(ISNUMBER(L46),L46&gt;30000),"风机压力超过30kPa，超出通风机标准范围",""),IF(AND(F46="外转子电机直联前向多翼离心风机",G46&lt;&gt;"",G46&lt;&gt;"外转子电机直联"),"外转子前向多翼离心风机应选择外转子电机直联","")),"")</f>
        <v/>
      </c>
    </row>
    <row r="47" ht="42" customHeight="1" s="184">
      <c r="A47" s="224">
        <f>IF(COUNTA(B47,C47,D47,E47,F47,G47,H47,I47,J47,K47,L47,M47,N47,O47,P47,Q47,R47,S47,T47,U47,AD47,AE47)&gt;0,ROW()-3,"")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29" t="n"/>
      <c r="L47" s="229" t="n"/>
      <c r="M47" s="229" t="n"/>
      <c r="N47" s="229" t="n"/>
      <c r="O47" s="229" t="n"/>
      <c r="P47" s="229" t="n"/>
      <c r="Q47" s="229" t="n"/>
      <c r="R47" s="229" t="n"/>
      <c r="S47" s="229" t="n"/>
      <c r="T47" s="235" t="n"/>
      <c r="U47" s="229" t="n"/>
      <c r="V47" s="113" t="n"/>
      <c r="W47" s="236" t="n"/>
      <c r="X47" s="113" t="n"/>
      <c r="Y47" s="113" t="n"/>
      <c r="Z47" s="227" t="n"/>
      <c r="AA47" s="227" t="n"/>
      <c r="AB47" s="227" t="n"/>
      <c r="AC47" s="81" t="n"/>
      <c r="AD47" s="180" t="n"/>
      <c r="AE47" s="180" t="n"/>
      <c r="AF47" s="99">
        <f>IF(COUNTA(B47,C47,D47,E47,F47,G47,H47,I47,J47,K47,L47,M47,N47,O47,P47,Q47,R47,S47,T47,U47,AD47,AE47)&gt;0,TEXTJOIN("；",TRUE,IF(B47="","缺少设备名称",""),IF(AND(ISTEXT(B47),OR(B47&lt;&gt;TRIM(B47),ISNUMBER(SEARCH("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",E47)))),"安装位置含首尾空格或全角空格",""),IF(F47="","缺少设备类别",""),IF(F47="","",IF(COUNTIF(EV_CENTRIFUGAL_FAN_CATEGORY,F47)=0,"设备类别不在标准枚举中","")),IF(AND(ISTEXT(F47),OR(F47&lt;&gt;TRIM(F47),ISNUMBER(SEARCH("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",G47)))),"传动方式含首尾空格或全角空格",""),IF(H47="","",IF(COUNTIF(EV_SUCTION,H47)=0,"单双吸不在标准枚举中","")),IF(AND(ISTEXT(H47),OR(H47&lt;&gt;TRIM(H47),ISNUMBER(SEARCH("　",H47)))),"单双吸含首尾空格或全角空格",""),IF(I47="","缺少是否暖通空调用",""),IF(I47="","",IF(COUNTIF(EV_YES_NO,I47)=0,"是否暖通空调用不在标准枚举中","")),IF(AND(ISTEXT(I47),OR(I47&lt;&gt;TRIM(I47),ISNUMBER(SEARCH("　",I47)))),"是否暖通空调用含首尾空格或全角空格",""),IF(J47="","缺少是否带进气箱",""),IF(J47="","",IF(COUNTIF(EV_YES_NO,J47)=0,"是否带进气箱不在标准枚举中","")),IF(AND(ISTEXT(J47),OR(J47&lt;&gt;TRIM(J47),ISNUMBER(SEARCH("　",J47)))),"是否带进气箱含首尾空格或全角空格",""),IF(K47="","缺少流量",""),IF(K47="","",IF(NOT(ISNUMBER(K47)),"流量应为数值",IF(K47&lt;=0,"流量应大于0",""))),IF(L47="","缺少风机压力pF",""),IF(L47="","",IF(NOT(ISNUMBER(L47)),"风机压力pF应为数值",IF(L47&lt;=0,"风机压力pF应大于0",""))),IF(M47="","缺少出口滞止压力",""),IF(M47="","",IF(NOT(ISNUMBER(M47)),"出口滞止压力应为数值",IF(M47&lt;=0,"出口滞止压力应大于0",""))),IF(N47="","缺少进口滞止压力",""),IF(N47="","",IF(NOT(ISNUMBER(N47)),"进口滞止压力应为数值",IF(N47&lt;=0,"进口滞止压力应大于0",""))),IF(O47="","缺少额定功率",""),IF(O47="","",IF(NOT(ISNUMBER(O47)),"额定功率应为数值",IF(O47&lt;=0,"额定功率应大于0",""))),IF(P47="","缺少叶轮功率",""),IF(P47="","",IF(NOT(ISNUMBER(P47)),"叶轮功率应为数值",IF(P47&lt;=0,"叶轮功率应大于0",""))),IF(Q47="","缺少转速",""),IF(Q47="","",IF(NOT(ISNUMBER(Q47)),"转速应为数值",IF(Q47&lt;=0,"转速应大于0",""))),IF(R47="","缺少机号",""),IF(R47="","",IF(NOT(ISNUMBER(R47)),"机号应为数值",IF(R47&lt;=0,"机号应大于0",""))),IF(S47="","缺少进口滞止密度",""),IF(S47="","",IF(NOT(ISNUMBER(S47)),"进口滞止密度应为数值",IF(S47&lt;=0,"进口滞止密度应大于0",""))),IF(T47="","缺少等熵指数k",""),IF(T47="","",IF(NOT(ISNUMBER(T47)),"等熵指数k应为数值",IF(OR(T47&lt;1,T47&gt;2),"等熵指数k应为1～2",""))),IF(U47="","缺少最高通风机效率ηr",""),IF(U47="","",IF(NOT(ISNUMBER(U47)),"最高通风机效率ηr应为数值",IF(OR(U47&lt;1,U47&gt;100),"最高通风机效率ηr应为1～100的百分数本值",""))),IF(AD47="","缺少铭牌照片",""),IF(AND(ISTEXT(AE47),OR(AE47&lt;&gt;TRIM(AE47),ISNUMBER(SEARCH("　",AE47)))),"填表备注含首尾空格或全角空格",""),IF(AND(H47="",F47&lt;&gt;""),"离心通风机缺少单双吸",""),IF(AND(ISNUMBER(L47),L47&gt;30000),"风机压力超过30kPa，超出通风机标准范围",""),IF(AND(F47="外转子电机直联前向多翼离心风机",G47&lt;&gt;"",G47&lt;&gt;"外转子电机直联"),"外转子前向多翼离心风机应选择外转子电机直联","")),"")</f>
        <v/>
      </c>
    </row>
    <row r="48" ht="42" customHeight="1" s="184">
      <c r="A48" s="224">
        <f>IF(COUNTA(B48,C48,D48,E48,F48,G48,H48,I48,J48,K48,L48,M48,N48,O48,P48,Q48,R48,S48,T48,U48,AD48,AE48)&gt;0,ROW()-3,"")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/>
      <c r="T48" s="235" t="n"/>
      <c r="U48" s="229" t="n"/>
      <c r="V48" s="113" t="n"/>
      <c r="W48" s="236" t="n"/>
      <c r="X48" s="113" t="n"/>
      <c r="Y48" s="113" t="n"/>
      <c r="Z48" s="227" t="n"/>
      <c r="AA48" s="227" t="n"/>
      <c r="AB48" s="227" t="n"/>
      <c r="AC48" s="81" t="n"/>
      <c r="AD48" s="180" t="n"/>
      <c r="AE48" s="180" t="n"/>
      <c r="AF48" s="99">
        <f>IF(COUNTA(B48,C48,D48,E48,F48,G48,H48,I48,J48,K48,L48,M48,N48,O48,P48,Q48,R48,S48,T48,U48,AD48,AE48)&gt;0,TEXTJOIN("；",TRUE,IF(B48="","缺少设备名称",""),IF(AND(ISTEXT(B48),OR(B48&lt;&gt;TRIM(B48),ISNUMBER(SEARCH("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",E48)))),"安装位置含首尾空格或全角空格",""),IF(F48="","缺少设备类别",""),IF(F48="","",IF(COUNTIF(EV_CENTRIFUGAL_FAN_CATEGORY,F48)=0,"设备类别不在标准枚举中","")),IF(AND(ISTEXT(F48),OR(F48&lt;&gt;TRIM(F48),ISNUMBER(SEARCH("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",G48)))),"传动方式含首尾空格或全角空格",""),IF(H48="","",IF(COUNTIF(EV_SUCTION,H48)=0,"单双吸不在标准枚举中","")),IF(AND(ISTEXT(H48),OR(H48&lt;&gt;TRIM(H48),ISNUMBER(SEARCH("　",H48)))),"单双吸含首尾空格或全角空格",""),IF(I48="","缺少是否暖通空调用",""),IF(I48="","",IF(COUNTIF(EV_YES_NO,I48)=0,"是否暖通空调用不在标准枚举中","")),IF(AND(ISTEXT(I48),OR(I48&lt;&gt;TRIM(I48),ISNUMBER(SEARCH("　",I48)))),"是否暖通空调用含首尾空格或全角空格",""),IF(J48="","缺少是否带进气箱",""),IF(J48="","",IF(COUNTIF(EV_YES_NO,J48)=0,"是否带进气箱不在标准枚举中","")),IF(AND(ISTEXT(J48),OR(J48&lt;&gt;TRIM(J48),ISNUMBER(SEARCH("　",J48)))),"是否带进气箱含首尾空格或全角空格",""),IF(K48="","缺少流量",""),IF(K48="","",IF(NOT(ISNUMBER(K48)),"流量应为数值",IF(K48&lt;=0,"流量应大于0",""))),IF(L48="","缺少风机压力pF",""),IF(L48="","",IF(NOT(ISNUMBER(L48)),"风机压力pF应为数值",IF(L48&lt;=0,"风机压力pF应大于0",""))),IF(M48="","缺少出口滞止压力",""),IF(M48="","",IF(NOT(ISNUMBER(M48)),"出口滞止压力应为数值",IF(M48&lt;=0,"出口滞止压力应大于0",""))),IF(N48="","缺少进口滞止压力",""),IF(N48="","",IF(NOT(ISNUMBER(N48)),"进口滞止压力应为数值",IF(N48&lt;=0,"进口滞止压力应大于0",""))),IF(O48="","缺少额定功率",""),IF(O48="","",IF(NOT(ISNUMBER(O48)),"额定功率应为数值",IF(O48&lt;=0,"额定功率应大于0",""))),IF(P48="","缺少叶轮功率",""),IF(P48="","",IF(NOT(ISNUMBER(P48)),"叶轮功率应为数值",IF(P48&lt;=0,"叶轮功率应大于0",""))),IF(Q48="","缺少转速",""),IF(Q48="","",IF(NOT(ISNUMBER(Q48)),"转速应为数值",IF(Q48&lt;=0,"转速应大于0",""))),IF(R48="","缺少机号",""),IF(R48="","",IF(NOT(ISNUMBER(R48)),"机号应为数值",IF(R48&lt;=0,"机号应大于0",""))),IF(S48="","缺少进口滞止密度",""),IF(S48="","",IF(NOT(ISNUMBER(S48)),"进口滞止密度应为数值",IF(S48&lt;=0,"进口滞止密度应大于0",""))),IF(T48="","缺少等熵指数k",""),IF(T48="","",IF(NOT(ISNUMBER(T48)),"等熵指数k应为数值",IF(OR(T48&lt;1,T48&gt;2),"等熵指数k应为1～2",""))),IF(U48="","缺少最高通风机效率ηr",""),IF(U48="","",IF(NOT(ISNUMBER(U48)),"最高通风机效率ηr应为数值",IF(OR(U48&lt;1,U48&gt;100),"最高通风机效率ηr应为1～100的百分数本值",""))),IF(AD48="","缺少铭牌照片",""),IF(AND(ISTEXT(AE48),OR(AE48&lt;&gt;TRIM(AE48),ISNUMBER(SEARCH("　",AE48)))),"填表备注含首尾空格或全角空格",""),IF(AND(H48="",F48&lt;&gt;""),"离心通风机缺少单双吸",""),IF(AND(ISNUMBER(L48),L48&gt;30000),"风机压力超过30kPa，超出通风机标准范围",""),IF(AND(F48="外转子电机直联前向多翼离心风机",G48&lt;&gt;"",G48&lt;&gt;"外转子电机直联"),"外转子前向多翼离心风机应选择外转子电机直联","")),"")</f>
        <v/>
      </c>
    </row>
    <row r="49" ht="42" customHeight="1" s="184">
      <c r="A49" s="224">
        <f>IF(COUNTA(B49,C49,D49,E49,F49,G49,H49,I49,J49,K49,L49,M49,N49,O49,P49,Q49,R49,S49,T49,U49,AD49,AE49)&gt;0,ROW()-3,"")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/>
      <c r="T49" s="235" t="n"/>
      <c r="U49" s="229" t="n"/>
      <c r="V49" s="113" t="n"/>
      <c r="W49" s="236" t="n"/>
      <c r="X49" s="113" t="n"/>
      <c r="Y49" s="113" t="n"/>
      <c r="Z49" s="227" t="n"/>
      <c r="AA49" s="227" t="n"/>
      <c r="AB49" s="227" t="n"/>
      <c r="AC49" s="81" t="n"/>
      <c r="AD49" s="180" t="n"/>
      <c r="AE49" s="180" t="n"/>
      <c r="AF49" s="99">
        <f>IF(COUNTA(B49,C49,D49,E49,F49,G49,H49,I49,J49,K49,L49,M49,N49,O49,P49,Q49,R49,S49,T49,U49,AD49,AE49)&gt;0,TEXTJOIN("；",TRUE,IF(B49="","缺少设备名称",""),IF(AND(ISTEXT(B49),OR(B49&lt;&gt;TRIM(B49),ISNUMBER(SEARCH("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",E49)))),"安装位置含首尾空格或全角空格",""),IF(F49="","缺少设备类别",""),IF(F49="","",IF(COUNTIF(EV_CENTRIFUGAL_FAN_CATEGORY,F49)=0,"设备类别不在标准枚举中","")),IF(AND(ISTEXT(F49),OR(F49&lt;&gt;TRIM(F49),ISNUMBER(SEARCH("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",G49)))),"传动方式含首尾空格或全角空格",""),IF(H49="","",IF(COUNTIF(EV_SUCTION,H49)=0,"单双吸不在标准枚举中","")),IF(AND(ISTEXT(H49),OR(H49&lt;&gt;TRIM(H49),ISNUMBER(SEARCH("　",H49)))),"单双吸含首尾空格或全角空格",""),IF(I49="","缺少是否暖通空调用",""),IF(I49="","",IF(COUNTIF(EV_YES_NO,I49)=0,"是否暖通空调用不在标准枚举中","")),IF(AND(ISTEXT(I49),OR(I49&lt;&gt;TRIM(I49),ISNUMBER(SEARCH("　",I49)))),"是否暖通空调用含首尾空格或全角空格",""),IF(J49="","缺少是否带进气箱",""),IF(J49="","",IF(COUNTIF(EV_YES_NO,J49)=0,"是否带进气箱不在标准枚举中","")),IF(AND(ISTEXT(J49),OR(J49&lt;&gt;TRIM(J49),ISNUMBER(SEARCH("　",J49)))),"是否带进气箱含首尾空格或全角空格",""),IF(K49="","缺少流量",""),IF(K49="","",IF(NOT(ISNUMBER(K49)),"流量应为数值",IF(K49&lt;=0,"流量应大于0",""))),IF(L49="","缺少风机压力pF",""),IF(L49="","",IF(NOT(ISNUMBER(L49)),"风机压力pF应为数值",IF(L49&lt;=0,"风机压力pF应大于0",""))),IF(M49="","缺少出口滞止压力",""),IF(M49="","",IF(NOT(ISNUMBER(M49)),"出口滞止压力应为数值",IF(M49&lt;=0,"出口滞止压力应大于0",""))),IF(N49="","缺少进口滞止压力",""),IF(N49="","",IF(NOT(ISNUMBER(N49)),"进口滞止压力应为数值",IF(N49&lt;=0,"进口滞止压力应大于0",""))),IF(O49="","缺少额定功率",""),IF(O49="","",IF(NOT(ISNUMBER(O49)),"额定功率应为数值",IF(O49&lt;=0,"额定功率应大于0",""))),IF(P49="","缺少叶轮功率",""),IF(P49="","",IF(NOT(ISNUMBER(P49)),"叶轮功率应为数值",IF(P49&lt;=0,"叶轮功率应大于0",""))),IF(Q49="","缺少转速",""),IF(Q49="","",IF(NOT(ISNUMBER(Q49)),"转速应为数值",IF(Q49&lt;=0,"转速应大于0",""))),IF(R49="","缺少机号",""),IF(R49="","",IF(NOT(ISNUMBER(R49)),"机号应为数值",IF(R49&lt;=0,"机号应大于0",""))),IF(S49="","缺少进口滞止密度",""),IF(S49="","",IF(NOT(ISNUMBER(S49)),"进口滞止密度应为数值",IF(S49&lt;=0,"进口滞止密度应大于0",""))),IF(T49="","缺少等熵指数k",""),IF(T49="","",IF(NOT(ISNUMBER(T49)),"等熵指数k应为数值",IF(OR(T49&lt;1,T49&gt;2),"等熵指数k应为1～2",""))),IF(U49="","缺少最高通风机效率ηr",""),IF(U49="","",IF(NOT(ISNUMBER(U49)),"最高通风机效率ηr应为数值",IF(OR(U49&lt;1,U49&gt;100),"最高通风机效率ηr应为1～100的百分数本值",""))),IF(AD49="","缺少铭牌照片",""),IF(AND(ISTEXT(AE49),OR(AE49&lt;&gt;TRIM(AE49),ISNUMBER(SEARCH("　",AE49)))),"填表备注含首尾空格或全角空格",""),IF(AND(H49="",F49&lt;&gt;""),"离心通风机缺少单双吸",""),IF(AND(ISNUMBER(L49),L49&gt;30000),"风机压力超过30kPa，超出通风机标准范围",""),IF(AND(F49="外转子电机直联前向多翼离心风机",G49&lt;&gt;"",G49&lt;&gt;"外转子电机直联"),"外转子前向多翼离心风机应选择外转子电机直联","")),"")</f>
        <v/>
      </c>
    </row>
    <row r="50" ht="42" customHeight="1" s="184">
      <c r="A50" s="224">
        <f>IF(COUNTA(B50,C50,D50,E50,F50,G50,H50,I50,J50,K50,L50,M50,N50,O50,P50,Q50,R50,S50,T50,U50,AD50,AE50)&gt;0,ROW()-3,"")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35" t="n"/>
      <c r="U50" s="229" t="n"/>
      <c r="V50" s="113" t="n"/>
      <c r="W50" s="236" t="n"/>
      <c r="X50" s="113" t="n"/>
      <c r="Y50" s="113" t="n"/>
      <c r="Z50" s="227" t="n"/>
      <c r="AA50" s="227" t="n"/>
      <c r="AB50" s="227" t="n"/>
      <c r="AC50" s="81" t="n"/>
      <c r="AD50" s="180" t="n"/>
      <c r="AE50" s="180" t="n"/>
      <c r="AF50" s="99">
        <f>IF(COUNTA(B50,C50,D50,E50,F50,G50,H50,I50,J50,K50,L50,M50,N50,O50,P50,Q50,R50,S50,T50,U50,AD50,AE50)&gt;0,TEXTJOIN("；",TRUE,IF(B50="","缺少设备名称",""),IF(AND(ISTEXT(B50),OR(B50&lt;&gt;TRIM(B50),ISNUMBER(SEARCH("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",E50)))),"安装位置含首尾空格或全角空格",""),IF(F50="","缺少设备类别",""),IF(F50="","",IF(COUNTIF(EV_CENTRIFUGAL_FAN_CATEGORY,F50)=0,"设备类别不在标准枚举中","")),IF(AND(ISTEXT(F50),OR(F50&lt;&gt;TRIM(F50),ISNUMBER(SEARCH("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",G50)))),"传动方式含首尾空格或全角空格",""),IF(H50="","",IF(COUNTIF(EV_SUCTION,H50)=0,"单双吸不在标准枚举中","")),IF(AND(ISTEXT(H50),OR(H50&lt;&gt;TRIM(H50),ISNUMBER(SEARCH("　",H50)))),"单双吸含首尾空格或全角空格",""),IF(I50="","缺少是否暖通空调用",""),IF(I50="","",IF(COUNTIF(EV_YES_NO,I50)=0,"是否暖通空调用不在标准枚举中","")),IF(AND(ISTEXT(I50),OR(I50&lt;&gt;TRIM(I50),ISNUMBER(SEARCH("　",I50)))),"是否暖通空调用含首尾空格或全角空格",""),IF(J50="","缺少是否带进气箱",""),IF(J50="","",IF(COUNTIF(EV_YES_NO,J50)=0,"是否带进气箱不在标准枚举中","")),IF(AND(ISTEXT(J50),OR(J50&lt;&gt;TRIM(J50),ISNUMBER(SEARCH("　",J50)))),"是否带进气箱含首尾空格或全角空格",""),IF(K50="","缺少流量",""),IF(K50="","",IF(NOT(ISNUMBER(K50)),"流量应为数值",IF(K50&lt;=0,"流量应大于0",""))),IF(L50="","缺少风机压力pF",""),IF(L50="","",IF(NOT(ISNUMBER(L50)),"风机压力pF应为数值",IF(L50&lt;=0,"风机压力pF应大于0",""))),IF(M50="","缺少出口滞止压力",""),IF(M50="","",IF(NOT(ISNUMBER(M50)),"出口滞止压力应为数值",IF(M50&lt;=0,"出口滞止压力应大于0",""))),IF(N50="","缺少进口滞止压力",""),IF(N50="","",IF(NOT(ISNUMBER(N50)),"进口滞止压力应为数值",IF(N50&lt;=0,"进口滞止压力应大于0",""))),IF(O50="","缺少额定功率",""),IF(O50="","",IF(NOT(ISNUMBER(O50)),"额定功率应为数值",IF(O50&lt;=0,"额定功率应大于0",""))),IF(P50="","缺少叶轮功率",""),IF(P50="","",IF(NOT(ISNUMBER(P50)),"叶轮功率应为数值",IF(P50&lt;=0,"叶轮功率应大于0",""))),IF(Q50="","缺少转速",""),IF(Q50="","",IF(NOT(ISNUMBER(Q50)),"转速应为数值",IF(Q50&lt;=0,"转速应大于0",""))),IF(R50="","缺少机号",""),IF(R50="","",IF(NOT(ISNUMBER(R50)),"机号应为数值",IF(R50&lt;=0,"机号应大于0",""))),IF(S50="","缺少进口滞止密度",""),IF(S50="","",IF(NOT(ISNUMBER(S50)),"进口滞止密度应为数值",IF(S50&lt;=0,"进口滞止密度应大于0",""))),IF(T50="","缺少等熵指数k",""),IF(T50="","",IF(NOT(ISNUMBER(T50)),"等熵指数k应为数值",IF(OR(T50&lt;1,T50&gt;2),"等熵指数k应为1～2",""))),IF(U50="","缺少最高通风机效率ηr",""),IF(U50="","",IF(NOT(ISNUMBER(U50)),"最高通风机效率ηr应为数值",IF(OR(U50&lt;1,U50&gt;100),"最高通风机效率ηr应为1～100的百分数本值",""))),IF(AD50="","缺少铭牌照片",""),IF(AND(ISTEXT(AE50),OR(AE50&lt;&gt;TRIM(AE50),ISNUMBER(SEARCH("　",AE50)))),"填表备注含首尾空格或全角空格",""),IF(AND(H50="",F50&lt;&gt;""),"离心通风机缺少单双吸",""),IF(AND(ISNUMBER(L50),L50&gt;30000),"风机压力超过30kPa，超出通风机标准范围",""),IF(AND(F50="外转子电机直联前向多翼离心风机",G50&lt;&gt;"",G50&lt;&gt;"外转子电机直联"),"外转子前向多翼离心风机应选择外转子电机直联","")),"")</f>
        <v/>
      </c>
    </row>
    <row r="51" ht="42" customHeight="1" s="184">
      <c r="A51" s="224">
        <f>IF(COUNTA(B51,C51,D51,E51,F51,G51,H51,I51,J51,K51,L51,M51,N51,O51,P51,Q51,R51,S51,T51,U51,AD51,AE51)&gt;0,ROW()-3,"")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29" t="n"/>
      <c r="L51" s="229" t="n"/>
      <c r="M51" s="229" t="n"/>
      <c r="N51" s="229" t="n"/>
      <c r="O51" s="229" t="n"/>
      <c r="P51" s="229" t="n"/>
      <c r="Q51" s="229" t="n"/>
      <c r="R51" s="229" t="n"/>
      <c r="S51" s="229" t="n"/>
      <c r="T51" s="235" t="n"/>
      <c r="U51" s="229" t="n"/>
      <c r="V51" s="113" t="n"/>
      <c r="W51" s="236" t="n"/>
      <c r="X51" s="113" t="n"/>
      <c r="Y51" s="113" t="n"/>
      <c r="Z51" s="227" t="n"/>
      <c r="AA51" s="227" t="n"/>
      <c r="AB51" s="227" t="n"/>
      <c r="AC51" s="81" t="n"/>
      <c r="AD51" s="180" t="n"/>
      <c r="AE51" s="180" t="n"/>
      <c r="AF51" s="99">
        <f>IF(COUNTA(B51,C51,D51,E51,F51,G51,H51,I51,J51,K51,L51,M51,N51,O51,P51,Q51,R51,S51,T51,U51,AD51,AE51)&gt;0,TEXTJOIN("；",TRUE,IF(B51="","缺少设备名称",""),IF(AND(ISTEXT(B51),OR(B51&lt;&gt;TRIM(B51),ISNUMBER(SEARCH("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",E51)))),"安装位置含首尾空格或全角空格",""),IF(F51="","缺少设备类别",""),IF(F51="","",IF(COUNTIF(EV_CENTRIFUGAL_FAN_CATEGORY,F51)=0,"设备类别不在标准枚举中","")),IF(AND(ISTEXT(F51),OR(F51&lt;&gt;TRIM(F51),ISNUMBER(SEARCH("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",G51)))),"传动方式含首尾空格或全角空格",""),IF(H51="","",IF(COUNTIF(EV_SUCTION,H51)=0,"单双吸不在标准枚举中","")),IF(AND(ISTEXT(H51),OR(H51&lt;&gt;TRIM(H51),ISNUMBER(SEARCH("　",H51)))),"单双吸含首尾空格或全角空格",""),IF(I51="","缺少是否暖通空调用",""),IF(I51="","",IF(COUNTIF(EV_YES_NO,I51)=0,"是否暖通空调用不在标准枚举中","")),IF(AND(ISTEXT(I51),OR(I51&lt;&gt;TRIM(I51),ISNUMBER(SEARCH("　",I51)))),"是否暖通空调用含首尾空格或全角空格",""),IF(J51="","缺少是否带进气箱",""),IF(J51="","",IF(COUNTIF(EV_YES_NO,J51)=0,"是否带进气箱不在标准枚举中","")),IF(AND(ISTEXT(J51),OR(J51&lt;&gt;TRIM(J51),ISNUMBER(SEARCH("　",J51)))),"是否带进气箱含首尾空格或全角空格",""),IF(K51="","缺少流量",""),IF(K51="","",IF(NOT(ISNUMBER(K51)),"流量应为数值",IF(K51&lt;=0,"流量应大于0",""))),IF(L51="","缺少风机压力pF",""),IF(L51="","",IF(NOT(ISNUMBER(L51)),"风机压力pF应为数值",IF(L51&lt;=0,"风机压力pF应大于0",""))),IF(M51="","缺少出口滞止压力",""),IF(M51="","",IF(NOT(ISNUMBER(M51)),"出口滞止压力应为数值",IF(M51&lt;=0,"出口滞止压力应大于0",""))),IF(N51="","缺少进口滞止压力",""),IF(N51="","",IF(NOT(ISNUMBER(N51)),"进口滞止压力应为数值",IF(N51&lt;=0,"进口滞止压力应大于0",""))),IF(O51="","缺少额定功率",""),IF(O51="","",IF(NOT(ISNUMBER(O51)),"额定功率应为数值",IF(O51&lt;=0,"额定功率应大于0",""))),IF(P51="","缺少叶轮功率",""),IF(P51="","",IF(NOT(ISNUMBER(P51)),"叶轮功率应为数值",IF(P51&lt;=0,"叶轮功率应大于0",""))),IF(Q51="","缺少转速",""),IF(Q51="","",IF(NOT(ISNUMBER(Q51)),"转速应为数值",IF(Q51&lt;=0,"转速应大于0",""))),IF(R51="","缺少机号",""),IF(R51="","",IF(NOT(ISNUMBER(R51)),"机号应为数值",IF(R51&lt;=0,"机号应大于0",""))),IF(S51="","缺少进口滞止密度",""),IF(S51="","",IF(NOT(ISNUMBER(S51)),"进口滞止密度应为数值",IF(S51&lt;=0,"进口滞止密度应大于0",""))),IF(T51="","缺少等熵指数k",""),IF(T51="","",IF(NOT(ISNUMBER(T51)),"等熵指数k应为数值",IF(OR(T51&lt;1,T51&gt;2),"等熵指数k应为1～2",""))),IF(U51="","缺少最高通风机效率ηr",""),IF(U51="","",IF(NOT(ISNUMBER(U51)),"最高通风机效率ηr应为数值",IF(OR(U51&lt;1,U51&gt;100),"最高通风机效率ηr应为1～100的百分数本值",""))),IF(AD51="","缺少铭牌照片",""),IF(AND(ISTEXT(AE51),OR(AE51&lt;&gt;TRIM(AE51),ISNUMBER(SEARCH("　",AE51)))),"填表备注含首尾空格或全角空格",""),IF(AND(H51="",F51&lt;&gt;""),"离心通风机缺少单双吸",""),IF(AND(ISNUMBER(L51),L51&gt;30000),"风机压力超过30kPa，超出通风机标准范围",""),IF(AND(F51="外转子电机直联前向多翼离心风机",G51&lt;&gt;"",G51&lt;&gt;"外转子电机直联"),"外转子前向多翼离心风机应选择外转子电机直联","")),"")</f>
        <v/>
      </c>
    </row>
    <row r="52" ht="42" customHeight="1" s="184">
      <c r="A52" s="224">
        <f>IF(COUNTA(B52,C52,D52,E52,F52,G52,H52,I52,J52,K52,L52,M52,N52,O52,P52,Q52,R52,S52,T52,U52,AD52,AE52)&gt;0,ROW()-3,"")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35" t="n"/>
      <c r="U52" s="229" t="n"/>
      <c r="V52" s="113" t="n"/>
      <c r="W52" s="236" t="n"/>
      <c r="X52" s="113" t="n"/>
      <c r="Y52" s="113" t="n"/>
      <c r="Z52" s="227" t="n"/>
      <c r="AA52" s="227" t="n"/>
      <c r="AB52" s="227" t="n"/>
      <c r="AC52" s="81" t="n"/>
      <c r="AD52" s="180" t="n"/>
      <c r="AE52" s="180" t="n"/>
      <c r="AF52" s="99">
        <f>IF(COUNTA(B52,C52,D52,E52,F52,G52,H52,I52,J52,K52,L52,M52,N52,O52,P52,Q52,R52,S52,T52,U52,AD52,AE52)&gt;0,TEXTJOIN("；",TRUE,IF(B52="","缺少设备名称",""),IF(AND(ISTEXT(B52),OR(B52&lt;&gt;TRIM(B52),ISNUMBER(SEARCH("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",E52)))),"安装位置含首尾空格或全角空格",""),IF(F52="","缺少设备类别",""),IF(F52="","",IF(COUNTIF(EV_CENTRIFUGAL_FAN_CATEGORY,F52)=0,"设备类别不在标准枚举中","")),IF(AND(ISTEXT(F52),OR(F52&lt;&gt;TRIM(F52),ISNUMBER(SEARCH("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",G52)))),"传动方式含首尾空格或全角空格",""),IF(H52="","",IF(COUNTIF(EV_SUCTION,H52)=0,"单双吸不在标准枚举中","")),IF(AND(ISTEXT(H52),OR(H52&lt;&gt;TRIM(H52),ISNUMBER(SEARCH("　",H52)))),"单双吸含首尾空格或全角空格",""),IF(I52="","缺少是否暖通空调用",""),IF(I52="","",IF(COUNTIF(EV_YES_NO,I52)=0,"是否暖通空调用不在标准枚举中","")),IF(AND(ISTEXT(I52),OR(I52&lt;&gt;TRIM(I52),ISNUMBER(SEARCH("　",I52)))),"是否暖通空调用含首尾空格或全角空格",""),IF(J52="","缺少是否带进气箱",""),IF(J52="","",IF(COUNTIF(EV_YES_NO,J52)=0,"是否带进气箱不在标准枚举中","")),IF(AND(ISTEXT(J52),OR(J52&lt;&gt;TRIM(J52),ISNUMBER(SEARCH("　",J52)))),"是否带进气箱含首尾空格或全角空格",""),IF(K52="","缺少流量",""),IF(K52="","",IF(NOT(ISNUMBER(K52)),"流量应为数值",IF(K52&lt;=0,"流量应大于0",""))),IF(L52="","缺少风机压力pF",""),IF(L52="","",IF(NOT(ISNUMBER(L52)),"风机压力pF应为数值",IF(L52&lt;=0,"风机压力pF应大于0",""))),IF(M52="","缺少出口滞止压力",""),IF(M52="","",IF(NOT(ISNUMBER(M52)),"出口滞止压力应为数值",IF(M52&lt;=0,"出口滞止压力应大于0",""))),IF(N52="","缺少进口滞止压力",""),IF(N52="","",IF(NOT(ISNUMBER(N52)),"进口滞止压力应为数值",IF(N52&lt;=0,"进口滞止压力应大于0",""))),IF(O52="","缺少额定功率",""),IF(O52="","",IF(NOT(ISNUMBER(O52)),"额定功率应为数值",IF(O52&lt;=0,"额定功率应大于0",""))),IF(P52="","缺少叶轮功率",""),IF(P52="","",IF(NOT(ISNUMBER(P52)),"叶轮功率应为数值",IF(P52&lt;=0,"叶轮功率应大于0",""))),IF(Q52="","缺少转速",""),IF(Q52="","",IF(NOT(ISNUMBER(Q52)),"转速应为数值",IF(Q52&lt;=0,"转速应大于0",""))),IF(R52="","缺少机号",""),IF(R52="","",IF(NOT(ISNUMBER(R52)),"机号应为数值",IF(R52&lt;=0,"机号应大于0",""))),IF(S52="","缺少进口滞止密度",""),IF(S52="","",IF(NOT(ISNUMBER(S52)),"进口滞止密度应为数值",IF(S52&lt;=0,"进口滞止密度应大于0",""))),IF(T52="","缺少等熵指数k",""),IF(T52="","",IF(NOT(ISNUMBER(T52)),"等熵指数k应为数值",IF(OR(T52&lt;1,T52&gt;2),"等熵指数k应为1～2",""))),IF(U52="","缺少最高通风机效率ηr",""),IF(U52="","",IF(NOT(ISNUMBER(U52)),"最高通风机效率ηr应为数值",IF(OR(U52&lt;1,U52&gt;100),"最高通风机效率ηr应为1～100的百分数本值",""))),IF(AD52="","缺少铭牌照片",""),IF(AND(ISTEXT(AE52),OR(AE52&lt;&gt;TRIM(AE52),ISNUMBER(SEARCH("　",AE52)))),"填表备注含首尾空格或全角空格",""),IF(AND(H52="",F52&lt;&gt;""),"离心通风机缺少单双吸",""),IF(AND(ISNUMBER(L52),L52&gt;30000),"风机压力超过30kPa，超出通风机标准范围",""),IF(AND(F52="外转子电机直联前向多翼离心风机",G52&lt;&gt;"",G52&lt;&gt;"外转子电机直联"),"外转子前向多翼离心风机应选择外转子电机直联","")),"")</f>
        <v/>
      </c>
    </row>
    <row r="53" ht="42" customHeight="1" s="184">
      <c r="A53" s="224">
        <f>IF(COUNTA(B53,C53,D53,E53,F53,G53,H53,I53,J53,K53,L53,M53,N53,O53,P53,Q53,R53,S53,T53,U53,AD53,AE53)&gt;0,ROW()-3,"")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35" t="n"/>
      <c r="U53" s="229" t="n"/>
      <c r="V53" s="113" t="n"/>
      <c r="W53" s="236" t="n"/>
      <c r="X53" s="113" t="n"/>
      <c r="Y53" s="113" t="n"/>
      <c r="Z53" s="227" t="n"/>
      <c r="AA53" s="227" t="n"/>
      <c r="AB53" s="227" t="n"/>
      <c r="AC53" s="81" t="n"/>
      <c r="AD53" s="180" t="n"/>
      <c r="AE53" s="180" t="n"/>
      <c r="AF53" s="99">
        <f>IF(COUNTA(B53,C53,D53,E53,F53,G53,H53,I53,J53,K53,L53,M53,N53,O53,P53,Q53,R53,S53,T53,U53,AD53,AE53)&gt;0,TEXTJOIN("；",TRUE,IF(B53="","缺少设备名称",""),IF(AND(ISTEXT(B53),OR(B53&lt;&gt;TRIM(B53),ISNUMBER(SEARCH("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",E53)))),"安装位置含首尾空格或全角空格",""),IF(F53="","缺少设备类别",""),IF(F53="","",IF(COUNTIF(EV_CENTRIFUGAL_FAN_CATEGORY,F53)=0,"设备类别不在标准枚举中","")),IF(AND(ISTEXT(F53),OR(F53&lt;&gt;TRIM(F53),ISNUMBER(SEARCH("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",G53)))),"传动方式含首尾空格或全角空格",""),IF(H53="","",IF(COUNTIF(EV_SUCTION,H53)=0,"单双吸不在标准枚举中","")),IF(AND(ISTEXT(H53),OR(H53&lt;&gt;TRIM(H53),ISNUMBER(SEARCH("　",H53)))),"单双吸含首尾空格或全角空格",""),IF(I53="","缺少是否暖通空调用",""),IF(I53="","",IF(COUNTIF(EV_YES_NO,I53)=0,"是否暖通空调用不在标准枚举中","")),IF(AND(ISTEXT(I53),OR(I53&lt;&gt;TRIM(I53),ISNUMBER(SEARCH("　",I53)))),"是否暖通空调用含首尾空格或全角空格",""),IF(J53="","缺少是否带进气箱",""),IF(J53="","",IF(COUNTIF(EV_YES_NO,J53)=0,"是否带进气箱不在标准枚举中","")),IF(AND(ISTEXT(J53),OR(J53&lt;&gt;TRIM(J53),ISNUMBER(SEARCH("　",J53)))),"是否带进气箱含首尾空格或全角空格",""),IF(K53="","缺少流量",""),IF(K53="","",IF(NOT(ISNUMBER(K53)),"流量应为数值",IF(K53&lt;=0,"流量应大于0",""))),IF(L53="","缺少风机压力pF",""),IF(L53="","",IF(NOT(ISNUMBER(L53)),"风机压力pF应为数值",IF(L53&lt;=0,"风机压力pF应大于0",""))),IF(M53="","缺少出口滞止压力",""),IF(M53="","",IF(NOT(ISNUMBER(M53)),"出口滞止压力应为数值",IF(M53&lt;=0,"出口滞止压力应大于0",""))),IF(N53="","缺少进口滞止压力",""),IF(N53="","",IF(NOT(ISNUMBER(N53)),"进口滞止压力应为数值",IF(N53&lt;=0,"进口滞止压力应大于0",""))),IF(O53="","缺少额定功率",""),IF(O53="","",IF(NOT(ISNUMBER(O53)),"额定功率应为数值",IF(O53&lt;=0,"额定功率应大于0",""))),IF(P53="","缺少叶轮功率",""),IF(P53="","",IF(NOT(ISNUMBER(P53)),"叶轮功率应为数值",IF(P53&lt;=0,"叶轮功率应大于0",""))),IF(Q53="","缺少转速",""),IF(Q53="","",IF(NOT(ISNUMBER(Q53)),"转速应为数值",IF(Q53&lt;=0,"转速应大于0",""))),IF(R53="","缺少机号",""),IF(R53="","",IF(NOT(ISNUMBER(R53)),"机号应为数值",IF(R53&lt;=0,"机号应大于0",""))),IF(S53="","缺少进口滞止密度",""),IF(S53="","",IF(NOT(ISNUMBER(S53)),"进口滞止密度应为数值",IF(S53&lt;=0,"进口滞止密度应大于0",""))),IF(T53="","缺少等熵指数k",""),IF(T53="","",IF(NOT(ISNUMBER(T53)),"等熵指数k应为数值",IF(OR(T53&lt;1,T53&gt;2),"等熵指数k应为1～2",""))),IF(U53="","缺少最高通风机效率ηr",""),IF(U53="","",IF(NOT(ISNUMBER(U53)),"最高通风机效率ηr应为数值",IF(OR(U53&lt;1,U53&gt;100),"最高通风机效率ηr应为1～100的百分数本值",""))),IF(AD53="","缺少铭牌照片",""),IF(AND(ISTEXT(AE53),OR(AE53&lt;&gt;TRIM(AE53),ISNUMBER(SEARCH("　",AE53)))),"填表备注含首尾空格或全角空格",""),IF(AND(H53="",F53&lt;&gt;""),"离心通风机缺少单双吸",""),IF(AND(ISNUMBER(L53),L53&gt;30000),"风机压力超过30kPa，超出通风机标准范围",""),IF(AND(F53="外转子电机直联前向多翼离心风机",G53&lt;&gt;"",G53&lt;&gt;"外转子电机直联"),"外转子前向多翼离心风机应选择外转子电机直联","")),"")</f>
        <v/>
      </c>
    </row>
    <row r="54" ht="42" customHeight="1" s="184">
      <c r="A54" s="224">
        <f>IF(COUNTA(B54,C54,D54,E54,F54,G54,H54,I54,J54,K54,L54,M54,N54,O54,P54,Q54,R54,S54,T54,U54,AD54,AE54)&gt;0,ROW()-3,"")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29" t="n"/>
      <c r="L54" s="229" t="n"/>
      <c r="M54" s="229" t="n"/>
      <c r="N54" s="229" t="n"/>
      <c r="O54" s="229" t="n"/>
      <c r="P54" s="229" t="n"/>
      <c r="Q54" s="229" t="n"/>
      <c r="R54" s="229" t="n"/>
      <c r="S54" s="229" t="n"/>
      <c r="T54" s="235" t="n"/>
      <c r="U54" s="229" t="n"/>
      <c r="V54" s="113" t="n"/>
      <c r="W54" s="236" t="n"/>
      <c r="X54" s="113" t="n"/>
      <c r="Y54" s="113" t="n"/>
      <c r="Z54" s="227" t="n"/>
      <c r="AA54" s="227" t="n"/>
      <c r="AB54" s="227" t="n"/>
      <c r="AC54" s="81" t="n"/>
      <c r="AD54" s="180" t="n"/>
      <c r="AE54" s="180" t="n"/>
      <c r="AF54" s="99">
        <f>IF(COUNTA(B54,C54,D54,E54,F54,G54,H54,I54,J54,K54,L54,M54,N54,O54,P54,Q54,R54,S54,T54,U54,AD54,AE54)&gt;0,TEXTJOIN("；",TRUE,IF(B54="","缺少设备名称",""),IF(AND(ISTEXT(B54),OR(B54&lt;&gt;TRIM(B54),ISNUMBER(SEARCH("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",E54)))),"安装位置含首尾空格或全角空格",""),IF(F54="","缺少设备类别",""),IF(F54="","",IF(COUNTIF(EV_CENTRIFUGAL_FAN_CATEGORY,F54)=0,"设备类别不在标准枚举中","")),IF(AND(ISTEXT(F54),OR(F54&lt;&gt;TRIM(F54),ISNUMBER(SEARCH("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",G54)))),"传动方式含首尾空格或全角空格",""),IF(H54="","",IF(COUNTIF(EV_SUCTION,H54)=0,"单双吸不在标准枚举中","")),IF(AND(ISTEXT(H54),OR(H54&lt;&gt;TRIM(H54),ISNUMBER(SEARCH("　",H54)))),"单双吸含首尾空格或全角空格",""),IF(I54="","缺少是否暖通空调用",""),IF(I54="","",IF(COUNTIF(EV_YES_NO,I54)=0,"是否暖通空调用不在标准枚举中","")),IF(AND(ISTEXT(I54),OR(I54&lt;&gt;TRIM(I54),ISNUMBER(SEARCH("　",I54)))),"是否暖通空调用含首尾空格或全角空格",""),IF(J54="","缺少是否带进气箱",""),IF(J54="","",IF(COUNTIF(EV_YES_NO,J54)=0,"是否带进气箱不在标准枚举中","")),IF(AND(ISTEXT(J54),OR(J54&lt;&gt;TRIM(J54),ISNUMBER(SEARCH("　",J54)))),"是否带进气箱含首尾空格或全角空格",""),IF(K54="","缺少流量",""),IF(K54="","",IF(NOT(ISNUMBER(K54)),"流量应为数值",IF(K54&lt;=0,"流量应大于0",""))),IF(L54="","缺少风机压力pF",""),IF(L54="","",IF(NOT(ISNUMBER(L54)),"风机压力pF应为数值",IF(L54&lt;=0,"风机压力pF应大于0",""))),IF(M54="","缺少出口滞止压力",""),IF(M54="","",IF(NOT(ISNUMBER(M54)),"出口滞止压力应为数值",IF(M54&lt;=0,"出口滞止压力应大于0",""))),IF(N54="","缺少进口滞止压力",""),IF(N54="","",IF(NOT(ISNUMBER(N54)),"进口滞止压力应为数值",IF(N54&lt;=0,"进口滞止压力应大于0",""))),IF(O54="","缺少额定功率",""),IF(O54="","",IF(NOT(ISNUMBER(O54)),"额定功率应为数值",IF(O54&lt;=0,"额定功率应大于0",""))),IF(P54="","缺少叶轮功率",""),IF(P54="","",IF(NOT(ISNUMBER(P54)),"叶轮功率应为数值",IF(P54&lt;=0,"叶轮功率应大于0",""))),IF(Q54="","缺少转速",""),IF(Q54="","",IF(NOT(ISNUMBER(Q54)),"转速应为数值",IF(Q54&lt;=0,"转速应大于0",""))),IF(R54="","缺少机号",""),IF(R54="","",IF(NOT(ISNUMBER(R54)),"机号应为数值",IF(R54&lt;=0,"机号应大于0",""))),IF(S54="","缺少进口滞止密度",""),IF(S54="","",IF(NOT(ISNUMBER(S54)),"进口滞止密度应为数值",IF(S54&lt;=0,"进口滞止密度应大于0",""))),IF(T54="","缺少等熵指数k",""),IF(T54="","",IF(NOT(ISNUMBER(T54)),"等熵指数k应为数值",IF(OR(T54&lt;1,T54&gt;2),"等熵指数k应为1～2",""))),IF(U54="","缺少最高通风机效率ηr",""),IF(U54="","",IF(NOT(ISNUMBER(U54)),"最高通风机效率ηr应为数值",IF(OR(U54&lt;1,U54&gt;100),"最高通风机效率ηr应为1～100的百分数本值",""))),IF(AD54="","缺少铭牌照片",""),IF(AND(ISTEXT(AE54),OR(AE54&lt;&gt;TRIM(AE54),ISNUMBER(SEARCH("　",AE54)))),"填表备注含首尾空格或全角空格",""),IF(AND(H54="",F54&lt;&gt;""),"离心通风机缺少单双吸",""),IF(AND(ISNUMBER(L54),L54&gt;30000),"风机压力超过30kPa，超出通风机标准范围",""),IF(AND(F54="外转子电机直联前向多翼离心风机",G54&lt;&gt;"",G54&lt;&gt;"外转子电机直联"),"外转子前向多翼离心风机应选择外转子电机直联","")),"")</f>
        <v/>
      </c>
    </row>
    <row r="55" ht="42" customHeight="1" s="184">
      <c r="A55" s="224">
        <f>IF(COUNTA(B55,C55,D55,E55,F55,G55,H55,I55,J55,K55,L55,M55,N55,O55,P55,Q55,R55,S55,T55,U55,AD55,AE55)&gt;0,ROW()-3,"")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35" t="n"/>
      <c r="U55" s="229" t="n"/>
      <c r="V55" s="113" t="n"/>
      <c r="W55" s="236" t="n"/>
      <c r="X55" s="113" t="n"/>
      <c r="Y55" s="113" t="n"/>
      <c r="Z55" s="227" t="n"/>
      <c r="AA55" s="227" t="n"/>
      <c r="AB55" s="227" t="n"/>
      <c r="AC55" s="81" t="n"/>
      <c r="AD55" s="180" t="n"/>
      <c r="AE55" s="180" t="n"/>
      <c r="AF55" s="99">
        <f>IF(COUNTA(B55,C55,D55,E55,F55,G55,H55,I55,J55,K55,L55,M55,N55,O55,P55,Q55,R55,S55,T55,U55,AD55,AE55)&gt;0,TEXTJOIN("；",TRUE,IF(B55="","缺少设备名称",""),IF(AND(ISTEXT(B55),OR(B55&lt;&gt;TRIM(B55),ISNUMBER(SEARCH("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",E55)))),"安装位置含首尾空格或全角空格",""),IF(F55="","缺少设备类别",""),IF(F55="","",IF(COUNTIF(EV_CENTRIFUGAL_FAN_CATEGORY,F55)=0,"设备类别不在标准枚举中","")),IF(AND(ISTEXT(F55),OR(F55&lt;&gt;TRIM(F55),ISNUMBER(SEARCH("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",G55)))),"传动方式含首尾空格或全角空格",""),IF(H55="","",IF(COUNTIF(EV_SUCTION,H55)=0,"单双吸不在标准枚举中","")),IF(AND(ISTEXT(H55),OR(H55&lt;&gt;TRIM(H55),ISNUMBER(SEARCH("　",H55)))),"单双吸含首尾空格或全角空格",""),IF(I55="","缺少是否暖通空调用",""),IF(I55="","",IF(COUNTIF(EV_YES_NO,I55)=0,"是否暖通空调用不在标准枚举中","")),IF(AND(ISTEXT(I55),OR(I55&lt;&gt;TRIM(I55),ISNUMBER(SEARCH("　",I55)))),"是否暖通空调用含首尾空格或全角空格",""),IF(J55="","缺少是否带进气箱",""),IF(J55="","",IF(COUNTIF(EV_YES_NO,J55)=0,"是否带进气箱不在标准枚举中","")),IF(AND(ISTEXT(J55),OR(J55&lt;&gt;TRIM(J55),ISNUMBER(SEARCH("　",J55)))),"是否带进气箱含首尾空格或全角空格",""),IF(K55="","缺少流量",""),IF(K55="","",IF(NOT(ISNUMBER(K55)),"流量应为数值",IF(K55&lt;=0,"流量应大于0",""))),IF(L55="","缺少风机压力pF",""),IF(L55="","",IF(NOT(ISNUMBER(L55)),"风机压力pF应为数值",IF(L55&lt;=0,"风机压力pF应大于0",""))),IF(M55="","缺少出口滞止压力",""),IF(M55="","",IF(NOT(ISNUMBER(M55)),"出口滞止压力应为数值",IF(M55&lt;=0,"出口滞止压力应大于0",""))),IF(N55="","缺少进口滞止压力",""),IF(N55="","",IF(NOT(ISNUMBER(N55)),"进口滞止压力应为数值",IF(N55&lt;=0,"进口滞止压力应大于0",""))),IF(O55="","缺少额定功率",""),IF(O55="","",IF(NOT(ISNUMBER(O55)),"额定功率应为数值",IF(O55&lt;=0,"额定功率应大于0",""))),IF(P55="","缺少叶轮功率",""),IF(P55="","",IF(NOT(ISNUMBER(P55)),"叶轮功率应为数值",IF(P55&lt;=0,"叶轮功率应大于0",""))),IF(Q55="","缺少转速",""),IF(Q55="","",IF(NOT(ISNUMBER(Q55)),"转速应为数值",IF(Q55&lt;=0,"转速应大于0",""))),IF(R55="","缺少机号",""),IF(R55="","",IF(NOT(ISNUMBER(R55)),"机号应为数值",IF(R55&lt;=0,"机号应大于0",""))),IF(S55="","缺少进口滞止密度",""),IF(S55="","",IF(NOT(ISNUMBER(S55)),"进口滞止密度应为数值",IF(S55&lt;=0,"进口滞止密度应大于0",""))),IF(T55="","缺少等熵指数k",""),IF(T55="","",IF(NOT(ISNUMBER(T55)),"等熵指数k应为数值",IF(OR(T55&lt;1,T55&gt;2),"等熵指数k应为1～2",""))),IF(U55="","缺少最高通风机效率ηr",""),IF(U55="","",IF(NOT(ISNUMBER(U55)),"最高通风机效率ηr应为数值",IF(OR(U55&lt;1,U55&gt;100),"最高通风机效率ηr应为1～100的百分数本值",""))),IF(AD55="","缺少铭牌照片",""),IF(AND(ISTEXT(AE55),OR(AE55&lt;&gt;TRIM(AE55),ISNUMBER(SEARCH("　",AE55)))),"填表备注含首尾空格或全角空格",""),IF(AND(H55="",F55&lt;&gt;""),"离心通风机缺少单双吸",""),IF(AND(ISNUMBER(L55),L55&gt;30000),"风机压力超过30kPa，超出通风机标准范围",""),IF(AND(F55="外转子电机直联前向多翼离心风机",G55&lt;&gt;"",G55&lt;&gt;"外转子电机直联"),"外转子前向多翼离心风机应选择外转子电机直联","")),"")</f>
        <v/>
      </c>
    </row>
    <row r="56" ht="42" customHeight="1" s="184">
      <c r="A56" s="224">
        <f>IF(COUNTA(B56,C56,D56,E56,F56,G56,H56,I56,J56,K56,L56,M56,N56,O56,P56,Q56,R56,S56,T56,U56,AD56,AE56)&gt;0,ROW()-3,"")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29" t="n"/>
      <c r="L56" s="229" t="n"/>
      <c r="M56" s="229" t="n"/>
      <c r="N56" s="229" t="n"/>
      <c r="O56" s="229" t="n"/>
      <c r="P56" s="229" t="n"/>
      <c r="Q56" s="229" t="n"/>
      <c r="R56" s="229" t="n"/>
      <c r="S56" s="229" t="n"/>
      <c r="T56" s="235" t="n"/>
      <c r="U56" s="229" t="n"/>
      <c r="V56" s="113" t="n"/>
      <c r="W56" s="236" t="n"/>
      <c r="X56" s="113" t="n"/>
      <c r="Y56" s="113" t="n"/>
      <c r="Z56" s="227" t="n"/>
      <c r="AA56" s="227" t="n"/>
      <c r="AB56" s="227" t="n"/>
      <c r="AC56" s="81" t="n"/>
      <c r="AD56" s="180" t="n"/>
      <c r="AE56" s="180" t="n"/>
      <c r="AF56" s="99">
        <f>IF(COUNTA(B56,C56,D56,E56,F56,G56,H56,I56,J56,K56,L56,M56,N56,O56,P56,Q56,R56,S56,T56,U56,AD56,AE56)&gt;0,TEXTJOIN("；",TRUE,IF(B56="","缺少设备名称",""),IF(AND(ISTEXT(B56),OR(B56&lt;&gt;TRIM(B56),ISNUMBER(SEARCH("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",E56)))),"安装位置含首尾空格或全角空格",""),IF(F56="","缺少设备类别",""),IF(F56="","",IF(COUNTIF(EV_CENTRIFUGAL_FAN_CATEGORY,F56)=0,"设备类别不在标准枚举中","")),IF(AND(ISTEXT(F56),OR(F56&lt;&gt;TRIM(F56),ISNUMBER(SEARCH("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",G56)))),"传动方式含首尾空格或全角空格",""),IF(H56="","",IF(COUNTIF(EV_SUCTION,H56)=0,"单双吸不在标准枚举中","")),IF(AND(ISTEXT(H56),OR(H56&lt;&gt;TRIM(H56),ISNUMBER(SEARCH("　",H56)))),"单双吸含首尾空格或全角空格",""),IF(I56="","缺少是否暖通空调用",""),IF(I56="","",IF(COUNTIF(EV_YES_NO,I56)=0,"是否暖通空调用不在标准枚举中","")),IF(AND(ISTEXT(I56),OR(I56&lt;&gt;TRIM(I56),ISNUMBER(SEARCH("　",I56)))),"是否暖通空调用含首尾空格或全角空格",""),IF(J56="","缺少是否带进气箱",""),IF(J56="","",IF(COUNTIF(EV_YES_NO,J56)=0,"是否带进气箱不在标准枚举中","")),IF(AND(ISTEXT(J56),OR(J56&lt;&gt;TRIM(J56),ISNUMBER(SEARCH("　",J56)))),"是否带进气箱含首尾空格或全角空格",""),IF(K56="","缺少流量",""),IF(K56="","",IF(NOT(ISNUMBER(K56)),"流量应为数值",IF(K56&lt;=0,"流量应大于0",""))),IF(L56="","缺少风机压力pF",""),IF(L56="","",IF(NOT(ISNUMBER(L56)),"风机压力pF应为数值",IF(L56&lt;=0,"风机压力pF应大于0",""))),IF(M56="","缺少出口滞止压力",""),IF(M56="","",IF(NOT(ISNUMBER(M56)),"出口滞止压力应为数值",IF(M56&lt;=0,"出口滞止压力应大于0",""))),IF(N56="","缺少进口滞止压力",""),IF(N56="","",IF(NOT(ISNUMBER(N56)),"进口滞止压力应为数值",IF(N56&lt;=0,"进口滞止压力应大于0",""))),IF(O56="","缺少额定功率",""),IF(O56="","",IF(NOT(ISNUMBER(O56)),"额定功率应为数值",IF(O56&lt;=0,"额定功率应大于0",""))),IF(P56="","缺少叶轮功率",""),IF(P56="","",IF(NOT(ISNUMBER(P56)),"叶轮功率应为数值",IF(P56&lt;=0,"叶轮功率应大于0",""))),IF(Q56="","缺少转速",""),IF(Q56="","",IF(NOT(ISNUMBER(Q56)),"转速应为数值",IF(Q56&lt;=0,"转速应大于0",""))),IF(R56="","缺少机号",""),IF(R56="","",IF(NOT(ISNUMBER(R56)),"机号应为数值",IF(R56&lt;=0,"机号应大于0",""))),IF(S56="","缺少进口滞止密度",""),IF(S56="","",IF(NOT(ISNUMBER(S56)),"进口滞止密度应为数值",IF(S56&lt;=0,"进口滞止密度应大于0",""))),IF(T56="","缺少等熵指数k",""),IF(T56="","",IF(NOT(ISNUMBER(T56)),"等熵指数k应为数值",IF(OR(T56&lt;1,T56&gt;2),"等熵指数k应为1～2",""))),IF(U56="","缺少最高通风机效率ηr",""),IF(U56="","",IF(NOT(ISNUMBER(U56)),"最高通风机效率ηr应为数值",IF(OR(U56&lt;1,U56&gt;100),"最高通风机效率ηr应为1～100的百分数本值",""))),IF(AD56="","缺少铭牌照片",""),IF(AND(ISTEXT(AE56),OR(AE56&lt;&gt;TRIM(AE56),ISNUMBER(SEARCH("　",AE56)))),"填表备注含首尾空格或全角空格",""),IF(AND(H56="",F56&lt;&gt;""),"离心通风机缺少单双吸",""),IF(AND(ISNUMBER(L56),L56&gt;30000),"风机压力超过30kPa，超出通风机标准范围",""),IF(AND(F56="外转子电机直联前向多翼离心风机",G56&lt;&gt;"",G56&lt;&gt;"外转子电机直联"),"外转子前向多翼离心风机应选择外转子电机直联","")),"")</f>
        <v/>
      </c>
    </row>
    <row r="57" ht="42" customHeight="1" s="184">
      <c r="A57" s="224">
        <f>IF(COUNTA(B57,C57,D57,E57,F57,G57,H57,I57,J57,K57,L57,M57,N57,O57,P57,Q57,R57,S57,T57,U57,AD57,AE57)&gt;0,ROW()-3,"")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35" t="n"/>
      <c r="U57" s="229" t="n"/>
      <c r="V57" s="113" t="n"/>
      <c r="W57" s="236" t="n"/>
      <c r="X57" s="113" t="n"/>
      <c r="Y57" s="113" t="n"/>
      <c r="Z57" s="227" t="n"/>
      <c r="AA57" s="227" t="n"/>
      <c r="AB57" s="227" t="n"/>
      <c r="AC57" s="81" t="n"/>
      <c r="AD57" s="180" t="n"/>
      <c r="AE57" s="180" t="n"/>
      <c r="AF57" s="99">
        <f>IF(COUNTA(B57,C57,D57,E57,F57,G57,H57,I57,J57,K57,L57,M57,N57,O57,P57,Q57,R57,S57,T57,U57,AD57,AE57)&gt;0,TEXTJOIN("；",TRUE,IF(B57="","缺少设备名称",""),IF(AND(ISTEXT(B57),OR(B57&lt;&gt;TRIM(B57),ISNUMBER(SEARCH("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",E57)))),"安装位置含首尾空格或全角空格",""),IF(F57="","缺少设备类别",""),IF(F57="","",IF(COUNTIF(EV_CENTRIFUGAL_FAN_CATEGORY,F57)=0,"设备类别不在标准枚举中","")),IF(AND(ISTEXT(F57),OR(F57&lt;&gt;TRIM(F57),ISNUMBER(SEARCH("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",G57)))),"传动方式含首尾空格或全角空格",""),IF(H57="","",IF(COUNTIF(EV_SUCTION,H57)=0,"单双吸不在标准枚举中","")),IF(AND(ISTEXT(H57),OR(H57&lt;&gt;TRIM(H57),ISNUMBER(SEARCH("　",H57)))),"单双吸含首尾空格或全角空格",""),IF(I57="","缺少是否暖通空调用",""),IF(I57="","",IF(COUNTIF(EV_YES_NO,I57)=0,"是否暖通空调用不在标准枚举中","")),IF(AND(ISTEXT(I57),OR(I57&lt;&gt;TRIM(I57),ISNUMBER(SEARCH("　",I57)))),"是否暖通空调用含首尾空格或全角空格",""),IF(J57="","缺少是否带进气箱",""),IF(J57="","",IF(COUNTIF(EV_YES_NO,J57)=0,"是否带进气箱不在标准枚举中","")),IF(AND(ISTEXT(J57),OR(J57&lt;&gt;TRIM(J57),ISNUMBER(SEARCH("　",J57)))),"是否带进气箱含首尾空格或全角空格",""),IF(K57="","缺少流量",""),IF(K57="","",IF(NOT(ISNUMBER(K57)),"流量应为数值",IF(K57&lt;=0,"流量应大于0",""))),IF(L57="","缺少风机压力pF",""),IF(L57="","",IF(NOT(ISNUMBER(L57)),"风机压力pF应为数值",IF(L57&lt;=0,"风机压力pF应大于0",""))),IF(M57="","缺少出口滞止压力",""),IF(M57="","",IF(NOT(ISNUMBER(M57)),"出口滞止压力应为数值",IF(M57&lt;=0,"出口滞止压力应大于0",""))),IF(N57="","缺少进口滞止压力",""),IF(N57="","",IF(NOT(ISNUMBER(N57)),"进口滞止压力应为数值",IF(N57&lt;=0,"进口滞止压力应大于0",""))),IF(O57="","缺少额定功率",""),IF(O57="","",IF(NOT(ISNUMBER(O57)),"额定功率应为数值",IF(O57&lt;=0,"额定功率应大于0",""))),IF(P57="","缺少叶轮功率",""),IF(P57="","",IF(NOT(ISNUMBER(P57)),"叶轮功率应为数值",IF(P57&lt;=0,"叶轮功率应大于0",""))),IF(Q57="","缺少转速",""),IF(Q57="","",IF(NOT(ISNUMBER(Q57)),"转速应为数值",IF(Q57&lt;=0,"转速应大于0",""))),IF(R57="","缺少机号",""),IF(R57="","",IF(NOT(ISNUMBER(R57)),"机号应为数值",IF(R57&lt;=0,"机号应大于0",""))),IF(S57="","缺少进口滞止密度",""),IF(S57="","",IF(NOT(ISNUMBER(S57)),"进口滞止密度应为数值",IF(S57&lt;=0,"进口滞止密度应大于0",""))),IF(T57="","缺少等熵指数k",""),IF(T57="","",IF(NOT(ISNUMBER(T57)),"等熵指数k应为数值",IF(OR(T57&lt;1,T57&gt;2),"等熵指数k应为1～2",""))),IF(U57="","缺少最高通风机效率ηr",""),IF(U57="","",IF(NOT(ISNUMBER(U57)),"最高通风机效率ηr应为数值",IF(OR(U57&lt;1,U57&gt;100),"最高通风机效率ηr应为1～100的百分数本值",""))),IF(AD57="","缺少铭牌照片",""),IF(AND(ISTEXT(AE57),OR(AE57&lt;&gt;TRIM(AE57),ISNUMBER(SEARCH("　",AE57)))),"填表备注含首尾空格或全角空格",""),IF(AND(H57="",F57&lt;&gt;""),"离心通风机缺少单双吸",""),IF(AND(ISNUMBER(L57),L57&gt;30000),"风机压力超过30kPa，超出通风机标准范围",""),IF(AND(F57="外转子电机直联前向多翼离心风机",G57&lt;&gt;"",G57&lt;&gt;"外转子电机直联"),"外转子前向多翼离心风机应选择外转子电机直联","")),"")</f>
        <v/>
      </c>
    </row>
    <row r="58" ht="42" customHeight="1" s="184">
      <c r="A58" s="224">
        <f>IF(COUNTA(B58,C58,D58,E58,F58,G58,H58,I58,J58,K58,L58,M58,N58,O58,P58,Q58,R58,S58,T58,U58,AD58,AE58)&gt;0,ROW()-3,"")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35" t="n"/>
      <c r="U58" s="229" t="n"/>
      <c r="V58" s="113" t="n"/>
      <c r="W58" s="236" t="n"/>
      <c r="X58" s="113" t="n"/>
      <c r="Y58" s="113" t="n"/>
      <c r="Z58" s="227" t="n"/>
      <c r="AA58" s="227" t="n"/>
      <c r="AB58" s="227" t="n"/>
      <c r="AC58" s="81" t="n"/>
      <c r="AD58" s="180" t="n"/>
      <c r="AE58" s="180" t="n"/>
      <c r="AF58" s="99">
        <f>IF(COUNTA(B58,C58,D58,E58,F58,G58,H58,I58,J58,K58,L58,M58,N58,O58,P58,Q58,R58,S58,T58,U58,AD58,AE58)&gt;0,TEXTJOIN("；",TRUE,IF(B58="","缺少设备名称",""),IF(AND(ISTEXT(B58),OR(B58&lt;&gt;TRIM(B58),ISNUMBER(SEARCH("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",E58)))),"安装位置含首尾空格或全角空格",""),IF(F58="","缺少设备类别",""),IF(F58="","",IF(COUNTIF(EV_CENTRIFUGAL_FAN_CATEGORY,F58)=0,"设备类别不在标准枚举中","")),IF(AND(ISTEXT(F58),OR(F58&lt;&gt;TRIM(F58),ISNUMBER(SEARCH("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",G58)))),"传动方式含首尾空格或全角空格",""),IF(H58="","",IF(COUNTIF(EV_SUCTION,H58)=0,"单双吸不在标准枚举中","")),IF(AND(ISTEXT(H58),OR(H58&lt;&gt;TRIM(H58),ISNUMBER(SEARCH("　",H58)))),"单双吸含首尾空格或全角空格",""),IF(I58="","缺少是否暖通空调用",""),IF(I58="","",IF(COUNTIF(EV_YES_NO,I58)=0,"是否暖通空调用不在标准枚举中","")),IF(AND(ISTEXT(I58),OR(I58&lt;&gt;TRIM(I58),ISNUMBER(SEARCH("　",I58)))),"是否暖通空调用含首尾空格或全角空格",""),IF(J58="","缺少是否带进气箱",""),IF(J58="","",IF(COUNTIF(EV_YES_NO,J58)=0,"是否带进气箱不在标准枚举中","")),IF(AND(ISTEXT(J58),OR(J58&lt;&gt;TRIM(J58),ISNUMBER(SEARCH("　",J58)))),"是否带进气箱含首尾空格或全角空格",""),IF(K58="","缺少流量",""),IF(K58="","",IF(NOT(ISNUMBER(K58)),"流量应为数值",IF(K58&lt;=0,"流量应大于0",""))),IF(L58="","缺少风机压力pF",""),IF(L58="","",IF(NOT(ISNUMBER(L58)),"风机压力pF应为数值",IF(L58&lt;=0,"风机压力pF应大于0",""))),IF(M58="","缺少出口滞止压力",""),IF(M58="","",IF(NOT(ISNUMBER(M58)),"出口滞止压力应为数值",IF(M58&lt;=0,"出口滞止压力应大于0",""))),IF(N58="","缺少进口滞止压力",""),IF(N58="","",IF(NOT(ISNUMBER(N58)),"进口滞止压力应为数值",IF(N58&lt;=0,"进口滞止压力应大于0",""))),IF(O58="","缺少额定功率",""),IF(O58="","",IF(NOT(ISNUMBER(O58)),"额定功率应为数值",IF(O58&lt;=0,"额定功率应大于0",""))),IF(P58="","缺少叶轮功率",""),IF(P58="","",IF(NOT(ISNUMBER(P58)),"叶轮功率应为数值",IF(P58&lt;=0,"叶轮功率应大于0",""))),IF(Q58="","缺少转速",""),IF(Q58="","",IF(NOT(ISNUMBER(Q58)),"转速应为数值",IF(Q58&lt;=0,"转速应大于0",""))),IF(R58="","缺少机号",""),IF(R58="","",IF(NOT(ISNUMBER(R58)),"机号应为数值",IF(R58&lt;=0,"机号应大于0",""))),IF(S58="","缺少进口滞止密度",""),IF(S58="","",IF(NOT(ISNUMBER(S58)),"进口滞止密度应为数值",IF(S58&lt;=0,"进口滞止密度应大于0",""))),IF(T58="","缺少等熵指数k",""),IF(T58="","",IF(NOT(ISNUMBER(T58)),"等熵指数k应为数值",IF(OR(T58&lt;1,T58&gt;2),"等熵指数k应为1～2",""))),IF(U58="","缺少最高通风机效率ηr",""),IF(U58="","",IF(NOT(ISNUMBER(U58)),"最高通风机效率ηr应为数值",IF(OR(U58&lt;1,U58&gt;100),"最高通风机效率ηr应为1～100的百分数本值",""))),IF(AD58="","缺少铭牌照片",""),IF(AND(ISTEXT(AE58),OR(AE58&lt;&gt;TRIM(AE58),ISNUMBER(SEARCH("　",AE58)))),"填表备注含首尾空格或全角空格",""),IF(AND(H58="",F58&lt;&gt;""),"离心通风机缺少单双吸",""),IF(AND(ISNUMBER(L58),L58&gt;30000),"风机压力超过30kPa，超出通风机标准范围",""),IF(AND(F58="外转子电机直联前向多翼离心风机",G58&lt;&gt;"",G58&lt;&gt;"外转子电机直联"),"外转子前向多翼离心风机应选择外转子电机直联","")),"")</f>
        <v/>
      </c>
    </row>
    <row r="59" ht="42" customHeight="1" s="184">
      <c r="A59" s="224">
        <f>IF(COUNTA(B59,C59,D59,E59,F59,G59,H59,I59,J59,K59,L59,M59,N59,O59,P59,Q59,R59,S59,T59,U59,AD59,AE59)&gt;0,ROW()-3,"")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35" t="n"/>
      <c r="U59" s="229" t="n"/>
      <c r="V59" s="113" t="n"/>
      <c r="W59" s="236" t="n"/>
      <c r="X59" s="113" t="n"/>
      <c r="Y59" s="113" t="n"/>
      <c r="Z59" s="227" t="n"/>
      <c r="AA59" s="227" t="n"/>
      <c r="AB59" s="227" t="n"/>
      <c r="AC59" s="81" t="n"/>
      <c r="AD59" s="180" t="n"/>
      <c r="AE59" s="180" t="n"/>
      <c r="AF59" s="99">
        <f>IF(COUNTA(B59,C59,D59,E59,F59,G59,H59,I59,J59,K59,L59,M59,N59,O59,P59,Q59,R59,S59,T59,U59,AD59,AE59)&gt;0,TEXTJOIN("；",TRUE,IF(B59="","缺少设备名称",""),IF(AND(ISTEXT(B59),OR(B59&lt;&gt;TRIM(B59),ISNUMBER(SEARCH("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",E59)))),"安装位置含首尾空格或全角空格",""),IF(F59="","缺少设备类别",""),IF(F59="","",IF(COUNTIF(EV_CENTRIFUGAL_FAN_CATEGORY,F59)=0,"设备类别不在标准枚举中","")),IF(AND(ISTEXT(F59),OR(F59&lt;&gt;TRIM(F59),ISNUMBER(SEARCH("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",G59)))),"传动方式含首尾空格或全角空格",""),IF(H59="","",IF(COUNTIF(EV_SUCTION,H59)=0,"单双吸不在标准枚举中","")),IF(AND(ISTEXT(H59),OR(H59&lt;&gt;TRIM(H59),ISNUMBER(SEARCH("　",H59)))),"单双吸含首尾空格或全角空格",""),IF(I59="","缺少是否暖通空调用",""),IF(I59="","",IF(COUNTIF(EV_YES_NO,I59)=0,"是否暖通空调用不在标准枚举中","")),IF(AND(ISTEXT(I59),OR(I59&lt;&gt;TRIM(I59),ISNUMBER(SEARCH("　",I59)))),"是否暖通空调用含首尾空格或全角空格",""),IF(J59="","缺少是否带进气箱",""),IF(J59="","",IF(COUNTIF(EV_YES_NO,J59)=0,"是否带进气箱不在标准枚举中","")),IF(AND(ISTEXT(J59),OR(J59&lt;&gt;TRIM(J59),ISNUMBER(SEARCH("　",J59)))),"是否带进气箱含首尾空格或全角空格",""),IF(K59="","缺少流量",""),IF(K59="","",IF(NOT(ISNUMBER(K59)),"流量应为数值",IF(K59&lt;=0,"流量应大于0",""))),IF(L59="","缺少风机压力pF",""),IF(L59="","",IF(NOT(ISNUMBER(L59)),"风机压力pF应为数值",IF(L59&lt;=0,"风机压力pF应大于0",""))),IF(M59="","缺少出口滞止压力",""),IF(M59="","",IF(NOT(ISNUMBER(M59)),"出口滞止压力应为数值",IF(M59&lt;=0,"出口滞止压力应大于0",""))),IF(N59="","缺少进口滞止压力",""),IF(N59="","",IF(NOT(ISNUMBER(N59)),"进口滞止压力应为数值",IF(N59&lt;=0,"进口滞止压力应大于0",""))),IF(O59="","缺少额定功率",""),IF(O59="","",IF(NOT(ISNUMBER(O59)),"额定功率应为数值",IF(O59&lt;=0,"额定功率应大于0",""))),IF(P59="","缺少叶轮功率",""),IF(P59="","",IF(NOT(ISNUMBER(P59)),"叶轮功率应为数值",IF(P59&lt;=0,"叶轮功率应大于0",""))),IF(Q59="","缺少转速",""),IF(Q59="","",IF(NOT(ISNUMBER(Q59)),"转速应为数值",IF(Q59&lt;=0,"转速应大于0",""))),IF(R59="","缺少机号",""),IF(R59="","",IF(NOT(ISNUMBER(R59)),"机号应为数值",IF(R59&lt;=0,"机号应大于0",""))),IF(S59="","缺少进口滞止密度",""),IF(S59="","",IF(NOT(ISNUMBER(S59)),"进口滞止密度应为数值",IF(S59&lt;=0,"进口滞止密度应大于0",""))),IF(T59="","缺少等熵指数k",""),IF(T59="","",IF(NOT(ISNUMBER(T59)),"等熵指数k应为数值",IF(OR(T59&lt;1,T59&gt;2),"等熵指数k应为1～2",""))),IF(U59="","缺少最高通风机效率ηr",""),IF(U59="","",IF(NOT(ISNUMBER(U59)),"最高通风机效率ηr应为数值",IF(OR(U59&lt;1,U59&gt;100),"最高通风机效率ηr应为1～100的百分数本值",""))),IF(AD59="","缺少铭牌照片",""),IF(AND(ISTEXT(AE59),OR(AE59&lt;&gt;TRIM(AE59),ISNUMBER(SEARCH("　",AE59)))),"填表备注含首尾空格或全角空格",""),IF(AND(H59="",F59&lt;&gt;""),"离心通风机缺少单双吸",""),IF(AND(ISNUMBER(L59),L59&gt;30000),"风机压力超过30kPa，超出通风机标准范围",""),IF(AND(F59="外转子电机直联前向多翼离心风机",G59&lt;&gt;"",G59&lt;&gt;"外转子电机直联"),"外转子前向多翼离心风机应选择外转子电机直联","")),"")</f>
        <v/>
      </c>
    </row>
    <row r="60" ht="42" customHeight="1" s="184">
      <c r="A60" s="224">
        <f>IF(COUNTA(B60,C60,D60,E60,F60,G60,H60,I60,J60,K60,L60,M60,N60,O60,P60,Q60,R60,S60,T60,U60,AD60,AE60)&gt;0,ROW()-3,"")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29" t="n"/>
      <c r="L60" s="229" t="n"/>
      <c r="M60" s="229" t="n"/>
      <c r="N60" s="229" t="n"/>
      <c r="O60" s="229" t="n"/>
      <c r="P60" s="229" t="n"/>
      <c r="Q60" s="229" t="n"/>
      <c r="R60" s="229" t="n"/>
      <c r="S60" s="229" t="n"/>
      <c r="T60" s="235" t="n"/>
      <c r="U60" s="229" t="n"/>
      <c r="V60" s="113" t="n"/>
      <c r="W60" s="236" t="n"/>
      <c r="X60" s="113" t="n"/>
      <c r="Y60" s="113" t="n"/>
      <c r="Z60" s="227" t="n"/>
      <c r="AA60" s="227" t="n"/>
      <c r="AB60" s="227" t="n"/>
      <c r="AC60" s="81" t="n"/>
      <c r="AD60" s="180" t="n"/>
      <c r="AE60" s="180" t="n"/>
      <c r="AF60" s="99">
        <f>IF(COUNTA(B60,C60,D60,E60,F60,G60,H60,I60,J60,K60,L60,M60,N60,O60,P60,Q60,R60,S60,T60,U60,AD60,AE60)&gt;0,TEXTJOIN("；",TRUE,IF(B60="","缺少设备名称",""),IF(AND(ISTEXT(B60),OR(B60&lt;&gt;TRIM(B60),ISNUMBER(SEARCH("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",E60)))),"安装位置含首尾空格或全角空格",""),IF(F60="","缺少设备类别",""),IF(F60="","",IF(COUNTIF(EV_CENTRIFUGAL_FAN_CATEGORY,F60)=0,"设备类别不在标准枚举中","")),IF(AND(ISTEXT(F60),OR(F60&lt;&gt;TRIM(F60),ISNUMBER(SEARCH("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",G60)))),"传动方式含首尾空格或全角空格",""),IF(H60="","",IF(COUNTIF(EV_SUCTION,H60)=0,"单双吸不在标准枚举中","")),IF(AND(ISTEXT(H60),OR(H60&lt;&gt;TRIM(H60),ISNUMBER(SEARCH("　",H60)))),"单双吸含首尾空格或全角空格",""),IF(I60="","缺少是否暖通空调用",""),IF(I60="","",IF(COUNTIF(EV_YES_NO,I60)=0,"是否暖通空调用不在标准枚举中","")),IF(AND(ISTEXT(I60),OR(I60&lt;&gt;TRIM(I60),ISNUMBER(SEARCH("　",I60)))),"是否暖通空调用含首尾空格或全角空格",""),IF(J60="","缺少是否带进气箱",""),IF(J60="","",IF(COUNTIF(EV_YES_NO,J60)=0,"是否带进气箱不在标准枚举中","")),IF(AND(ISTEXT(J60),OR(J60&lt;&gt;TRIM(J60),ISNUMBER(SEARCH("　",J60)))),"是否带进气箱含首尾空格或全角空格",""),IF(K60="","缺少流量",""),IF(K60="","",IF(NOT(ISNUMBER(K60)),"流量应为数值",IF(K60&lt;=0,"流量应大于0",""))),IF(L60="","缺少风机压力pF",""),IF(L60="","",IF(NOT(ISNUMBER(L60)),"风机压力pF应为数值",IF(L60&lt;=0,"风机压力pF应大于0",""))),IF(M60="","缺少出口滞止压力",""),IF(M60="","",IF(NOT(ISNUMBER(M60)),"出口滞止压力应为数值",IF(M60&lt;=0,"出口滞止压力应大于0",""))),IF(N60="","缺少进口滞止压力",""),IF(N60="","",IF(NOT(ISNUMBER(N60)),"进口滞止压力应为数值",IF(N60&lt;=0,"进口滞止压力应大于0",""))),IF(O60="","缺少额定功率",""),IF(O60="","",IF(NOT(ISNUMBER(O60)),"额定功率应为数值",IF(O60&lt;=0,"额定功率应大于0",""))),IF(P60="","缺少叶轮功率",""),IF(P60="","",IF(NOT(ISNUMBER(P60)),"叶轮功率应为数值",IF(P60&lt;=0,"叶轮功率应大于0",""))),IF(Q60="","缺少转速",""),IF(Q60="","",IF(NOT(ISNUMBER(Q60)),"转速应为数值",IF(Q60&lt;=0,"转速应大于0",""))),IF(R60="","缺少机号",""),IF(R60="","",IF(NOT(ISNUMBER(R60)),"机号应为数值",IF(R60&lt;=0,"机号应大于0",""))),IF(S60="","缺少进口滞止密度",""),IF(S60="","",IF(NOT(ISNUMBER(S60)),"进口滞止密度应为数值",IF(S60&lt;=0,"进口滞止密度应大于0",""))),IF(T60="","缺少等熵指数k",""),IF(T60="","",IF(NOT(ISNUMBER(T60)),"等熵指数k应为数值",IF(OR(T60&lt;1,T60&gt;2),"等熵指数k应为1～2",""))),IF(U60="","缺少最高通风机效率ηr",""),IF(U60="","",IF(NOT(ISNUMBER(U60)),"最高通风机效率ηr应为数值",IF(OR(U60&lt;1,U60&gt;100),"最高通风机效率ηr应为1～100的百分数本值",""))),IF(AD60="","缺少铭牌照片",""),IF(AND(ISTEXT(AE60),OR(AE60&lt;&gt;TRIM(AE60),ISNUMBER(SEARCH("　",AE60)))),"填表备注含首尾空格或全角空格",""),IF(AND(H60="",F60&lt;&gt;""),"离心通风机缺少单双吸",""),IF(AND(ISNUMBER(L60),L60&gt;30000),"风机压力超过30kPa，超出通风机标准范围",""),IF(AND(F60="外转子电机直联前向多翼离心风机",G60&lt;&gt;"",G60&lt;&gt;"外转子电机直联"),"外转子前向多翼离心风机应选择外转子电机直联","")),"")</f>
        <v/>
      </c>
    </row>
    <row r="61" ht="42" customHeight="1" s="184">
      <c r="A61" s="224">
        <f>IF(COUNTA(B61,C61,D61,E61,F61,G61,H61,I61,J61,K61,L61,M61,N61,O61,P61,Q61,R61,S61,T61,U61,AD61,AE61)&gt;0,ROW()-3,"")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35" t="n"/>
      <c r="U61" s="229" t="n"/>
      <c r="V61" s="113" t="n"/>
      <c r="W61" s="236" t="n"/>
      <c r="X61" s="113" t="n"/>
      <c r="Y61" s="113" t="n"/>
      <c r="Z61" s="227" t="n"/>
      <c r="AA61" s="227" t="n"/>
      <c r="AB61" s="227" t="n"/>
      <c r="AC61" s="81" t="n"/>
      <c r="AD61" s="180" t="n"/>
      <c r="AE61" s="180" t="n"/>
      <c r="AF61" s="99">
        <f>IF(COUNTA(B61,C61,D61,E61,F61,G61,H61,I61,J61,K61,L61,M61,N61,O61,P61,Q61,R61,S61,T61,U61,AD61,AE61)&gt;0,TEXTJOIN("；",TRUE,IF(B61="","缺少设备名称",""),IF(AND(ISTEXT(B61),OR(B61&lt;&gt;TRIM(B61),ISNUMBER(SEARCH("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",E61)))),"安装位置含首尾空格或全角空格",""),IF(F61="","缺少设备类别",""),IF(F61="","",IF(COUNTIF(EV_CENTRIFUGAL_FAN_CATEGORY,F61)=0,"设备类别不在标准枚举中","")),IF(AND(ISTEXT(F61),OR(F61&lt;&gt;TRIM(F61),ISNUMBER(SEARCH("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",G61)))),"传动方式含首尾空格或全角空格",""),IF(H61="","",IF(COUNTIF(EV_SUCTION,H61)=0,"单双吸不在标准枚举中","")),IF(AND(ISTEXT(H61),OR(H61&lt;&gt;TRIM(H61),ISNUMBER(SEARCH("　",H61)))),"单双吸含首尾空格或全角空格",""),IF(I61="","缺少是否暖通空调用",""),IF(I61="","",IF(COUNTIF(EV_YES_NO,I61)=0,"是否暖通空调用不在标准枚举中","")),IF(AND(ISTEXT(I61),OR(I61&lt;&gt;TRIM(I61),ISNUMBER(SEARCH("　",I61)))),"是否暖通空调用含首尾空格或全角空格",""),IF(J61="","缺少是否带进气箱",""),IF(J61="","",IF(COUNTIF(EV_YES_NO,J61)=0,"是否带进气箱不在标准枚举中","")),IF(AND(ISTEXT(J61),OR(J61&lt;&gt;TRIM(J61),ISNUMBER(SEARCH("　",J61)))),"是否带进气箱含首尾空格或全角空格",""),IF(K61="","缺少流量",""),IF(K61="","",IF(NOT(ISNUMBER(K61)),"流量应为数值",IF(K61&lt;=0,"流量应大于0",""))),IF(L61="","缺少风机压力pF",""),IF(L61="","",IF(NOT(ISNUMBER(L61)),"风机压力pF应为数值",IF(L61&lt;=0,"风机压力pF应大于0",""))),IF(M61="","缺少出口滞止压力",""),IF(M61="","",IF(NOT(ISNUMBER(M61)),"出口滞止压力应为数值",IF(M61&lt;=0,"出口滞止压力应大于0",""))),IF(N61="","缺少进口滞止压力",""),IF(N61="","",IF(NOT(ISNUMBER(N61)),"进口滞止压力应为数值",IF(N61&lt;=0,"进口滞止压力应大于0",""))),IF(O61="","缺少额定功率",""),IF(O61="","",IF(NOT(ISNUMBER(O61)),"额定功率应为数值",IF(O61&lt;=0,"额定功率应大于0",""))),IF(P61="","缺少叶轮功率",""),IF(P61="","",IF(NOT(ISNUMBER(P61)),"叶轮功率应为数值",IF(P61&lt;=0,"叶轮功率应大于0",""))),IF(Q61="","缺少转速",""),IF(Q61="","",IF(NOT(ISNUMBER(Q61)),"转速应为数值",IF(Q61&lt;=0,"转速应大于0",""))),IF(R61="","缺少机号",""),IF(R61="","",IF(NOT(ISNUMBER(R61)),"机号应为数值",IF(R61&lt;=0,"机号应大于0",""))),IF(S61="","缺少进口滞止密度",""),IF(S61="","",IF(NOT(ISNUMBER(S61)),"进口滞止密度应为数值",IF(S61&lt;=0,"进口滞止密度应大于0",""))),IF(T61="","缺少等熵指数k",""),IF(T61="","",IF(NOT(ISNUMBER(T61)),"等熵指数k应为数值",IF(OR(T61&lt;1,T61&gt;2),"等熵指数k应为1～2",""))),IF(U61="","缺少最高通风机效率ηr",""),IF(U61="","",IF(NOT(ISNUMBER(U61)),"最高通风机效率ηr应为数值",IF(OR(U61&lt;1,U61&gt;100),"最高通风机效率ηr应为1～100的百分数本值",""))),IF(AD61="","缺少铭牌照片",""),IF(AND(ISTEXT(AE61),OR(AE61&lt;&gt;TRIM(AE61),ISNUMBER(SEARCH("　",AE61)))),"填表备注含首尾空格或全角空格",""),IF(AND(H61="",F61&lt;&gt;""),"离心通风机缺少单双吸",""),IF(AND(ISNUMBER(L61),L61&gt;30000),"风机压力超过30kPa，超出通风机标准范围",""),IF(AND(F61="外转子电机直联前向多翼离心风机",G61&lt;&gt;"",G61&lt;&gt;"外转子电机直联"),"外转子前向多翼离心风机应选择外转子电机直联","")),"")</f>
        <v/>
      </c>
    </row>
    <row r="62" ht="42" customHeight="1" s="184">
      <c r="A62" s="224">
        <f>IF(COUNTA(B62,C62,D62,E62,F62,G62,H62,I62,J62,K62,L62,M62,N62,O62,P62,Q62,R62,S62,T62,U62,AD62,AE62)&gt;0,ROW()-3,"")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35" t="n"/>
      <c r="U62" s="229" t="n"/>
      <c r="V62" s="113" t="n"/>
      <c r="W62" s="236" t="n"/>
      <c r="X62" s="113" t="n"/>
      <c r="Y62" s="113" t="n"/>
      <c r="Z62" s="227" t="n"/>
      <c r="AA62" s="227" t="n"/>
      <c r="AB62" s="227" t="n"/>
      <c r="AC62" s="81" t="n"/>
      <c r="AD62" s="180" t="n"/>
      <c r="AE62" s="180" t="n"/>
      <c r="AF62" s="99">
        <f>IF(COUNTA(B62,C62,D62,E62,F62,G62,H62,I62,J62,K62,L62,M62,N62,O62,P62,Q62,R62,S62,T62,U62,AD62,AE62)&gt;0,TEXTJOIN("；",TRUE,IF(B62="","缺少设备名称",""),IF(AND(ISTEXT(B62),OR(B62&lt;&gt;TRIM(B62),ISNUMBER(SEARCH("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",E62)))),"安装位置含首尾空格或全角空格",""),IF(F62="","缺少设备类别",""),IF(F62="","",IF(COUNTIF(EV_CENTRIFUGAL_FAN_CATEGORY,F62)=0,"设备类别不在标准枚举中","")),IF(AND(ISTEXT(F62),OR(F62&lt;&gt;TRIM(F62),ISNUMBER(SEARCH("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",G62)))),"传动方式含首尾空格或全角空格",""),IF(H62="","",IF(COUNTIF(EV_SUCTION,H62)=0,"单双吸不在标准枚举中","")),IF(AND(ISTEXT(H62),OR(H62&lt;&gt;TRIM(H62),ISNUMBER(SEARCH("　",H62)))),"单双吸含首尾空格或全角空格",""),IF(I62="","缺少是否暖通空调用",""),IF(I62="","",IF(COUNTIF(EV_YES_NO,I62)=0,"是否暖通空调用不在标准枚举中","")),IF(AND(ISTEXT(I62),OR(I62&lt;&gt;TRIM(I62),ISNUMBER(SEARCH("　",I62)))),"是否暖通空调用含首尾空格或全角空格",""),IF(J62="","缺少是否带进气箱",""),IF(J62="","",IF(COUNTIF(EV_YES_NO,J62)=0,"是否带进气箱不在标准枚举中","")),IF(AND(ISTEXT(J62),OR(J62&lt;&gt;TRIM(J62),ISNUMBER(SEARCH("　",J62)))),"是否带进气箱含首尾空格或全角空格",""),IF(K62="","缺少流量",""),IF(K62="","",IF(NOT(ISNUMBER(K62)),"流量应为数值",IF(K62&lt;=0,"流量应大于0",""))),IF(L62="","缺少风机压力pF",""),IF(L62="","",IF(NOT(ISNUMBER(L62)),"风机压力pF应为数值",IF(L62&lt;=0,"风机压力pF应大于0",""))),IF(M62="","缺少出口滞止压力",""),IF(M62="","",IF(NOT(ISNUMBER(M62)),"出口滞止压力应为数值",IF(M62&lt;=0,"出口滞止压力应大于0",""))),IF(N62="","缺少进口滞止压力",""),IF(N62="","",IF(NOT(ISNUMBER(N62)),"进口滞止压力应为数值",IF(N62&lt;=0,"进口滞止压力应大于0",""))),IF(O62="","缺少额定功率",""),IF(O62="","",IF(NOT(ISNUMBER(O62)),"额定功率应为数值",IF(O62&lt;=0,"额定功率应大于0",""))),IF(P62="","缺少叶轮功率",""),IF(P62="","",IF(NOT(ISNUMBER(P62)),"叶轮功率应为数值",IF(P62&lt;=0,"叶轮功率应大于0",""))),IF(Q62="","缺少转速",""),IF(Q62="","",IF(NOT(ISNUMBER(Q62)),"转速应为数值",IF(Q62&lt;=0,"转速应大于0",""))),IF(R62="","缺少机号",""),IF(R62="","",IF(NOT(ISNUMBER(R62)),"机号应为数值",IF(R62&lt;=0,"机号应大于0",""))),IF(S62="","缺少进口滞止密度",""),IF(S62="","",IF(NOT(ISNUMBER(S62)),"进口滞止密度应为数值",IF(S62&lt;=0,"进口滞止密度应大于0",""))),IF(T62="","缺少等熵指数k",""),IF(T62="","",IF(NOT(ISNUMBER(T62)),"等熵指数k应为数值",IF(OR(T62&lt;1,T62&gt;2),"等熵指数k应为1～2",""))),IF(U62="","缺少最高通风机效率ηr",""),IF(U62="","",IF(NOT(ISNUMBER(U62)),"最高通风机效率ηr应为数值",IF(OR(U62&lt;1,U62&gt;100),"最高通风机效率ηr应为1～100的百分数本值",""))),IF(AD62="","缺少铭牌照片",""),IF(AND(ISTEXT(AE62),OR(AE62&lt;&gt;TRIM(AE62),ISNUMBER(SEARCH("　",AE62)))),"填表备注含首尾空格或全角空格",""),IF(AND(H62="",F62&lt;&gt;""),"离心通风机缺少单双吸",""),IF(AND(ISNUMBER(L62),L62&gt;30000),"风机压力超过30kPa，超出通风机标准范围",""),IF(AND(F62="外转子电机直联前向多翼离心风机",G62&lt;&gt;"",G62&lt;&gt;"外转子电机直联"),"外转子前向多翼离心风机应选择外转子电机直联","")),"")</f>
        <v/>
      </c>
    </row>
    <row r="63" ht="42" customHeight="1" s="184">
      <c r="A63" s="224">
        <f>IF(COUNTA(B63,C63,D63,E63,F63,G63,H63,I63,J63,K63,L63,M63,N63,O63,P63,Q63,R63,S63,T63,U63,AD63,AE63)&gt;0,ROW()-3,"")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29" t="n"/>
      <c r="L63" s="229" t="n"/>
      <c r="M63" s="229" t="n"/>
      <c r="N63" s="229" t="n"/>
      <c r="O63" s="229" t="n"/>
      <c r="P63" s="229" t="n"/>
      <c r="Q63" s="229" t="n"/>
      <c r="R63" s="229" t="n"/>
      <c r="S63" s="229" t="n"/>
      <c r="T63" s="235" t="n"/>
      <c r="U63" s="229" t="n"/>
      <c r="V63" s="113" t="n"/>
      <c r="W63" s="236" t="n"/>
      <c r="X63" s="113" t="n"/>
      <c r="Y63" s="113" t="n"/>
      <c r="Z63" s="227" t="n"/>
      <c r="AA63" s="227" t="n"/>
      <c r="AB63" s="227" t="n"/>
      <c r="AC63" s="81" t="n"/>
      <c r="AD63" s="180" t="n"/>
      <c r="AE63" s="180" t="n"/>
      <c r="AF63" s="99">
        <f>IF(COUNTA(B63,C63,D63,E63,F63,G63,H63,I63,J63,K63,L63,M63,N63,O63,P63,Q63,R63,S63,T63,U63,AD63,AE63)&gt;0,TEXTJOIN("；",TRUE,IF(B63="","缺少设备名称",""),IF(AND(ISTEXT(B63),OR(B63&lt;&gt;TRIM(B63),ISNUMBER(SEARCH("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",E63)))),"安装位置含首尾空格或全角空格",""),IF(F63="","缺少设备类别",""),IF(F63="","",IF(COUNTIF(EV_CENTRIFUGAL_FAN_CATEGORY,F63)=0,"设备类别不在标准枚举中","")),IF(AND(ISTEXT(F63),OR(F63&lt;&gt;TRIM(F63),ISNUMBER(SEARCH("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",G63)))),"传动方式含首尾空格或全角空格",""),IF(H63="","",IF(COUNTIF(EV_SUCTION,H63)=0,"单双吸不在标准枚举中","")),IF(AND(ISTEXT(H63),OR(H63&lt;&gt;TRIM(H63),ISNUMBER(SEARCH("　",H63)))),"单双吸含首尾空格或全角空格",""),IF(I63="","缺少是否暖通空调用",""),IF(I63="","",IF(COUNTIF(EV_YES_NO,I63)=0,"是否暖通空调用不在标准枚举中","")),IF(AND(ISTEXT(I63),OR(I63&lt;&gt;TRIM(I63),ISNUMBER(SEARCH("　",I63)))),"是否暖通空调用含首尾空格或全角空格",""),IF(J63="","缺少是否带进气箱",""),IF(J63="","",IF(COUNTIF(EV_YES_NO,J63)=0,"是否带进气箱不在标准枚举中","")),IF(AND(ISTEXT(J63),OR(J63&lt;&gt;TRIM(J63),ISNUMBER(SEARCH("　",J63)))),"是否带进气箱含首尾空格或全角空格",""),IF(K63="","缺少流量",""),IF(K63="","",IF(NOT(ISNUMBER(K63)),"流量应为数值",IF(K63&lt;=0,"流量应大于0",""))),IF(L63="","缺少风机压力pF",""),IF(L63="","",IF(NOT(ISNUMBER(L63)),"风机压力pF应为数值",IF(L63&lt;=0,"风机压力pF应大于0",""))),IF(M63="","缺少出口滞止压力",""),IF(M63="","",IF(NOT(ISNUMBER(M63)),"出口滞止压力应为数值",IF(M63&lt;=0,"出口滞止压力应大于0",""))),IF(N63="","缺少进口滞止压力",""),IF(N63="","",IF(NOT(ISNUMBER(N63)),"进口滞止压力应为数值",IF(N63&lt;=0,"进口滞止压力应大于0",""))),IF(O63="","缺少额定功率",""),IF(O63="","",IF(NOT(ISNUMBER(O63)),"额定功率应为数值",IF(O63&lt;=0,"额定功率应大于0",""))),IF(P63="","缺少叶轮功率",""),IF(P63="","",IF(NOT(ISNUMBER(P63)),"叶轮功率应为数值",IF(P63&lt;=0,"叶轮功率应大于0",""))),IF(Q63="","缺少转速",""),IF(Q63="","",IF(NOT(ISNUMBER(Q63)),"转速应为数值",IF(Q63&lt;=0,"转速应大于0",""))),IF(R63="","缺少机号",""),IF(R63="","",IF(NOT(ISNUMBER(R63)),"机号应为数值",IF(R63&lt;=0,"机号应大于0",""))),IF(S63="","缺少进口滞止密度",""),IF(S63="","",IF(NOT(ISNUMBER(S63)),"进口滞止密度应为数值",IF(S63&lt;=0,"进口滞止密度应大于0",""))),IF(T63="","缺少等熵指数k",""),IF(T63="","",IF(NOT(ISNUMBER(T63)),"等熵指数k应为数值",IF(OR(T63&lt;1,T63&gt;2),"等熵指数k应为1～2",""))),IF(U63="","缺少最高通风机效率ηr",""),IF(U63="","",IF(NOT(ISNUMBER(U63)),"最高通风机效率ηr应为数值",IF(OR(U63&lt;1,U63&gt;100),"最高通风机效率ηr应为1～100的百分数本值",""))),IF(AD63="","缺少铭牌照片",""),IF(AND(ISTEXT(AE63),OR(AE63&lt;&gt;TRIM(AE63),ISNUMBER(SEARCH("　",AE63)))),"填表备注含首尾空格或全角空格",""),IF(AND(H63="",F63&lt;&gt;""),"离心通风机缺少单双吸",""),IF(AND(ISNUMBER(L63),L63&gt;30000),"风机压力超过30kPa，超出通风机标准范围",""),IF(AND(F63="外转子电机直联前向多翼离心风机",G63&lt;&gt;"",G63&lt;&gt;"外转子电机直联"),"外转子前向多翼离心风机应选择外转子电机直联","")),"")</f>
        <v/>
      </c>
    </row>
    <row r="64" ht="42" customHeight="1" s="184">
      <c r="A64" s="224">
        <f>IF(COUNTA(B64,C64,D64,E64,F64,G64,H64,I64,J64,K64,L64,M64,N64,O64,P64,Q64,R64,S64,T64,U64,AD64,AE64)&gt;0,ROW()-3,"")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29" t="n"/>
      <c r="L64" s="229" t="n"/>
      <c r="M64" s="229" t="n"/>
      <c r="N64" s="229" t="n"/>
      <c r="O64" s="229" t="n"/>
      <c r="P64" s="229" t="n"/>
      <c r="Q64" s="229" t="n"/>
      <c r="R64" s="229" t="n"/>
      <c r="S64" s="229" t="n"/>
      <c r="T64" s="235" t="n"/>
      <c r="U64" s="229" t="n"/>
      <c r="V64" s="113" t="n"/>
      <c r="W64" s="236" t="n"/>
      <c r="X64" s="113" t="n"/>
      <c r="Y64" s="113" t="n"/>
      <c r="Z64" s="227" t="n"/>
      <c r="AA64" s="227" t="n"/>
      <c r="AB64" s="227" t="n"/>
      <c r="AC64" s="81" t="n"/>
      <c r="AD64" s="180" t="n"/>
      <c r="AE64" s="180" t="n"/>
      <c r="AF64" s="99">
        <f>IF(COUNTA(B64,C64,D64,E64,F64,G64,H64,I64,J64,K64,L64,M64,N64,O64,P64,Q64,R64,S64,T64,U64,AD64,AE64)&gt;0,TEXTJOIN("；",TRUE,IF(B64="","缺少设备名称",""),IF(AND(ISTEXT(B64),OR(B64&lt;&gt;TRIM(B64),ISNUMBER(SEARCH("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",E64)))),"安装位置含首尾空格或全角空格",""),IF(F64="","缺少设备类别",""),IF(F64="","",IF(COUNTIF(EV_CENTRIFUGAL_FAN_CATEGORY,F64)=0,"设备类别不在标准枚举中","")),IF(AND(ISTEXT(F64),OR(F64&lt;&gt;TRIM(F64),ISNUMBER(SEARCH("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",G64)))),"传动方式含首尾空格或全角空格",""),IF(H64="","",IF(COUNTIF(EV_SUCTION,H64)=0,"单双吸不在标准枚举中","")),IF(AND(ISTEXT(H64),OR(H64&lt;&gt;TRIM(H64),ISNUMBER(SEARCH("　",H64)))),"单双吸含首尾空格或全角空格",""),IF(I64="","缺少是否暖通空调用",""),IF(I64="","",IF(COUNTIF(EV_YES_NO,I64)=0,"是否暖通空调用不在标准枚举中","")),IF(AND(ISTEXT(I64),OR(I64&lt;&gt;TRIM(I64),ISNUMBER(SEARCH("　",I64)))),"是否暖通空调用含首尾空格或全角空格",""),IF(J64="","缺少是否带进气箱",""),IF(J64="","",IF(COUNTIF(EV_YES_NO,J64)=0,"是否带进气箱不在标准枚举中","")),IF(AND(ISTEXT(J64),OR(J64&lt;&gt;TRIM(J64),ISNUMBER(SEARCH("　",J64)))),"是否带进气箱含首尾空格或全角空格",""),IF(K64="","缺少流量",""),IF(K64="","",IF(NOT(ISNUMBER(K64)),"流量应为数值",IF(K64&lt;=0,"流量应大于0",""))),IF(L64="","缺少风机压力pF",""),IF(L64="","",IF(NOT(ISNUMBER(L64)),"风机压力pF应为数值",IF(L64&lt;=0,"风机压力pF应大于0",""))),IF(M64="","缺少出口滞止压力",""),IF(M64="","",IF(NOT(ISNUMBER(M64)),"出口滞止压力应为数值",IF(M64&lt;=0,"出口滞止压力应大于0",""))),IF(N64="","缺少进口滞止压力",""),IF(N64="","",IF(NOT(ISNUMBER(N64)),"进口滞止压力应为数值",IF(N64&lt;=0,"进口滞止压力应大于0",""))),IF(O64="","缺少额定功率",""),IF(O64="","",IF(NOT(ISNUMBER(O64)),"额定功率应为数值",IF(O64&lt;=0,"额定功率应大于0",""))),IF(P64="","缺少叶轮功率",""),IF(P64="","",IF(NOT(ISNUMBER(P64)),"叶轮功率应为数值",IF(P64&lt;=0,"叶轮功率应大于0",""))),IF(Q64="","缺少转速",""),IF(Q64="","",IF(NOT(ISNUMBER(Q64)),"转速应为数值",IF(Q64&lt;=0,"转速应大于0",""))),IF(R64="","缺少机号",""),IF(R64="","",IF(NOT(ISNUMBER(R64)),"机号应为数值",IF(R64&lt;=0,"机号应大于0",""))),IF(S64="","缺少进口滞止密度",""),IF(S64="","",IF(NOT(ISNUMBER(S64)),"进口滞止密度应为数值",IF(S64&lt;=0,"进口滞止密度应大于0",""))),IF(T64="","缺少等熵指数k",""),IF(T64="","",IF(NOT(ISNUMBER(T64)),"等熵指数k应为数值",IF(OR(T64&lt;1,T64&gt;2),"等熵指数k应为1～2",""))),IF(U64="","缺少最高通风机效率ηr",""),IF(U64="","",IF(NOT(ISNUMBER(U64)),"最高通风机效率ηr应为数值",IF(OR(U64&lt;1,U64&gt;100),"最高通风机效率ηr应为1～100的百分数本值",""))),IF(AD64="","缺少铭牌照片",""),IF(AND(ISTEXT(AE64),OR(AE64&lt;&gt;TRIM(AE64),ISNUMBER(SEARCH("　",AE64)))),"填表备注含首尾空格或全角空格",""),IF(AND(H64="",F64&lt;&gt;""),"离心通风机缺少单双吸",""),IF(AND(ISNUMBER(L64),L64&gt;30000),"风机压力超过30kPa，超出通风机标准范围",""),IF(AND(F64="外转子电机直联前向多翼离心风机",G64&lt;&gt;"",G64&lt;&gt;"外转子电机直联"),"外转子前向多翼离心风机应选择外转子电机直联","")),"")</f>
        <v/>
      </c>
    </row>
    <row r="65" ht="42" customHeight="1" s="184">
      <c r="A65" s="224">
        <f>IF(COUNTA(B65,C65,D65,E65,F65,G65,H65,I65,J65,K65,L65,M65,N65,O65,P65,Q65,R65,S65,T65,U65,AD65,AE65)&gt;0,ROW()-3,"")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35" t="n"/>
      <c r="U65" s="229" t="n"/>
      <c r="V65" s="113" t="n"/>
      <c r="W65" s="236" t="n"/>
      <c r="X65" s="113" t="n"/>
      <c r="Y65" s="113" t="n"/>
      <c r="Z65" s="227" t="n"/>
      <c r="AA65" s="227" t="n"/>
      <c r="AB65" s="227" t="n"/>
      <c r="AC65" s="81" t="n"/>
      <c r="AD65" s="180" t="n"/>
      <c r="AE65" s="180" t="n"/>
      <c r="AF65" s="99">
        <f>IF(COUNTA(B65,C65,D65,E65,F65,G65,H65,I65,J65,K65,L65,M65,N65,O65,P65,Q65,R65,S65,T65,U65,AD65,AE65)&gt;0,TEXTJOIN("；",TRUE,IF(B65="","缺少设备名称",""),IF(AND(ISTEXT(B65),OR(B65&lt;&gt;TRIM(B65),ISNUMBER(SEARCH("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",E65)))),"安装位置含首尾空格或全角空格",""),IF(F65="","缺少设备类别",""),IF(F65="","",IF(COUNTIF(EV_CENTRIFUGAL_FAN_CATEGORY,F65)=0,"设备类别不在标准枚举中","")),IF(AND(ISTEXT(F65),OR(F65&lt;&gt;TRIM(F65),ISNUMBER(SEARCH("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",G65)))),"传动方式含首尾空格或全角空格",""),IF(H65="","",IF(COUNTIF(EV_SUCTION,H65)=0,"单双吸不在标准枚举中","")),IF(AND(ISTEXT(H65),OR(H65&lt;&gt;TRIM(H65),ISNUMBER(SEARCH("　",H65)))),"单双吸含首尾空格或全角空格",""),IF(I65="","缺少是否暖通空调用",""),IF(I65="","",IF(COUNTIF(EV_YES_NO,I65)=0,"是否暖通空调用不在标准枚举中","")),IF(AND(ISTEXT(I65),OR(I65&lt;&gt;TRIM(I65),ISNUMBER(SEARCH("　",I65)))),"是否暖通空调用含首尾空格或全角空格",""),IF(J65="","缺少是否带进气箱",""),IF(J65="","",IF(COUNTIF(EV_YES_NO,J65)=0,"是否带进气箱不在标准枚举中","")),IF(AND(ISTEXT(J65),OR(J65&lt;&gt;TRIM(J65),ISNUMBER(SEARCH("　",J65)))),"是否带进气箱含首尾空格或全角空格",""),IF(K65="","缺少流量",""),IF(K65="","",IF(NOT(ISNUMBER(K65)),"流量应为数值",IF(K65&lt;=0,"流量应大于0",""))),IF(L65="","缺少风机压力pF",""),IF(L65="","",IF(NOT(ISNUMBER(L65)),"风机压力pF应为数值",IF(L65&lt;=0,"风机压力pF应大于0",""))),IF(M65="","缺少出口滞止压力",""),IF(M65="","",IF(NOT(ISNUMBER(M65)),"出口滞止压力应为数值",IF(M65&lt;=0,"出口滞止压力应大于0",""))),IF(N65="","缺少进口滞止压力",""),IF(N65="","",IF(NOT(ISNUMBER(N65)),"进口滞止压力应为数值",IF(N65&lt;=0,"进口滞止压力应大于0",""))),IF(O65="","缺少额定功率",""),IF(O65="","",IF(NOT(ISNUMBER(O65)),"额定功率应为数值",IF(O65&lt;=0,"额定功率应大于0",""))),IF(P65="","缺少叶轮功率",""),IF(P65="","",IF(NOT(ISNUMBER(P65)),"叶轮功率应为数值",IF(P65&lt;=0,"叶轮功率应大于0",""))),IF(Q65="","缺少转速",""),IF(Q65="","",IF(NOT(ISNUMBER(Q65)),"转速应为数值",IF(Q65&lt;=0,"转速应大于0",""))),IF(R65="","缺少机号",""),IF(R65="","",IF(NOT(ISNUMBER(R65)),"机号应为数值",IF(R65&lt;=0,"机号应大于0",""))),IF(S65="","缺少进口滞止密度",""),IF(S65="","",IF(NOT(ISNUMBER(S65)),"进口滞止密度应为数值",IF(S65&lt;=0,"进口滞止密度应大于0",""))),IF(T65="","缺少等熵指数k",""),IF(T65="","",IF(NOT(ISNUMBER(T65)),"等熵指数k应为数值",IF(OR(T65&lt;1,T65&gt;2),"等熵指数k应为1～2",""))),IF(U65="","缺少最高通风机效率ηr",""),IF(U65="","",IF(NOT(ISNUMBER(U65)),"最高通风机效率ηr应为数值",IF(OR(U65&lt;1,U65&gt;100),"最高通风机效率ηr应为1～100的百分数本值",""))),IF(AD65="","缺少铭牌照片",""),IF(AND(ISTEXT(AE65),OR(AE65&lt;&gt;TRIM(AE65),ISNUMBER(SEARCH("　",AE65)))),"填表备注含首尾空格或全角空格",""),IF(AND(H65="",F65&lt;&gt;""),"离心通风机缺少单双吸",""),IF(AND(ISNUMBER(L65),L65&gt;30000),"风机压力超过30kPa，超出通风机标准范围",""),IF(AND(F65="外转子电机直联前向多翼离心风机",G65&lt;&gt;"",G65&lt;&gt;"外转子电机直联"),"外转子前向多翼离心风机应选择外转子电机直联","")),"")</f>
        <v/>
      </c>
    </row>
    <row r="66" ht="42" customHeight="1" s="184">
      <c r="A66" s="224">
        <f>IF(COUNTA(B66,C66,D66,E66,F66,G66,H66,I66,J66,K66,L66,M66,N66,O66,P66,Q66,R66,S66,T66,U66,AD66,AE66)&gt;0,ROW()-3,"")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35" t="n"/>
      <c r="U66" s="229" t="n"/>
      <c r="V66" s="113" t="n"/>
      <c r="W66" s="236" t="n"/>
      <c r="X66" s="113" t="n"/>
      <c r="Y66" s="113" t="n"/>
      <c r="Z66" s="227" t="n"/>
      <c r="AA66" s="227" t="n"/>
      <c r="AB66" s="227" t="n"/>
      <c r="AC66" s="81" t="n"/>
      <c r="AD66" s="180" t="n"/>
      <c r="AE66" s="180" t="n"/>
      <c r="AF66" s="99">
        <f>IF(COUNTA(B66,C66,D66,E66,F66,G66,H66,I66,J66,K66,L66,M66,N66,O66,P66,Q66,R66,S66,T66,U66,AD66,AE66)&gt;0,TEXTJOIN("；",TRUE,IF(B66="","缺少设备名称",""),IF(AND(ISTEXT(B66),OR(B66&lt;&gt;TRIM(B66),ISNUMBER(SEARCH("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",E66)))),"安装位置含首尾空格或全角空格",""),IF(F66="","缺少设备类别",""),IF(F66="","",IF(COUNTIF(EV_CENTRIFUGAL_FAN_CATEGORY,F66)=0,"设备类别不在标准枚举中","")),IF(AND(ISTEXT(F66),OR(F66&lt;&gt;TRIM(F66),ISNUMBER(SEARCH("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",G66)))),"传动方式含首尾空格或全角空格",""),IF(H66="","",IF(COUNTIF(EV_SUCTION,H66)=0,"单双吸不在标准枚举中","")),IF(AND(ISTEXT(H66),OR(H66&lt;&gt;TRIM(H66),ISNUMBER(SEARCH("　",H66)))),"单双吸含首尾空格或全角空格",""),IF(I66="","缺少是否暖通空调用",""),IF(I66="","",IF(COUNTIF(EV_YES_NO,I66)=0,"是否暖通空调用不在标准枚举中","")),IF(AND(ISTEXT(I66),OR(I66&lt;&gt;TRIM(I66),ISNUMBER(SEARCH("　",I66)))),"是否暖通空调用含首尾空格或全角空格",""),IF(J66="","缺少是否带进气箱",""),IF(J66="","",IF(COUNTIF(EV_YES_NO,J66)=0,"是否带进气箱不在标准枚举中","")),IF(AND(ISTEXT(J66),OR(J66&lt;&gt;TRIM(J66),ISNUMBER(SEARCH("　",J66)))),"是否带进气箱含首尾空格或全角空格",""),IF(K66="","缺少流量",""),IF(K66="","",IF(NOT(ISNUMBER(K66)),"流量应为数值",IF(K66&lt;=0,"流量应大于0",""))),IF(L66="","缺少风机压力pF",""),IF(L66="","",IF(NOT(ISNUMBER(L66)),"风机压力pF应为数值",IF(L66&lt;=0,"风机压力pF应大于0",""))),IF(M66="","缺少出口滞止压力",""),IF(M66="","",IF(NOT(ISNUMBER(M66)),"出口滞止压力应为数值",IF(M66&lt;=0,"出口滞止压力应大于0",""))),IF(N66="","缺少进口滞止压力",""),IF(N66="","",IF(NOT(ISNUMBER(N66)),"进口滞止压力应为数值",IF(N66&lt;=0,"进口滞止压力应大于0",""))),IF(O66="","缺少额定功率",""),IF(O66="","",IF(NOT(ISNUMBER(O66)),"额定功率应为数值",IF(O66&lt;=0,"额定功率应大于0",""))),IF(P66="","缺少叶轮功率",""),IF(P66="","",IF(NOT(ISNUMBER(P66)),"叶轮功率应为数值",IF(P66&lt;=0,"叶轮功率应大于0",""))),IF(Q66="","缺少转速",""),IF(Q66="","",IF(NOT(ISNUMBER(Q66)),"转速应为数值",IF(Q66&lt;=0,"转速应大于0",""))),IF(R66="","缺少机号",""),IF(R66="","",IF(NOT(ISNUMBER(R66)),"机号应为数值",IF(R66&lt;=0,"机号应大于0",""))),IF(S66="","缺少进口滞止密度",""),IF(S66="","",IF(NOT(ISNUMBER(S66)),"进口滞止密度应为数值",IF(S66&lt;=0,"进口滞止密度应大于0",""))),IF(T66="","缺少等熵指数k",""),IF(T66="","",IF(NOT(ISNUMBER(T66)),"等熵指数k应为数值",IF(OR(T66&lt;1,T66&gt;2),"等熵指数k应为1～2",""))),IF(U66="","缺少最高通风机效率ηr",""),IF(U66="","",IF(NOT(ISNUMBER(U66)),"最高通风机效率ηr应为数值",IF(OR(U66&lt;1,U66&gt;100),"最高通风机效率ηr应为1～100的百分数本值",""))),IF(AD66="","缺少铭牌照片",""),IF(AND(ISTEXT(AE66),OR(AE66&lt;&gt;TRIM(AE66),ISNUMBER(SEARCH("　",AE66)))),"填表备注含首尾空格或全角空格",""),IF(AND(H66="",F66&lt;&gt;""),"离心通风机缺少单双吸",""),IF(AND(ISNUMBER(L66),L66&gt;30000),"风机压力超过30kPa，超出通风机标准范围",""),IF(AND(F66="外转子电机直联前向多翼离心风机",G66&lt;&gt;"",G66&lt;&gt;"外转子电机直联"),"外转子前向多翼离心风机应选择外转子电机直联","")),"")</f>
        <v/>
      </c>
    </row>
    <row r="67" ht="42" customHeight="1" s="184">
      <c r="A67" s="224">
        <f>IF(COUNTA(B67,C67,D67,E67,F67,G67,H67,I67,J67,K67,L67,M67,N67,O67,P67,Q67,R67,S67,T67,U67,AD67,AE67)&gt;0,ROW()-3,"")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35" t="n"/>
      <c r="U67" s="229" t="n"/>
      <c r="V67" s="113" t="n"/>
      <c r="W67" s="236" t="n"/>
      <c r="X67" s="113" t="n"/>
      <c r="Y67" s="113" t="n"/>
      <c r="Z67" s="227" t="n"/>
      <c r="AA67" s="227" t="n"/>
      <c r="AB67" s="227" t="n"/>
      <c r="AC67" s="81" t="n"/>
      <c r="AD67" s="180" t="n"/>
      <c r="AE67" s="180" t="n"/>
      <c r="AF67" s="99">
        <f>IF(COUNTA(B67,C67,D67,E67,F67,G67,H67,I67,J67,K67,L67,M67,N67,O67,P67,Q67,R67,S67,T67,U67,AD67,AE67)&gt;0,TEXTJOIN("；",TRUE,IF(B67="","缺少设备名称",""),IF(AND(ISTEXT(B67),OR(B67&lt;&gt;TRIM(B67),ISNUMBER(SEARCH("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",E67)))),"安装位置含首尾空格或全角空格",""),IF(F67="","缺少设备类别",""),IF(F67="","",IF(COUNTIF(EV_CENTRIFUGAL_FAN_CATEGORY,F67)=0,"设备类别不在标准枚举中","")),IF(AND(ISTEXT(F67),OR(F67&lt;&gt;TRIM(F67),ISNUMBER(SEARCH("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",G67)))),"传动方式含首尾空格或全角空格",""),IF(H67="","",IF(COUNTIF(EV_SUCTION,H67)=0,"单双吸不在标准枚举中","")),IF(AND(ISTEXT(H67),OR(H67&lt;&gt;TRIM(H67),ISNUMBER(SEARCH("　",H67)))),"单双吸含首尾空格或全角空格",""),IF(I67="","缺少是否暖通空调用",""),IF(I67="","",IF(COUNTIF(EV_YES_NO,I67)=0,"是否暖通空调用不在标准枚举中","")),IF(AND(ISTEXT(I67),OR(I67&lt;&gt;TRIM(I67),ISNUMBER(SEARCH("　",I67)))),"是否暖通空调用含首尾空格或全角空格",""),IF(J67="","缺少是否带进气箱",""),IF(J67="","",IF(COUNTIF(EV_YES_NO,J67)=0,"是否带进气箱不在标准枚举中","")),IF(AND(ISTEXT(J67),OR(J67&lt;&gt;TRIM(J67),ISNUMBER(SEARCH("　",J67)))),"是否带进气箱含首尾空格或全角空格",""),IF(K67="","缺少流量",""),IF(K67="","",IF(NOT(ISNUMBER(K67)),"流量应为数值",IF(K67&lt;=0,"流量应大于0",""))),IF(L67="","缺少风机压力pF",""),IF(L67="","",IF(NOT(ISNUMBER(L67)),"风机压力pF应为数值",IF(L67&lt;=0,"风机压力pF应大于0",""))),IF(M67="","缺少出口滞止压力",""),IF(M67="","",IF(NOT(ISNUMBER(M67)),"出口滞止压力应为数值",IF(M67&lt;=0,"出口滞止压力应大于0",""))),IF(N67="","缺少进口滞止压力",""),IF(N67="","",IF(NOT(ISNUMBER(N67)),"进口滞止压力应为数值",IF(N67&lt;=0,"进口滞止压力应大于0",""))),IF(O67="","缺少额定功率",""),IF(O67="","",IF(NOT(ISNUMBER(O67)),"额定功率应为数值",IF(O67&lt;=0,"额定功率应大于0",""))),IF(P67="","缺少叶轮功率",""),IF(P67="","",IF(NOT(ISNUMBER(P67)),"叶轮功率应为数值",IF(P67&lt;=0,"叶轮功率应大于0",""))),IF(Q67="","缺少转速",""),IF(Q67="","",IF(NOT(ISNUMBER(Q67)),"转速应为数值",IF(Q67&lt;=0,"转速应大于0",""))),IF(R67="","缺少机号",""),IF(R67="","",IF(NOT(ISNUMBER(R67)),"机号应为数值",IF(R67&lt;=0,"机号应大于0",""))),IF(S67="","缺少进口滞止密度",""),IF(S67="","",IF(NOT(ISNUMBER(S67)),"进口滞止密度应为数值",IF(S67&lt;=0,"进口滞止密度应大于0",""))),IF(T67="","缺少等熵指数k",""),IF(T67="","",IF(NOT(ISNUMBER(T67)),"等熵指数k应为数值",IF(OR(T67&lt;1,T67&gt;2),"等熵指数k应为1～2",""))),IF(U67="","缺少最高通风机效率ηr",""),IF(U67="","",IF(NOT(ISNUMBER(U67)),"最高通风机效率ηr应为数值",IF(OR(U67&lt;1,U67&gt;100),"最高通风机效率ηr应为1～100的百分数本值",""))),IF(AD67="","缺少铭牌照片",""),IF(AND(ISTEXT(AE67),OR(AE67&lt;&gt;TRIM(AE67),ISNUMBER(SEARCH("　",AE67)))),"填表备注含首尾空格或全角空格",""),IF(AND(H67="",F67&lt;&gt;""),"离心通风机缺少单双吸",""),IF(AND(ISNUMBER(L67),L67&gt;30000),"风机压力超过30kPa，超出通风机标准范围",""),IF(AND(F67="外转子电机直联前向多翼离心风机",G67&lt;&gt;"",G67&lt;&gt;"外转子电机直联"),"外转子前向多翼离心风机应选择外转子电机直联","")),"")</f>
        <v/>
      </c>
    </row>
    <row r="68" ht="42" customHeight="1" s="184">
      <c r="A68" s="224">
        <f>IF(COUNTA(B68,C68,D68,E68,F68,G68,H68,I68,J68,K68,L68,M68,N68,O68,P68,Q68,R68,S68,T68,U68,AD68,AE68)&gt;0,ROW()-3,"")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35" t="n"/>
      <c r="U68" s="229" t="n"/>
      <c r="V68" s="113" t="n"/>
      <c r="W68" s="236" t="n"/>
      <c r="X68" s="113" t="n"/>
      <c r="Y68" s="113" t="n"/>
      <c r="Z68" s="227" t="n"/>
      <c r="AA68" s="227" t="n"/>
      <c r="AB68" s="227" t="n"/>
      <c r="AC68" s="81" t="n"/>
      <c r="AD68" s="180" t="n"/>
      <c r="AE68" s="180" t="n"/>
      <c r="AF68" s="99">
        <f>IF(COUNTA(B68,C68,D68,E68,F68,G68,H68,I68,J68,K68,L68,M68,N68,O68,P68,Q68,R68,S68,T68,U68,AD68,AE68)&gt;0,TEXTJOIN("；",TRUE,IF(B68="","缺少设备名称",""),IF(AND(ISTEXT(B68),OR(B68&lt;&gt;TRIM(B68),ISNUMBER(SEARCH("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",E68)))),"安装位置含首尾空格或全角空格",""),IF(F68="","缺少设备类别",""),IF(F68="","",IF(COUNTIF(EV_CENTRIFUGAL_FAN_CATEGORY,F68)=0,"设备类别不在标准枚举中","")),IF(AND(ISTEXT(F68),OR(F68&lt;&gt;TRIM(F68),ISNUMBER(SEARCH("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",G68)))),"传动方式含首尾空格或全角空格",""),IF(H68="","",IF(COUNTIF(EV_SUCTION,H68)=0,"单双吸不在标准枚举中","")),IF(AND(ISTEXT(H68),OR(H68&lt;&gt;TRIM(H68),ISNUMBER(SEARCH("　",H68)))),"单双吸含首尾空格或全角空格",""),IF(I68="","缺少是否暖通空调用",""),IF(I68="","",IF(COUNTIF(EV_YES_NO,I68)=0,"是否暖通空调用不在标准枚举中","")),IF(AND(ISTEXT(I68),OR(I68&lt;&gt;TRIM(I68),ISNUMBER(SEARCH("　",I68)))),"是否暖通空调用含首尾空格或全角空格",""),IF(J68="","缺少是否带进气箱",""),IF(J68="","",IF(COUNTIF(EV_YES_NO,J68)=0,"是否带进气箱不在标准枚举中","")),IF(AND(ISTEXT(J68),OR(J68&lt;&gt;TRIM(J68),ISNUMBER(SEARCH("　",J68)))),"是否带进气箱含首尾空格或全角空格",""),IF(K68="","缺少流量",""),IF(K68="","",IF(NOT(ISNUMBER(K68)),"流量应为数值",IF(K68&lt;=0,"流量应大于0",""))),IF(L68="","缺少风机压力pF",""),IF(L68="","",IF(NOT(ISNUMBER(L68)),"风机压力pF应为数值",IF(L68&lt;=0,"风机压力pF应大于0",""))),IF(M68="","缺少出口滞止压力",""),IF(M68="","",IF(NOT(ISNUMBER(M68)),"出口滞止压力应为数值",IF(M68&lt;=0,"出口滞止压力应大于0",""))),IF(N68="","缺少进口滞止压力",""),IF(N68="","",IF(NOT(ISNUMBER(N68)),"进口滞止压力应为数值",IF(N68&lt;=0,"进口滞止压力应大于0",""))),IF(O68="","缺少额定功率",""),IF(O68="","",IF(NOT(ISNUMBER(O68)),"额定功率应为数值",IF(O68&lt;=0,"额定功率应大于0",""))),IF(P68="","缺少叶轮功率",""),IF(P68="","",IF(NOT(ISNUMBER(P68)),"叶轮功率应为数值",IF(P68&lt;=0,"叶轮功率应大于0",""))),IF(Q68="","缺少转速",""),IF(Q68="","",IF(NOT(ISNUMBER(Q68)),"转速应为数值",IF(Q68&lt;=0,"转速应大于0",""))),IF(R68="","缺少机号",""),IF(R68="","",IF(NOT(ISNUMBER(R68)),"机号应为数值",IF(R68&lt;=0,"机号应大于0",""))),IF(S68="","缺少进口滞止密度",""),IF(S68="","",IF(NOT(ISNUMBER(S68)),"进口滞止密度应为数值",IF(S68&lt;=0,"进口滞止密度应大于0",""))),IF(T68="","缺少等熵指数k",""),IF(T68="","",IF(NOT(ISNUMBER(T68)),"等熵指数k应为数值",IF(OR(T68&lt;1,T68&gt;2),"等熵指数k应为1～2",""))),IF(U68="","缺少最高通风机效率ηr",""),IF(U68="","",IF(NOT(ISNUMBER(U68)),"最高通风机效率ηr应为数值",IF(OR(U68&lt;1,U68&gt;100),"最高通风机效率ηr应为1～100的百分数本值",""))),IF(AD68="","缺少铭牌照片",""),IF(AND(ISTEXT(AE68),OR(AE68&lt;&gt;TRIM(AE68),ISNUMBER(SEARCH("　",AE68)))),"填表备注含首尾空格或全角空格",""),IF(AND(H68="",F68&lt;&gt;""),"离心通风机缺少单双吸",""),IF(AND(ISNUMBER(L68),L68&gt;30000),"风机压力超过30kPa，超出通风机标准范围",""),IF(AND(F68="外转子电机直联前向多翼离心风机",G68&lt;&gt;"",G68&lt;&gt;"外转子电机直联"),"外转子前向多翼离心风机应选择外转子电机直联","")),"")</f>
        <v/>
      </c>
    </row>
    <row r="69" ht="42" customHeight="1" s="184">
      <c r="A69" s="224">
        <f>IF(COUNTA(B69,C69,D69,E69,F69,G69,H69,I69,J69,K69,L69,M69,N69,O69,P69,Q69,R69,S69,T69,U69,AD69,AE69)&gt;0,ROW()-3,"")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35" t="n"/>
      <c r="U69" s="229" t="n"/>
      <c r="V69" s="113" t="n"/>
      <c r="W69" s="236" t="n"/>
      <c r="X69" s="113" t="n"/>
      <c r="Y69" s="113" t="n"/>
      <c r="Z69" s="227" t="n"/>
      <c r="AA69" s="227" t="n"/>
      <c r="AB69" s="227" t="n"/>
      <c r="AC69" s="81" t="n"/>
      <c r="AD69" s="180" t="n"/>
      <c r="AE69" s="180" t="n"/>
      <c r="AF69" s="99">
        <f>IF(COUNTA(B69,C69,D69,E69,F69,G69,H69,I69,J69,K69,L69,M69,N69,O69,P69,Q69,R69,S69,T69,U69,AD69,AE69)&gt;0,TEXTJOIN("；",TRUE,IF(B69="","缺少设备名称",""),IF(AND(ISTEXT(B69),OR(B69&lt;&gt;TRIM(B69),ISNUMBER(SEARCH("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",E69)))),"安装位置含首尾空格或全角空格",""),IF(F69="","缺少设备类别",""),IF(F69="","",IF(COUNTIF(EV_CENTRIFUGAL_FAN_CATEGORY,F69)=0,"设备类别不在标准枚举中","")),IF(AND(ISTEXT(F69),OR(F69&lt;&gt;TRIM(F69),ISNUMBER(SEARCH("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",G69)))),"传动方式含首尾空格或全角空格",""),IF(H69="","",IF(COUNTIF(EV_SUCTION,H69)=0,"单双吸不在标准枚举中","")),IF(AND(ISTEXT(H69),OR(H69&lt;&gt;TRIM(H69),ISNUMBER(SEARCH("　",H69)))),"单双吸含首尾空格或全角空格",""),IF(I69="","缺少是否暖通空调用",""),IF(I69="","",IF(COUNTIF(EV_YES_NO,I69)=0,"是否暖通空调用不在标准枚举中","")),IF(AND(ISTEXT(I69),OR(I69&lt;&gt;TRIM(I69),ISNUMBER(SEARCH("　",I69)))),"是否暖通空调用含首尾空格或全角空格",""),IF(J69="","缺少是否带进气箱",""),IF(J69="","",IF(COUNTIF(EV_YES_NO,J69)=0,"是否带进气箱不在标准枚举中","")),IF(AND(ISTEXT(J69),OR(J69&lt;&gt;TRIM(J69),ISNUMBER(SEARCH("　",J69)))),"是否带进气箱含首尾空格或全角空格",""),IF(K69="","缺少流量",""),IF(K69="","",IF(NOT(ISNUMBER(K69)),"流量应为数值",IF(K69&lt;=0,"流量应大于0",""))),IF(L69="","缺少风机压力pF",""),IF(L69="","",IF(NOT(ISNUMBER(L69)),"风机压力pF应为数值",IF(L69&lt;=0,"风机压力pF应大于0",""))),IF(M69="","缺少出口滞止压力",""),IF(M69="","",IF(NOT(ISNUMBER(M69)),"出口滞止压力应为数值",IF(M69&lt;=0,"出口滞止压力应大于0",""))),IF(N69="","缺少进口滞止压力",""),IF(N69="","",IF(NOT(ISNUMBER(N69)),"进口滞止压力应为数值",IF(N69&lt;=0,"进口滞止压力应大于0",""))),IF(O69="","缺少额定功率",""),IF(O69="","",IF(NOT(ISNUMBER(O69)),"额定功率应为数值",IF(O69&lt;=0,"额定功率应大于0",""))),IF(P69="","缺少叶轮功率",""),IF(P69="","",IF(NOT(ISNUMBER(P69)),"叶轮功率应为数值",IF(P69&lt;=0,"叶轮功率应大于0",""))),IF(Q69="","缺少转速",""),IF(Q69="","",IF(NOT(ISNUMBER(Q69)),"转速应为数值",IF(Q69&lt;=0,"转速应大于0",""))),IF(R69="","缺少机号",""),IF(R69="","",IF(NOT(ISNUMBER(R69)),"机号应为数值",IF(R69&lt;=0,"机号应大于0",""))),IF(S69="","缺少进口滞止密度",""),IF(S69="","",IF(NOT(ISNUMBER(S69)),"进口滞止密度应为数值",IF(S69&lt;=0,"进口滞止密度应大于0",""))),IF(T69="","缺少等熵指数k",""),IF(T69="","",IF(NOT(ISNUMBER(T69)),"等熵指数k应为数值",IF(OR(T69&lt;1,T69&gt;2),"等熵指数k应为1～2",""))),IF(U69="","缺少最高通风机效率ηr",""),IF(U69="","",IF(NOT(ISNUMBER(U69)),"最高通风机效率ηr应为数值",IF(OR(U69&lt;1,U69&gt;100),"最高通风机效率ηr应为1～100的百分数本值",""))),IF(AD69="","缺少铭牌照片",""),IF(AND(ISTEXT(AE69),OR(AE69&lt;&gt;TRIM(AE69),ISNUMBER(SEARCH("　",AE69)))),"填表备注含首尾空格或全角空格",""),IF(AND(H69="",F69&lt;&gt;""),"离心通风机缺少单双吸",""),IF(AND(ISNUMBER(L69),L69&gt;30000),"风机压力超过30kPa，超出通风机标准范围",""),IF(AND(F69="外转子电机直联前向多翼离心风机",G69&lt;&gt;"",G69&lt;&gt;"外转子电机直联"),"外转子前向多翼离心风机应选择外转子电机直联","")),"")</f>
        <v/>
      </c>
    </row>
    <row r="70" ht="42" customHeight="1" s="184">
      <c r="A70" s="224">
        <f>IF(COUNTA(B70,C70,D70,E70,F70,G70,H70,I70,J70,K70,L70,M70,N70,O70,P70,Q70,R70,S70,T70,U70,AD70,AE70)&gt;0,ROW()-3,"")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35" t="n"/>
      <c r="U70" s="229" t="n"/>
      <c r="V70" s="113" t="n"/>
      <c r="W70" s="236" t="n"/>
      <c r="X70" s="113" t="n"/>
      <c r="Y70" s="113" t="n"/>
      <c r="Z70" s="227" t="n"/>
      <c r="AA70" s="227" t="n"/>
      <c r="AB70" s="227" t="n"/>
      <c r="AC70" s="81" t="n"/>
      <c r="AD70" s="180" t="n"/>
      <c r="AE70" s="180" t="n"/>
      <c r="AF70" s="99">
        <f>IF(COUNTA(B70,C70,D70,E70,F70,G70,H70,I70,J70,K70,L70,M70,N70,O70,P70,Q70,R70,S70,T70,U70,AD70,AE70)&gt;0,TEXTJOIN("；",TRUE,IF(B70="","缺少设备名称",""),IF(AND(ISTEXT(B70),OR(B70&lt;&gt;TRIM(B70),ISNUMBER(SEARCH("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",E70)))),"安装位置含首尾空格或全角空格",""),IF(F70="","缺少设备类别",""),IF(F70="","",IF(COUNTIF(EV_CENTRIFUGAL_FAN_CATEGORY,F70)=0,"设备类别不在标准枚举中","")),IF(AND(ISTEXT(F70),OR(F70&lt;&gt;TRIM(F70),ISNUMBER(SEARCH("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",G70)))),"传动方式含首尾空格或全角空格",""),IF(H70="","",IF(COUNTIF(EV_SUCTION,H70)=0,"单双吸不在标准枚举中","")),IF(AND(ISTEXT(H70),OR(H70&lt;&gt;TRIM(H70),ISNUMBER(SEARCH("　",H70)))),"单双吸含首尾空格或全角空格",""),IF(I70="","缺少是否暖通空调用",""),IF(I70="","",IF(COUNTIF(EV_YES_NO,I70)=0,"是否暖通空调用不在标准枚举中","")),IF(AND(ISTEXT(I70),OR(I70&lt;&gt;TRIM(I70),ISNUMBER(SEARCH("　",I70)))),"是否暖通空调用含首尾空格或全角空格",""),IF(J70="","缺少是否带进气箱",""),IF(J70="","",IF(COUNTIF(EV_YES_NO,J70)=0,"是否带进气箱不在标准枚举中","")),IF(AND(ISTEXT(J70),OR(J70&lt;&gt;TRIM(J70),ISNUMBER(SEARCH("　",J70)))),"是否带进气箱含首尾空格或全角空格",""),IF(K70="","缺少流量",""),IF(K70="","",IF(NOT(ISNUMBER(K70)),"流量应为数值",IF(K70&lt;=0,"流量应大于0",""))),IF(L70="","缺少风机压力pF",""),IF(L70="","",IF(NOT(ISNUMBER(L70)),"风机压力pF应为数值",IF(L70&lt;=0,"风机压力pF应大于0",""))),IF(M70="","缺少出口滞止压力",""),IF(M70="","",IF(NOT(ISNUMBER(M70)),"出口滞止压力应为数值",IF(M70&lt;=0,"出口滞止压力应大于0",""))),IF(N70="","缺少进口滞止压力",""),IF(N70="","",IF(NOT(ISNUMBER(N70)),"进口滞止压力应为数值",IF(N70&lt;=0,"进口滞止压力应大于0",""))),IF(O70="","缺少额定功率",""),IF(O70="","",IF(NOT(ISNUMBER(O70)),"额定功率应为数值",IF(O70&lt;=0,"额定功率应大于0",""))),IF(P70="","缺少叶轮功率",""),IF(P70="","",IF(NOT(ISNUMBER(P70)),"叶轮功率应为数值",IF(P70&lt;=0,"叶轮功率应大于0",""))),IF(Q70="","缺少转速",""),IF(Q70="","",IF(NOT(ISNUMBER(Q70)),"转速应为数值",IF(Q70&lt;=0,"转速应大于0",""))),IF(R70="","缺少机号",""),IF(R70="","",IF(NOT(ISNUMBER(R70)),"机号应为数值",IF(R70&lt;=0,"机号应大于0",""))),IF(S70="","缺少进口滞止密度",""),IF(S70="","",IF(NOT(ISNUMBER(S70)),"进口滞止密度应为数值",IF(S70&lt;=0,"进口滞止密度应大于0",""))),IF(T70="","缺少等熵指数k",""),IF(T70="","",IF(NOT(ISNUMBER(T70)),"等熵指数k应为数值",IF(OR(T70&lt;1,T70&gt;2),"等熵指数k应为1～2",""))),IF(U70="","缺少最高通风机效率ηr",""),IF(U70="","",IF(NOT(ISNUMBER(U70)),"最高通风机效率ηr应为数值",IF(OR(U70&lt;1,U70&gt;100),"最高通风机效率ηr应为1～100的百分数本值",""))),IF(AD70="","缺少铭牌照片",""),IF(AND(ISTEXT(AE70),OR(AE70&lt;&gt;TRIM(AE70),ISNUMBER(SEARCH("　",AE70)))),"填表备注含首尾空格或全角空格",""),IF(AND(H70="",F70&lt;&gt;""),"离心通风机缺少单双吸",""),IF(AND(ISNUMBER(L70),L70&gt;30000),"风机压力超过30kPa，超出通风机标准范围",""),IF(AND(F70="外转子电机直联前向多翼离心风机",G70&lt;&gt;"",G70&lt;&gt;"外转子电机直联"),"外转子前向多翼离心风机应选择外转子电机直联","")),"")</f>
        <v/>
      </c>
    </row>
    <row r="71" ht="42" customHeight="1" s="184">
      <c r="A71" s="224">
        <f>IF(COUNTA(B71,C71,D71,E71,F71,G71,H71,I71,J71,K71,L71,M71,N71,O71,P71,Q71,R71,S71,T71,U71,AD71,AE71)&gt;0,ROW()-3,"")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29" t="n"/>
      <c r="L71" s="229" t="n"/>
      <c r="M71" s="229" t="n"/>
      <c r="N71" s="229" t="n"/>
      <c r="O71" s="229" t="n"/>
      <c r="P71" s="229" t="n"/>
      <c r="Q71" s="229" t="n"/>
      <c r="R71" s="229" t="n"/>
      <c r="S71" s="229" t="n"/>
      <c r="T71" s="235" t="n"/>
      <c r="U71" s="229" t="n"/>
      <c r="V71" s="113" t="n"/>
      <c r="W71" s="236" t="n"/>
      <c r="X71" s="113" t="n"/>
      <c r="Y71" s="113" t="n"/>
      <c r="Z71" s="227" t="n"/>
      <c r="AA71" s="227" t="n"/>
      <c r="AB71" s="227" t="n"/>
      <c r="AC71" s="81" t="n"/>
      <c r="AD71" s="180" t="n"/>
      <c r="AE71" s="180" t="n"/>
      <c r="AF71" s="99">
        <f>IF(COUNTA(B71,C71,D71,E71,F71,G71,H71,I71,J71,K71,L71,M71,N71,O71,P71,Q71,R71,S71,T71,U71,AD71,AE71)&gt;0,TEXTJOIN("；",TRUE,IF(B71="","缺少设备名称",""),IF(AND(ISTEXT(B71),OR(B71&lt;&gt;TRIM(B71),ISNUMBER(SEARCH("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",E71)))),"安装位置含首尾空格或全角空格",""),IF(F71="","缺少设备类别",""),IF(F71="","",IF(COUNTIF(EV_CENTRIFUGAL_FAN_CATEGORY,F71)=0,"设备类别不在标准枚举中","")),IF(AND(ISTEXT(F71),OR(F71&lt;&gt;TRIM(F71),ISNUMBER(SEARCH("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",G71)))),"传动方式含首尾空格或全角空格",""),IF(H71="","",IF(COUNTIF(EV_SUCTION,H71)=0,"单双吸不在标准枚举中","")),IF(AND(ISTEXT(H71),OR(H71&lt;&gt;TRIM(H71),ISNUMBER(SEARCH("　",H71)))),"单双吸含首尾空格或全角空格",""),IF(I71="","缺少是否暖通空调用",""),IF(I71="","",IF(COUNTIF(EV_YES_NO,I71)=0,"是否暖通空调用不在标准枚举中","")),IF(AND(ISTEXT(I71),OR(I71&lt;&gt;TRIM(I71),ISNUMBER(SEARCH("　",I71)))),"是否暖通空调用含首尾空格或全角空格",""),IF(J71="","缺少是否带进气箱",""),IF(J71="","",IF(COUNTIF(EV_YES_NO,J71)=0,"是否带进气箱不在标准枚举中","")),IF(AND(ISTEXT(J71),OR(J71&lt;&gt;TRIM(J71),ISNUMBER(SEARCH("　",J71)))),"是否带进气箱含首尾空格或全角空格",""),IF(K71="","缺少流量",""),IF(K71="","",IF(NOT(ISNUMBER(K71)),"流量应为数值",IF(K71&lt;=0,"流量应大于0",""))),IF(L71="","缺少风机压力pF",""),IF(L71="","",IF(NOT(ISNUMBER(L71)),"风机压力pF应为数值",IF(L71&lt;=0,"风机压力pF应大于0",""))),IF(M71="","缺少出口滞止压力",""),IF(M71="","",IF(NOT(ISNUMBER(M71)),"出口滞止压力应为数值",IF(M71&lt;=0,"出口滞止压力应大于0",""))),IF(N71="","缺少进口滞止压力",""),IF(N71="","",IF(NOT(ISNUMBER(N71)),"进口滞止压力应为数值",IF(N71&lt;=0,"进口滞止压力应大于0",""))),IF(O71="","缺少额定功率",""),IF(O71="","",IF(NOT(ISNUMBER(O71)),"额定功率应为数值",IF(O71&lt;=0,"额定功率应大于0",""))),IF(P71="","缺少叶轮功率",""),IF(P71="","",IF(NOT(ISNUMBER(P71)),"叶轮功率应为数值",IF(P71&lt;=0,"叶轮功率应大于0",""))),IF(Q71="","缺少转速",""),IF(Q71="","",IF(NOT(ISNUMBER(Q71)),"转速应为数值",IF(Q71&lt;=0,"转速应大于0",""))),IF(R71="","缺少机号",""),IF(R71="","",IF(NOT(ISNUMBER(R71)),"机号应为数值",IF(R71&lt;=0,"机号应大于0",""))),IF(S71="","缺少进口滞止密度",""),IF(S71="","",IF(NOT(ISNUMBER(S71)),"进口滞止密度应为数值",IF(S71&lt;=0,"进口滞止密度应大于0",""))),IF(T71="","缺少等熵指数k",""),IF(T71="","",IF(NOT(ISNUMBER(T71)),"等熵指数k应为数值",IF(OR(T71&lt;1,T71&gt;2),"等熵指数k应为1～2",""))),IF(U71="","缺少最高通风机效率ηr",""),IF(U71="","",IF(NOT(ISNUMBER(U71)),"最高通风机效率ηr应为数值",IF(OR(U71&lt;1,U71&gt;100),"最高通风机效率ηr应为1～100的百分数本值",""))),IF(AD71="","缺少铭牌照片",""),IF(AND(ISTEXT(AE71),OR(AE71&lt;&gt;TRIM(AE71),ISNUMBER(SEARCH("　",AE71)))),"填表备注含首尾空格或全角空格",""),IF(AND(H71="",F71&lt;&gt;""),"离心通风机缺少单双吸",""),IF(AND(ISNUMBER(L71),L71&gt;30000),"风机压力超过30kPa，超出通风机标准范围",""),IF(AND(F71="外转子电机直联前向多翼离心风机",G71&lt;&gt;"",G71&lt;&gt;"外转子电机直联"),"外转子前向多翼离心风机应选择外转子电机直联","")),"")</f>
        <v/>
      </c>
    </row>
    <row r="72" ht="42" customHeight="1" s="184">
      <c r="A72" s="224">
        <f>IF(COUNTA(B72,C72,D72,E72,F72,G72,H72,I72,J72,K72,L72,M72,N72,O72,P72,Q72,R72,S72,T72,U72,AD72,AE72)&gt;0,ROW()-3,"")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29" t="n"/>
      <c r="L72" s="229" t="n"/>
      <c r="M72" s="229" t="n"/>
      <c r="N72" s="229" t="n"/>
      <c r="O72" s="229" t="n"/>
      <c r="P72" s="229" t="n"/>
      <c r="Q72" s="229" t="n"/>
      <c r="R72" s="229" t="n"/>
      <c r="S72" s="229" t="n"/>
      <c r="T72" s="235" t="n"/>
      <c r="U72" s="229" t="n"/>
      <c r="V72" s="113" t="n"/>
      <c r="W72" s="236" t="n"/>
      <c r="X72" s="113" t="n"/>
      <c r="Y72" s="113" t="n"/>
      <c r="Z72" s="227" t="n"/>
      <c r="AA72" s="227" t="n"/>
      <c r="AB72" s="227" t="n"/>
      <c r="AC72" s="81" t="n"/>
      <c r="AD72" s="180" t="n"/>
      <c r="AE72" s="180" t="n"/>
      <c r="AF72" s="99">
        <f>IF(COUNTA(B72,C72,D72,E72,F72,G72,H72,I72,J72,K72,L72,M72,N72,O72,P72,Q72,R72,S72,T72,U72,AD72,AE72)&gt;0,TEXTJOIN("；",TRUE,IF(B72="","缺少设备名称",""),IF(AND(ISTEXT(B72),OR(B72&lt;&gt;TRIM(B72),ISNUMBER(SEARCH("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",E72)))),"安装位置含首尾空格或全角空格",""),IF(F72="","缺少设备类别",""),IF(F72="","",IF(COUNTIF(EV_CENTRIFUGAL_FAN_CATEGORY,F72)=0,"设备类别不在标准枚举中","")),IF(AND(ISTEXT(F72),OR(F72&lt;&gt;TRIM(F72),ISNUMBER(SEARCH("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",G72)))),"传动方式含首尾空格或全角空格",""),IF(H72="","",IF(COUNTIF(EV_SUCTION,H72)=0,"单双吸不在标准枚举中","")),IF(AND(ISTEXT(H72),OR(H72&lt;&gt;TRIM(H72),ISNUMBER(SEARCH("　",H72)))),"单双吸含首尾空格或全角空格",""),IF(I72="","缺少是否暖通空调用",""),IF(I72="","",IF(COUNTIF(EV_YES_NO,I72)=0,"是否暖通空调用不在标准枚举中","")),IF(AND(ISTEXT(I72),OR(I72&lt;&gt;TRIM(I72),ISNUMBER(SEARCH("　",I72)))),"是否暖通空调用含首尾空格或全角空格",""),IF(J72="","缺少是否带进气箱",""),IF(J72="","",IF(COUNTIF(EV_YES_NO,J72)=0,"是否带进气箱不在标准枚举中","")),IF(AND(ISTEXT(J72),OR(J72&lt;&gt;TRIM(J72),ISNUMBER(SEARCH("　",J72)))),"是否带进气箱含首尾空格或全角空格",""),IF(K72="","缺少流量",""),IF(K72="","",IF(NOT(ISNUMBER(K72)),"流量应为数值",IF(K72&lt;=0,"流量应大于0",""))),IF(L72="","缺少风机压力pF",""),IF(L72="","",IF(NOT(ISNUMBER(L72)),"风机压力pF应为数值",IF(L72&lt;=0,"风机压力pF应大于0",""))),IF(M72="","缺少出口滞止压力",""),IF(M72="","",IF(NOT(ISNUMBER(M72)),"出口滞止压力应为数值",IF(M72&lt;=0,"出口滞止压力应大于0",""))),IF(N72="","缺少进口滞止压力",""),IF(N72="","",IF(NOT(ISNUMBER(N72)),"进口滞止压力应为数值",IF(N72&lt;=0,"进口滞止压力应大于0",""))),IF(O72="","缺少额定功率",""),IF(O72="","",IF(NOT(ISNUMBER(O72)),"额定功率应为数值",IF(O72&lt;=0,"额定功率应大于0",""))),IF(P72="","缺少叶轮功率",""),IF(P72="","",IF(NOT(ISNUMBER(P72)),"叶轮功率应为数值",IF(P72&lt;=0,"叶轮功率应大于0",""))),IF(Q72="","缺少转速",""),IF(Q72="","",IF(NOT(ISNUMBER(Q72)),"转速应为数值",IF(Q72&lt;=0,"转速应大于0",""))),IF(R72="","缺少机号",""),IF(R72="","",IF(NOT(ISNUMBER(R72)),"机号应为数值",IF(R72&lt;=0,"机号应大于0",""))),IF(S72="","缺少进口滞止密度",""),IF(S72="","",IF(NOT(ISNUMBER(S72)),"进口滞止密度应为数值",IF(S72&lt;=0,"进口滞止密度应大于0",""))),IF(T72="","缺少等熵指数k",""),IF(T72="","",IF(NOT(ISNUMBER(T72)),"等熵指数k应为数值",IF(OR(T72&lt;1,T72&gt;2),"等熵指数k应为1～2",""))),IF(U72="","缺少最高通风机效率ηr",""),IF(U72="","",IF(NOT(ISNUMBER(U72)),"最高通风机效率ηr应为数值",IF(OR(U72&lt;1,U72&gt;100),"最高通风机效率ηr应为1～100的百分数本值",""))),IF(AD72="","缺少铭牌照片",""),IF(AND(ISTEXT(AE72),OR(AE72&lt;&gt;TRIM(AE72),ISNUMBER(SEARCH("　",AE72)))),"填表备注含首尾空格或全角空格",""),IF(AND(H72="",F72&lt;&gt;""),"离心通风机缺少单双吸",""),IF(AND(ISNUMBER(L72),L72&gt;30000),"风机压力超过30kPa，超出通风机标准范围",""),IF(AND(F72="外转子电机直联前向多翼离心风机",G72&lt;&gt;"",G72&lt;&gt;"外转子电机直联"),"外转子前向多翼离心风机应选择外转子电机直联","")),"")</f>
        <v/>
      </c>
    </row>
    <row r="73" ht="42" customHeight="1" s="184">
      <c r="A73" s="224">
        <f>IF(COUNTA(B73,C73,D73,E73,F73,G73,H73,I73,J73,K73,L73,M73,N73,O73,P73,Q73,R73,S73,T73,U73,AD73,AE73)&gt;0,ROW()-3,"")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35" t="n"/>
      <c r="U73" s="229" t="n"/>
      <c r="V73" s="113" t="n"/>
      <c r="W73" s="236" t="n"/>
      <c r="X73" s="113" t="n"/>
      <c r="Y73" s="113" t="n"/>
      <c r="Z73" s="227" t="n"/>
      <c r="AA73" s="227" t="n"/>
      <c r="AB73" s="227" t="n"/>
      <c r="AC73" s="81" t="n"/>
      <c r="AD73" s="180" t="n"/>
      <c r="AE73" s="180" t="n"/>
      <c r="AF73" s="99">
        <f>IF(COUNTA(B73,C73,D73,E73,F73,G73,H73,I73,J73,K73,L73,M73,N73,O73,P73,Q73,R73,S73,T73,U73,AD73,AE73)&gt;0,TEXTJOIN("；",TRUE,IF(B73="","缺少设备名称",""),IF(AND(ISTEXT(B73),OR(B73&lt;&gt;TRIM(B73),ISNUMBER(SEARCH("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",E73)))),"安装位置含首尾空格或全角空格",""),IF(F73="","缺少设备类别",""),IF(F73="","",IF(COUNTIF(EV_CENTRIFUGAL_FAN_CATEGORY,F73)=0,"设备类别不在标准枚举中","")),IF(AND(ISTEXT(F73),OR(F73&lt;&gt;TRIM(F73),ISNUMBER(SEARCH("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",G73)))),"传动方式含首尾空格或全角空格",""),IF(H73="","",IF(COUNTIF(EV_SUCTION,H73)=0,"单双吸不在标准枚举中","")),IF(AND(ISTEXT(H73),OR(H73&lt;&gt;TRIM(H73),ISNUMBER(SEARCH("　",H73)))),"单双吸含首尾空格或全角空格",""),IF(I73="","缺少是否暖通空调用",""),IF(I73="","",IF(COUNTIF(EV_YES_NO,I73)=0,"是否暖通空调用不在标准枚举中","")),IF(AND(ISTEXT(I73),OR(I73&lt;&gt;TRIM(I73),ISNUMBER(SEARCH("　",I73)))),"是否暖通空调用含首尾空格或全角空格",""),IF(J73="","缺少是否带进气箱",""),IF(J73="","",IF(COUNTIF(EV_YES_NO,J73)=0,"是否带进气箱不在标准枚举中","")),IF(AND(ISTEXT(J73),OR(J73&lt;&gt;TRIM(J73),ISNUMBER(SEARCH("　",J73)))),"是否带进气箱含首尾空格或全角空格",""),IF(K73="","缺少流量",""),IF(K73="","",IF(NOT(ISNUMBER(K73)),"流量应为数值",IF(K73&lt;=0,"流量应大于0",""))),IF(L73="","缺少风机压力pF",""),IF(L73="","",IF(NOT(ISNUMBER(L73)),"风机压力pF应为数值",IF(L73&lt;=0,"风机压力pF应大于0",""))),IF(M73="","缺少出口滞止压力",""),IF(M73="","",IF(NOT(ISNUMBER(M73)),"出口滞止压力应为数值",IF(M73&lt;=0,"出口滞止压力应大于0",""))),IF(N73="","缺少进口滞止压力",""),IF(N73="","",IF(NOT(ISNUMBER(N73)),"进口滞止压力应为数值",IF(N73&lt;=0,"进口滞止压力应大于0",""))),IF(O73="","缺少额定功率",""),IF(O73="","",IF(NOT(ISNUMBER(O73)),"额定功率应为数值",IF(O73&lt;=0,"额定功率应大于0",""))),IF(P73="","缺少叶轮功率",""),IF(P73="","",IF(NOT(ISNUMBER(P73)),"叶轮功率应为数值",IF(P73&lt;=0,"叶轮功率应大于0",""))),IF(Q73="","缺少转速",""),IF(Q73="","",IF(NOT(ISNUMBER(Q73)),"转速应为数值",IF(Q73&lt;=0,"转速应大于0",""))),IF(R73="","缺少机号",""),IF(R73="","",IF(NOT(ISNUMBER(R73)),"机号应为数值",IF(R73&lt;=0,"机号应大于0",""))),IF(S73="","缺少进口滞止密度",""),IF(S73="","",IF(NOT(ISNUMBER(S73)),"进口滞止密度应为数值",IF(S73&lt;=0,"进口滞止密度应大于0",""))),IF(T73="","缺少等熵指数k",""),IF(T73="","",IF(NOT(ISNUMBER(T73)),"等熵指数k应为数值",IF(OR(T73&lt;1,T73&gt;2),"等熵指数k应为1～2",""))),IF(U73="","缺少最高通风机效率ηr",""),IF(U73="","",IF(NOT(ISNUMBER(U73)),"最高通风机效率ηr应为数值",IF(OR(U73&lt;1,U73&gt;100),"最高通风机效率ηr应为1～100的百分数本值",""))),IF(AD73="","缺少铭牌照片",""),IF(AND(ISTEXT(AE73),OR(AE73&lt;&gt;TRIM(AE73),ISNUMBER(SEARCH("　",AE73)))),"填表备注含首尾空格或全角空格",""),IF(AND(H73="",F73&lt;&gt;""),"离心通风机缺少单双吸",""),IF(AND(ISNUMBER(L73),L73&gt;30000),"风机压力超过30kPa，超出通风机标准范围",""),IF(AND(F73="外转子电机直联前向多翼离心风机",G73&lt;&gt;"",G73&lt;&gt;"外转子电机直联"),"外转子前向多翼离心风机应选择外转子电机直联","")),"")</f>
        <v/>
      </c>
    </row>
    <row r="74" ht="42" customHeight="1" s="184">
      <c r="A74" s="224">
        <f>IF(COUNTA(B74,C74,D74,E74,F74,G74,H74,I74,J74,K74,L74,M74,N74,O74,P74,Q74,R74,S74,T74,U74,AD74,AE74)&gt;0,ROW()-3,"")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29" t="n"/>
      <c r="L74" s="229" t="n"/>
      <c r="M74" s="229" t="n"/>
      <c r="N74" s="229" t="n"/>
      <c r="O74" s="229" t="n"/>
      <c r="P74" s="229" t="n"/>
      <c r="Q74" s="229" t="n"/>
      <c r="R74" s="229" t="n"/>
      <c r="S74" s="229" t="n"/>
      <c r="T74" s="235" t="n"/>
      <c r="U74" s="229" t="n"/>
      <c r="V74" s="113" t="n"/>
      <c r="W74" s="236" t="n"/>
      <c r="X74" s="113" t="n"/>
      <c r="Y74" s="113" t="n"/>
      <c r="Z74" s="227" t="n"/>
      <c r="AA74" s="227" t="n"/>
      <c r="AB74" s="227" t="n"/>
      <c r="AC74" s="81" t="n"/>
      <c r="AD74" s="180" t="n"/>
      <c r="AE74" s="180" t="n"/>
      <c r="AF74" s="99">
        <f>IF(COUNTA(B74,C74,D74,E74,F74,G74,H74,I74,J74,K74,L74,M74,N74,O74,P74,Q74,R74,S74,T74,U74,AD74,AE74)&gt;0,TEXTJOIN("；",TRUE,IF(B74="","缺少设备名称",""),IF(AND(ISTEXT(B74),OR(B74&lt;&gt;TRIM(B74),ISNUMBER(SEARCH("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",E74)))),"安装位置含首尾空格或全角空格",""),IF(F74="","缺少设备类别",""),IF(F74="","",IF(COUNTIF(EV_CENTRIFUGAL_FAN_CATEGORY,F74)=0,"设备类别不在标准枚举中","")),IF(AND(ISTEXT(F74),OR(F74&lt;&gt;TRIM(F74),ISNUMBER(SEARCH("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",G74)))),"传动方式含首尾空格或全角空格",""),IF(H74="","",IF(COUNTIF(EV_SUCTION,H74)=0,"单双吸不在标准枚举中","")),IF(AND(ISTEXT(H74),OR(H74&lt;&gt;TRIM(H74),ISNUMBER(SEARCH("　",H74)))),"单双吸含首尾空格或全角空格",""),IF(I74="","缺少是否暖通空调用",""),IF(I74="","",IF(COUNTIF(EV_YES_NO,I74)=0,"是否暖通空调用不在标准枚举中","")),IF(AND(ISTEXT(I74),OR(I74&lt;&gt;TRIM(I74),ISNUMBER(SEARCH("　",I74)))),"是否暖通空调用含首尾空格或全角空格",""),IF(J74="","缺少是否带进气箱",""),IF(J74="","",IF(COUNTIF(EV_YES_NO,J74)=0,"是否带进气箱不在标准枚举中","")),IF(AND(ISTEXT(J74),OR(J74&lt;&gt;TRIM(J74),ISNUMBER(SEARCH("　",J74)))),"是否带进气箱含首尾空格或全角空格",""),IF(K74="","缺少流量",""),IF(K74="","",IF(NOT(ISNUMBER(K74)),"流量应为数值",IF(K74&lt;=0,"流量应大于0",""))),IF(L74="","缺少风机压力pF",""),IF(L74="","",IF(NOT(ISNUMBER(L74)),"风机压力pF应为数值",IF(L74&lt;=0,"风机压力pF应大于0",""))),IF(M74="","缺少出口滞止压力",""),IF(M74="","",IF(NOT(ISNUMBER(M74)),"出口滞止压力应为数值",IF(M74&lt;=0,"出口滞止压力应大于0",""))),IF(N74="","缺少进口滞止压力",""),IF(N74="","",IF(NOT(ISNUMBER(N74)),"进口滞止压力应为数值",IF(N74&lt;=0,"进口滞止压力应大于0",""))),IF(O74="","缺少额定功率",""),IF(O74="","",IF(NOT(ISNUMBER(O74)),"额定功率应为数值",IF(O74&lt;=0,"额定功率应大于0",""))),IF(P74="","缺少叶轮功率",""),IF(P74="","",IF(NOT(ISNUMBER(P74)),"叶轮功率应为数值",IF(P74&lt;=0,"叶轮功率应大于0",""))),IF(Q74="","缺少转速",""),IF(Q74="","",IF(NOT(ISNUMBER(Q74)),"转速应为数值",IF(Q74&lt;=0,"转速应大于0",""))),IF(R74="","缺少机号",""),IF(R74="","",IF(NOT(ISNUMBER(R74)),"机号应为数值",IF(R74&lt;=0,"机号应大于0",""))),IF(S74="","缺少进口滞止密度",""),IF(S74="","",IF(NOT(ISNUMBER(S74)),"进口滞止密度应为数值",IF(S74&lt;=0,"进口滞止密度应大于0",""))),IF(T74="","缺少等熵指数k",""),IF(T74="","",IF(NOT(ISNUMBER(T74)),"等熵指数k应为数值",IF(OR(T74&lt;1,T74&gt;2),"等熵指数k应为1～2",""))),IF(U74="","缺少最高通风机效率ηr",""),IF(U74="","",IF(NOT(ISNUMBER(U74)),"最高通风机效率ηr应为数值",IF(OR(U74&lt;1,U74&gt;100),"最高通风机效率ηr应为1～100的百分数本值",""))),IF(AD74="","缺少铭牌照片",""),IF(AND(ISTEXT(AE74),OR(AE74&lt;&gt;TRIM(AE74),ISNUMBER(SEARCH("　",AE74)))),"填表备注含首尾空格或全角空格",""),IF(AND(H74="",F74&lt;&gt;""),"离心通风机缺少单双吸",""),IF(AND(ISNUMBER(L74),L74&gt;30000),"风机压力超过30kPa，超出通风机标准范围",""),IF(AND(F74="外转子电机直联前向多翼离心风机",G74&lt;&gt;"",G74&lt;&gt;"外转子电机直联"),"外转子前向多翼离心风机应选择外转子电机直联","")),"")</f>
        <v/>
      </c>
    </row>
    <row r="75" ht="42" customHeight="1" s="184">
      <c r="A75" s="224">
        <f>IF(COUNTA(B75,C75,D75,E75,F75,G75,H75,I75,J75,K75,L75,M75,N75,O75,P75,Q75,R75,S75,T75,U75,AD75,AE75)&gt;0,ROW()-3,"")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35" t="n"/>
      <c r="U75" s="229" t="n"/>
      <c r="V75" s="113" t="n"/>
      <c r="W75" s="236" t="n"/>
      <c r="X75" s="113" t="n"/>
      <c r="Y75" s="113" t="n"/>
      <c r="Z75" s="227" t="n"/>
      <c r="AA75" s="227" t="n"/>
      <c r="AB75" s="227" t="n"/>
      <c r="AC75" s="81" t="n"/>
      <c r="AD75" s="180" t="n"/>
      <c r="AE75" s="180" t="n"/>
      <c r="AF75" s="99">
        <f>IF(COUNTA(B75,C75,D75,E75,F75,G75,H75,I75,J75,K75,L75,M75,N75,O75,P75,Q75,R75,S75,T75,U75,AD75,AE75)&gt;0,TEXTJOIN("；",TRUE,IF(B75="","缺少设备名称",""),IF(AND(ISTEXT(B75),OR(B75&lt;&gt;TRIM(B75),ISNUMBER(SEARCH("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",E75)))),"安装位置含首尾空格或全角空格",""),IF(F75="","缺少设备类别",""),IF(F75="","",IF(COUNTIF(EV_CENTRIFUGAL_FAN_CATEGORY,F75)=0,"设备类别不在标准枚举中","")),IF(AND(ISTEXT(F75),OR(F75&lt;&gt;TRIM(F75),ISNUMBER(SEARCH("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",G75)))),"传动方式含首尾空格或全角空格",""),IF(H75="","",IF(COUNTIF(EV_SUCTION,H75)=0,"单双吸不在标准枚举中","")),IF(AND(ISTEXT(H75),OR(H75&lt;&gt;TRIM(H75),ISNUMBER(SEARCH("　",H75)))),"单双吸含首尾空格或全角空格",""),IF(I75="","缺少是否暖通空调用",""),IF(I75="","",IF(COUNTIF(EV_YES_NO,I75)=0,"是否暖通空调用不在标准枚举中","")),IF(AND(ISTEXT(I75),OR(I75&lt;&gt;TRIM(I75),ISNUMBER(SEARCH("　",I75)))),"是否暖通空调用含首尾空格或全角空格",""),IF(J75="","缺少是否带进气箱",""),IF(J75="","",IF(COUNTIF(EV_YES_NO,J75)=0,"是否带进气箱不在标准枚举中","")),IF(AND(ISTEXT(J75),OR(J75&lt;&gt;TRIM(J75),ISNUMBER(SEARCH("　",J75)))),"是否带进气箱含首尾空格或全角空格",""),IF(K75="","缺少流量",""),IF(K75="","",IF(NOT(ISNUMBER(K75)),"流量应为数值",IF(K75&lt;=0,"流量应大于0",""))),IF(L75="","缺少风机压力pF",""),IF(L75="","",IF(NOT(ISNUMBER(L75)),"风机压力pF应为数值",IF(L75&lt;=0,"风机压力pF应大于0",""))),IF(M75="","缺少出口滞止压力",""),IF(M75="","",IF(NOT(ISNUMBER(M75)),"出口滞止压力应为数值",IF(M75&lt;=0,"出口滞止压力应大于0",""))),IF(N75="","缺少进口滞止压力",""),IF(N75="","",IF(NOT(ISNUMBER(N75)),"进口滞止压力应为数值",IF(N75&lt;=0,"进口滞止压力应大于0",""))),IF(O75="","缺少额定功率",""),IF(O75="","",IF(NOT(ISNUMBER(O75)),"额定功率应为数值",IF(O75&lt;=0,"额定功率应大于0",""))),IF(P75="","缺少叶轮功率",""),IF(P75="","",IF(NOT(ISNUMBER(P75)),"叶轮功率应为数值",IF(P75&lt;=0,"叶轮功率应大于0",""))),IF(Q75="","缺少转速",""),IF(Q75="","",IF(NOT(ISNUMBER(Q75)),"转速应为数值",IF(Q75&lt;=0,"转速应大于0",""))),IF(R75="","缺少机号",""),IF(R75="","",IF(NOT(ISNUMBER(R75)),"机号应为数值",IF(R75&lt;=0,"机号应大于0",""))),IF(S75="","缺少进口滞止密度",""),IF(S75="","",IF(NOT(ISNUMBER(S75)),"进口滞止密度应为数值",IF(S75&lt;=0,"进口滞止密度应大于0",""))),IF(T75="","缺少等熵指数k",""),IF(T75="","",IF(NOT(ISNUMBER(T75)),"等熵指数k应为数值",IF(OR(T75&lt;1,T75&gt;2),"等熵指数k应为1～2",""))),IF(U75="","缺少最高通风机效率ηr",""),IF(U75="","",IF(NOT(ISNUMBER(U75)),"最高通风机效率ηr应为数值",IF(OR(U75&lt;1,U75&gt;100),"最高通风机效率ηr应为1～100的百分数本值",""))),IF(AD75="","缺少铭牌照片",""),IF(AND(ISTEXT(AE75),OR(AE75&lt;&gt;TRIM(AE75),ISNUMBER(SEARCH("　",AE75)))),"填表备注含首尾空格或全角空格",""),IF(AND(H75="",F75&lt;&gt;""),"离心通风机缺少单双吸",""),IF(AND(ISNUMBER(L75),L75&gt;30000),"风机压力超过30kPa，超出通风机标准范围",""),IF(AND(F75="外转子电机直联前向多翼离心风机",G75&lt;&gt;"",G75&lt;&gt;"外转子电机直联"),"外转子前向多翼离心风机应选择外转子电机直联","")),"")</f>
        <v/>
      </c>
    </row>
    <row r="76" ht="42" customHeight="1" s="184">
      <c r="A76" s="224">
        <f>IF(COUNTA(B76,C76,D76,E76,F76,G76,H76,I76,J76,K76,L76,M76,N76,O76,P76,Q76,R76,S76,T76,U76,AD76,AE76)&gt;0,ROW()-3,"")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29" t="n"/>
      <c r="L76" s="229" t="n"/>
      <c r="M76" s="229" t="n"/>
      <c r="N76" s="229" t="n"/>
      <c r="O76" s="229" t="n"/>
      <c r="P76" s="229" t="n"/>
      <c r="Q76" s="229" t="n"/>
      <c r="R76" s="229" t="n"/>
      <c r="S76" s="229" t="n"/>
      <c r="T76" s="235" t="n"/>
      <c r="U76" s="229" t="n"/>
      <c r="V76" s="113" t="n"/>
      <c r="W76" s="236" t="n"/>
      <c r="X76" s="113" t="n"/>
      <c r="Y76" s="113" t="n"/>
      <c r="Z76" s="227" t="n"/>
      <c r="AA76" s="227" t="n"/>
      <c r="AB76" s="227" t="n"/>
      <c r="AC76" s="81" t="n"/>
      <c r="AD76" s="180" t="n"/>
      <c r="AE76" s="180" t="n"/>
      <c r="AF76" s="99">
        <f>IF(COUNTA(B76,C76,D76,E76,F76,G76,H76,I76,J76,K76,L76,M76,N76,O76,P76,Q76,R76,S76,T76,U76,AD76,AE76)&gt;0,TEXTJOIN("；",TRUE,IF(B76="","缺少设备名称",""),IF(AND(ISTEXT(B76),OR(B76&lt;&gt;TRIM(B76),ISNUMBER(SEARCH("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",E76)))),"安装位置含首尾空格或全角空格",""),IF(F76="","缺少设备类别",""),IF(F76="","",IF(COUNTIF(EV_CENTRIFUGAL_FAN_CATEGORY,F76)=0,"设备类别不在标准枚举中","")),IF(AND(ISTEXT(F76),OR(F76&lt;&gt;TRIM(F76),ISNUMBER(SEARCH("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",G76)))),"传动方式含首尾空格或全角空格",""),IF(H76="","",IF(COUNTIF(EV_SUCTION,H76)=0,"单双吸不在标准枚举中","")),IF(AND(ISTEXT(H76),OR(H76&lt;&gt;TRIM(H76),ISNUMBER(SEARCH("　",H76)))),"单双吸含首尾空格或全角空格",""),IF(I76="","缺少是否暖通空调用",""),IF(I76="","",IF(COUNTIF(EV_YES_NO,I76)=0,"是否暖通空调用不在标准枚举中","")),IF(AND(ISTEXT(I76),OR(I76&lt;&gt;TRIM(I76),ISNUMBER(SEARCH("　",I76)))),"是否暖通空调用含首尾空格或全角空格",""),IF(J76="","缺少是否带进气箱",""),IF(J76="","",IF(COUNTIF(EV_YES_NO,J76)=0,"是否带进气箱不在标准枚举中","")),IF(AND(ISTEXT(J76),OR(J76&lt;&gt;TRIM(J76),ISNUMBER(SEARCH("　",J76)))),"是否带进气箱含首尾空格或全角空格",""),IF(K76="","缺少流量",""),IF(K76="","",IF(NOT(ISNUMBER(K76)),"流量应为数值",IF(K76&lt;=0,"流量应大于0",""))),IF(L76="","缺少风机压力pF",""),IF(L76="","",IF(NOT(ISNUMBER(L76)),"风机压力pF应为数值",IF(L76&lt;=0,"风机压力pF应大于0",""))),IF(M76="","缺少出口滞止压力",""),IF(M76="","",IF(NOT(ISNUMBER(M76)),"出口滞止压力应为数值",IF(M76&lt;=0,"出口滞止压力应大于0",""))),IF(N76="","缺少进口滞止压力",""),IF(N76="","",IF(NOT(ISNUMBER(N76)),"进口滞止压力应为数值",IF(N76&lt;=0,"进口滞止压力应大于0",""))),IF(O76="","缺少额定功率",""),IF(O76="","",IF(NOT(ISNUMBER(O76)),"额定功率应为数值",IF(O76&lt;=0,"额定功率应大于0",""))),IF(P76="","缺少叶轮功率",""),IF(P76="","",IF(NOT(ISNUMBER(P76)),"叶轮功率应为数值",IF(P76&lt;=0,"叶轮功率应大于0",""))),IF(Q76="","缺少转速",""),IF(Q76="","",IF(NOT(ISNUMBER(Q76)),"转速应为数值",IF(Q76&lt;=0,"转速应大于0",""))),IF(R76="","缺少机号",""),IF(R76="","",IF(NOT(ISNUMBER(R76)),"机号应为数值",IF(R76&lt;=0,"机号应大于0",""))),IF(S76="","缺少进口滞止密度",""),IF(S76="","",IF(NOT(ISNUMBER(S76)),"进口滞止密度应为数值",IF(S76&lt;=0,"进口滞止密度应大于0",""))),IF(T76="","缺少等熵指数k",""),IF(T76="","",IF(NOT(ISNUMBER(T76)),"等熵指数k应为数值",IF(OR(T76&lt;1,T76&gt;2),"等熵指数k应为1～2",""))),IF(U76="","缺少最高通风机效率ηr",""),IF(U76="","",IF(NOT(ISNUMBER(U76)),"最高通风机效率ηr应为数值",IF(OR(U76&lt;1,U76&gt;100),"最高通风机效率ηr应为1～100的百分数本值",""))),IF(AD76="","缺少铭牌照片",""),IF(AND(ISTEXT(AE76),OR(AE76&lt;&gt;TRIM(AE76),ISNUMBER(SEARCH("　",AE76)))),"填表备注含首尾空格或全角空格",""),IF(AND(H76="",F76&lt;&gt;""),"离心通风机缺少单双吸",""),IF(AND(ISNUMBER(L76),L76&gt;30000),"风机压力超过30kPa，超出通风机标准范围",""),IF(AND(F76="外转子电机直联前向多翼离心风机",G76&lt;&gt;"",G76&lt;&gt;"外转子电机直联"),"外转子前向多翼离心风机应选择外转子电机直联","")),"")</f>
        <v/>
      </c>
    </row>
    <row r="77" ht="42" customHeight="1" s="184">
      <c r="A77" s="224">
        <f>IF(COUNTA(B77,C77,D77,E77,F77,G77,H77,I77,J77,K77,L77,M77,N77,O77,P77,Q77,R77,S77,T77,U77,AD77,AE77)&gt;0,ROW()-3,"")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35" t="n"/>
      <c r="U77" s="229" t="n"/>
      <c r="V77" s="113" t="n"/>
      <c r="W77" s="236" t="n"/>
      <c r="X77" s="113" t="n"/>
      <c r="Y77" s="113" t="n"/>
      <c r="Z77" s="227" t="n"/>
      <c r="AA77" s="227" t="n"/>
      <c r="AB77" s="227" t="n"/>
      <c r="AC77" s="81" t="n"/>
      <c r="AD77" s="180" t="n"/>
      <c r="AE77" s="180" t="n"/>
      <c r="AF77" s="99">
        <f>IF(COUNTA(B77,C77,D77,E77,F77,G77,H77,I77,J77,K77,L77,M77,N77,O77,P77,Q77,R77,S77,T77,U77,AD77,AE77)&gt;0,TEXTJOIN("；",TRUE,IF(B77="","缺少设备名称",""),IF(AND(ISTEXT(B77),OR(B77&lt;&gt;TRIM(B77),ISNUMBER(SEARCH("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",E77)))),"安装位置含首尾空格或全角空格",""),IF(F77="","缺少设备类别",""),IF(F77="","",IF(COUNTIF(EV_CENTRIFUGAL_FAN_CATEGORY,F77)=0,"设备类别不在标准枚举中","")),IF(AND(ISTEXT(F77),OR(F77&lt;&gt;TRIM(F77),ISNUMBER(SEARCH("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",G77)))),"传动方式含首尾空格或全角空格",""),IF(H77="","",IF(COUNTIF(EV_SUCTION,H77)=0,"单双吸不在标准枚举中","")),IF(AND(ISTEXT(H77),OR(H77&lt;&gt;TRIM(H77),ISNUMBER(SEARCH("　",H77)))),"单双吸含首尾空格或全角空格",""),IF(I77="","缺少是否暖通空调用",""),IF(I77="","",IF(COUNTIF(EV_YES_NO,I77)=0,"是否暖通空调用不在标准枚举中","")),IF(AND(ISTEXT(I77),OR(I77&lt;&gt;TRIM(I77),ISNUMBER(SEARCH("　",I77)))),"是否暖通空调用含首尾空格或全角空格",""),IF(J77="","缺少是否带进气箱",""),IF(J77="","",IF(COUNTIF(EV_YES_NO,J77)=0,"是否带进气箱不在标准枚举中","")),IF(AND(ISTEXT(J77),OR(J77&lt;&gt;TRIM(J77),ISNUMBER(SEARCH("　",J77)))),"是否带进气箱含首尾空格或全角空格",""),IF(K77="","缺少流量",""),IF(K77="","",IF(NOT(ISNUMBER(K77)),"流量应为数值",IF(K77&lt;=0,"流量应大于0",""))),IF(L77="","缺少风机压力pF",""),IF(L77="","",IF(NOT(ISNUMBER(L77)),"风机压力pF应为数值",IF(L77&lt;=0,"风机压力pF应大于0",""))),IF(M77="","缺少出口滞止压力",""),IF(M77="","",IF(NOT(ISNUMBER(M77)),"出口滞止压力应为数值",IF(M77&lt;=0,"出口滞止压力应大于0",""))),IF(N77="","缺少进口滞止压力",""),IF(N77="","",IF(NOT(ISNUMBER(N77)),"进口滞止压力应为数值",IF(N77&lt;=0,"进口滞止压力应大于0",""))),IF(O77="","缺少额定功率",""),IF(O77="","",IF(NOT(ISNUMBER(O77)),"额定功率应为数值",IF(O77&lt;=0,"额定功率应大于0",""))),IF(P77="","缺少叶轮功率",""),IF(P77="","",IF(NOT(ISNUMBER(P77)),"叶轮功率应为数值",IF(P77&lt;=0,"叶轮功率应大于0",""))),IF(Q77="","缺少转速",""),IF(Q77="","",IF(NOT(ISNUMBER(Q77)),"转速应为数值",IF(Q77&lt;=0,"转速应大于0",""))),IF(R77="","缺少机号",""),IF(R77="","",IF(NOT(ISNUMBER(R77)),"机号应为数值",IF(R77&lt;=0,"机号应大于0",""))),IF(S77="","缺少进口滞止密度",""),IF(S77="","",IF(NOT(ISNUMBER(S77)),"进口滞止密度应为数值",IF(S77&lt;=0,"进口滞止密度应大于0",""))),IF(T77="","缺少等熵指数k",""),IF(T77="","",IF(NOT(ISNUMBER(T77)),"等熵指数k应为数值",IF(OR(T77&lt;1,T77&gt;2),"等熵指数k应为1～2",""))),IF(U77="","缺少最高通风机效率ηr",""),IF(U77="","",IF(NOT(ISNUMBER(U77)),"最高通风机效率ηr应为数值",IF(OR(U77&lt;1,U77&gt;100),"最高通风机效率ηr应为1～100的百分数本值",""))),IF(AD77="","缺少铭牌照片",""),IF(AND(ISTEXT(AE77),OR(AE77&lt;&gt;TRIM(AE77),ISNUMBER(SEARCH("　",AE77)))),"填表备注含首尾空格或全角空格",""),IF(AND(H77="",F77&lt;&gt;""),"离心通风机缺少单双吸",""),IF(AND(ISNUMBER(L77),L77&gt;30000),"风机压力超过30kPa，超出通风机标准范围",""),IF(AND(F77="外转子电机直联前向多翼离心风机",G77&lt;&gt;"",G77&lt;&gt;"外转子电机直联"),"外转子前向多翼离心风机应选择外转子电机直联","")),"")</f>
        <v/>
      </c>
    </row>
    <row r="78" ht="42" customHeight="1" s="184">
      <c r="A78" s="224">
        <f>IF(COUNTA(B78,C78,D78,E78,F78,G78,H78,I78,J78,K78,L78,M78,N78,O78,P78,Q78,R78,S78,T78,U78,AD78,AE78)&gt;0,ROW()-3,"")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35" t="n"/>
      <c r="U78" s="229" t="n"/>
      <c r="V78" s="113" t="n"/>
      <c r="W78" s="236" t="n"/>
      <c r="X78" s="113" t="n"/>
      <c r="Y78" s="113" t="n"/>
      <c r="Z78" s="227" t="n"/>
      <c r="AA78" s="227" t="n"/>
      <c r="AB78" s="227" t="n"/>
      <c r="AC78" s="81" t="n"/>
      <c r="AD78" s="180" t="n"/>
      <c r="AE78" s="180" t="n"/>
      <c r="AF78" s="99">
        <f>IF(COUNTA(B78,C78,D78,E78,F78,G78,H78,I78,J78,K78,L78,M78,N78,O78,P78,Q78,R78,S78,T78,U78,AD78,AE78)&gt;0,TEXTJOIN("；",TRUE,IF(B78="","缺少设备名称",""),IF(AND(ISTEXT(B78),OR(B78&lt;&gt;TRIM(B78),ISNUMBER(SEARCH("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",E78)))),"安装位置含首尾空格或全角空格",""),IF(F78="","缺少设备类别",""),IF(F78="","",IF(COUNTIF(EV_CENTRIFUGAL_FAN_CATEGORY,F78)=0,"设备类别不在标准枚举中","")),IF(AND(ISTEXT(F78),OR(F78&lt;&gt;TRIM(F78),ISNUMBER(SEARCH("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",G78)))),"传动方式含首尾空格或全角空格",""),IF(H78="","",IF(COUNTIF(EV_SUCTION,H78)=0,"单双吸不在标准枚举中","")),IF(AND(ISTEXT(H78),OR(H78&lt;&gt;TRIM(H78),ISNUMBER(SEARCH("　",H78)))),"单双吸含首尾空格或全角空格",""),IF(I78="","缺少是否暖通空调用",""),IF(I78="","",IF(COUNTIF(EV_YES_NO,I78)=0,"是否暖通空调用不在标准枚举中","")),IF(AND(ISTEXT(I78),OR(I78&lt;&gt;TRIM(I78),ISNUMBER(SEARCH("　",I78)))),"是否暖通空调用含首尾空格或全角空格",""),IF(J78="","缺少是否带进气箱",""),IF(J78="","",IF(COUNTIF(EV_YES_NO,J78)=0,"是否带进气箱不在标准枚举中","")),IF(AND(ISTEXT(J78),OR(J78&lt;&gt;TRIM(J78),ISNUMBER(SEARCH("　",J78)))),"是否带进气箱含首尾空格或全角空格",""),IF(K78="","缺少流量",""),IF(K78="","",IF(NOT(ISNUMBER(K78)),"流量应为数值",IF(K78&lt;=0,"流量应大于0",""))),IF(L78="","缺少风机压力pF",""),IF(L78="","",IF(NOT(ISNUMBER(L78)),"风机压力pF应为数值",IF(L78&lt;=0,"风机压力pF应大于0",""))),IF(M78="","缺少出口滞止压力",""),IF(M78="","",IF(NOT(ISNUMBER(M78)),"出口滞止压力应为数值",IF(M78&lt;=0,"出口滞止压力应大于0",""))),IF(N78="","缺少进口滞止压力",""),IF(N78="","",IF(NOT(ISNUMBER(N78)),"进口滞止压力应为数值",IF(N78&lt;=0,"进口滞止压力应大于0",""))),IF(O78="","缺少额定功率",""),IF(O78="","",IF(NOT(ISNUMBER(O78)),"额定功率应为数值",IF(O78&lt;=0,"额定功率应大于0",""))),IF(P78="","缺少叶轮功率",""),IF(P78="","",IF(NOT(ISNUMBER(P78)),"叶轮功率应为数值",IF(P78&lt;=0,"叶轮功率应大于0",""))),IF(Q78="","缺少转速",""),IF(Q78="","",IF(NOT(ISNUMBER(Q78)),"转速应为数值",IF(Q78&lt;=0,"转速应大于0",""))),IF(R78="","缺少机号",""),IF(R78="","",IF(NOT(ISNUMBER(R78)),"机号应为数值",IF(R78&lt;=0,"机号应大于0",""))),IF(S78="","缺少进口滞止密度",""),IF(S78="","",IF(NOT(ISNUMBER(S78)),"进口滞止密度应为数值",IF(S78&lt;=0,"进口滞止密度应大于0",""))),IF(T78="","缺少等熵指数k",""),IF(T78="","",IF(NOT(ISNUMBER(T78)),"等熵指数k应为数值",IF(OR(T78&lt;1,T78&gt;2),"等熵指数k应为1～2",""))),IF(U78="","缺少最高通风机效率ηr",""),IF(U78="","",IF(NOT(ISNUMBER(U78)),"最高通风机效率ηr应为数值",IF(OR(U78&lt;1,U78&gt;100),"最高通风机效率ηr应为1～100的百分数本值",""))),IF(AD78="","缺少铭牌照片",""),IF(AND(ISTEXT(AE78),OR(AE78&lt;&gt;TRIM(AE78),ISNUMBER(SEARCH("　",AE78)))),"填表备注含首尾空格或全角空格",""),IF(AND(H78="",F78&lt;&gt;""),"离心通风机缺少单双吸",""),IF(AND(ISNUMBER(L78),L78&gt;30000),"风机压力超过30kPa，超出通风机标准范围",""),IF(AND(F78="外转子电机直联前向多翼离心风机",G78&lt;&gt;"",G78&lt;&gt;"外转子电机直联"),"外转子前向多翼离心风机应选择外转子电机直联","")),"")</f>
        <v/>
      </c>
    </row>
    <row r="79" ht="42" customHeight="1" s="184">
      <c r="A79" s="224">
        <f>IF(COUNTA(B79,C79,D79,E79,F79,G79,H79,I79,J79,K79,L79,M79,N79,O79,P79,Q79,R79,S79,T79,U79,AD79,AE79)&gt;0,ROW()-3,"")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35" t="n"/>
      <c r="U79" s="229" t="n"/>
      <c r="V79" s="113" t="n"/>
      <c r="W79" s="236" t="n"/>
      <c r="X79" s="113" t="n"/>
      <c r="Y79" s="113" t="n"/>
      <c r="Z79" s="227" t="n"/>
      <c r="AA79" s="227" t="n"/>
      <c r="AB79" s="227" t="n"/>
      <c r="AC79" s="81" t="n"/>
      <c r="AD79" s="180" t="n"/>
      <c r="AE79" s="180" t="n"/>
      <c r="AF79" s="99">
        <f>IF(COUNTA(B79,C79,D79,E79,F79,G79,H79,I79,J79,K79,L79,M79,N79,O79,P79,Q79,R79,S79,T79,U79,AD79,AE79)&gt;0,TEXTJOIN("；",TRUE,IF(B79="","缺少设备名称",""),IF(AND(ISTEXT(B79),OR(B79&lt;&gt;TRIM(B79),ISNUMBER(SEARCH("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",E79)))),"安装位置含首尾空格或全角空格",""),IF(F79="","缺少设备类别",""),IF(F79="","",IF(COUNTIF(EV_CENTRIFUGAL_FAN_CATEGORY,F79)=0,"设备类别不在标准枚举中","")),IF(AND(ISTEXT(F79),OR(F79&lt;&gt;TRIM(F79),ISNUMBER(SEARCH("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",G79)))),"传动方式含首尾空格或全角空格",""),IF(H79="","",IF(COUNTIF(EV_SUCTION,H79)=0,"单双吸不在标准枚举中","")),IF(AND(ISTEXT(H79),OR(H79&lt;&gt;TRIM(H79),ISNUMBER(SEARCH("　",H79)))),"单双吸含首尾空格或全角空格",""),IF(I79="","缺少是否暖通空调用",""),IF(I79="","",IF(COUNTIF(EV_YES_NO,I79)=0,"是否暖通空调用不在标准枚举中","")),IF(AND(ISTEXT(I79),OR(I79&lt;&gt;TRIM(I79),ISNUMBER(SEARCH("　",I79)))),"是否暖通空调用含首尾空格或全角空格",""),IF(J79="","缺少是否带进气箱",""),IF(J79="","",IF(COUNTIF(EV_YES_NO,J79)=0,"是否带进气箱不在标准枚举中","")),IF(AND(ISTEXT(J79),OR(J79&lt;&gt;TRIM(J79),ISNUMBER(SEARCH("　",J79)))),"是否带进气箱含首尾空格或全角空格",""),IF(K79="","缺少流量",""),IF(K79="","",IF(NOT(ISNUMBER(K79)),"流量应为数值",IF(K79&lt;=0,"流量应大于0",""))),IF(L79="","缺少风机压力pF",""),IF(L79="","",IF(NOT(ISNUMBER(L79)),"风机压力pF应为数值",IF(L79&lt;=0,"风机压力pF应大于0",""))),IF(M79="","缺少出口滞止压力",""),IF(M79="","",IF(NOT(ISNUMBER(M79)),"出口滞止压力应为数值",IF(M79&lt;=0,"出口滞止压力应大于0",""))),IF(N79="","缺少进口滞止压力",""),IF(N79="","",IF(NOT(ISNUMBER(N79)),"进口滞止压力应为数值",IF(N79&lt;=0,"进口滞止压力应大于0",""))),IF(O79="","缺少额定功率",""),IF(O79="","",IF(NOT(ISNUMBER(O79)),"额定功率应为数值",IF(O79&lt;=0,"额定功率应大于0",""))),IF(P79="","缺少叶轮功率",""),IF(P79="","",IF(NOT(ISNUMBER(P79)),"叶轮功率应为数值",IF(P79&lt;=0,"叶轮功率应大于0",""))),IF(Q79="","缺少转速",""),IF(Q79="","",IF(NOT(ISNUMBER(Q79)),"转速应为数值",IF(Q79&lt;=0,"转速应大于0",""))),IF(R79="","缺少机号",""),IF(R79="","",IF(NOT(ISNUMBER(R79)),"机号应为数值",IF(R79&lt;=0,"机号应大于0",""))),IF(S79="","缺少进口滞止密度",""),IF(S79="","",IF(NOT(ISNUMBER(S79)),"进口滞止密度应为数值",IF(S79&lt;=0,"进口滞止密度应大于0",""))),IF(T79="","缺少等熵指数k",""),IF(T79="","",IF(NOT(ISNUMBER(T79)),"等熵指数k应为数值",IF(OR(T79&lt;1,T79&gt;2),"等熵指数k应为1～2",""))),IF(U79="","缺少最高通风机效率ηr",""),IF(U79="","",IF(NOT(ISNUMBER(U79)),"最高通风机效率ηr应为数值",IF(OR(U79&lt;1,U79&gt;100),"最高通风机效率ηr应为1～100的百分数本值",""))),IF(AD79="","缺少铭牌照片",""),IF(AND(ISTEXT(AE79),OR(AE79&lt;&gt;TRIM(AE79),ISNUMBER(SEARCH("　",AE79)))),"填表备注含首尾空格或全角空格",""),IF(AND(H79="",F79&lt;&gt;""),"离心通风机缺少单双吸",""),IF(AND(ISNUMBER(L79),L79&gt;30000),"风机压力超过30kPa，超出通风机标准范围",""),IF(AND(F79="外转子电机直联前向多翼离心风机",G79&lt;&gt;"",G79&lt;&gt;"外转子电机直联"),"外转子前向多翼离心风机应选择外转子电机直联","")),"")</f>
        <v/>
      </c>
    </row>
    <row r="80" ht="42" customHeight="1" s="184">
      <c r="A80" s="224">
        <f>IF(COUNTA(B80,C80,D80,E80,F80,G80,H80,I80,J80,K80,L80,M80,N80,O80,P80,Q80,R80,S80,T80,U80,AD80,AE80)&gt;0,ROW()-3,"")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35" t="n"/>
      <c r="U80" s="229" t="n"/>
      <c r="V80" s="113" t="n"/>
      <c r="W80" s="236" t="n"/>
      <c r="X80" s="113" t="n"/>
      <c r="Y80" s="113" t="n"/>
      <c r="Z80" s="227" t="n"/>
      <c r="AA80" s="227" t="n"/>
      <c r="AB80" s="227" t="n"/>
      <c r="AC80" s="81" t="n"/>
      <c r="AD80" s="180" t="n"/>
      <c r="AE80" s="180" t="n"/>
      <c r="AF80" s="99">
        <f>IF(COUNTA(B80,C80,D80,E80,F80,G80,H80,I80,J80,K80,L80,M80,N80,O80,P80,Q80,R80,S80,T80,U80,AD80,AE80)&gt;0,TEXTJOIN("；",TRUE,IF(B80="","缺少设备名称",""),IF(AND(ISTEXT(B80),OR(B80&lt;&gt;TRIM(B80),ISNUMBER(SEARCH("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",E80)))),"安装位置含首尾空格或全角空格",""),IF(F80="","缺少设备类别",""),IF(F80="","",IF(COUNTIF(EV_CENTRIFUGAL_FAN_CATEGORY,F80)=0,"设备类别不在标准枚举中","")),IF(AND(ISTEXT(F80),OR(F80&lt;&gt;TRIM(F80),ISNUMBER(SEARCH("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",G80)))),"传动方式含首尾空格或全角空格",""),IF(H80="","",IF(COUNTIF(EV_SUCTION,H80)=0,"单双吸不在标准枚举中","")),IF(AND(ISTEXT(H80),OR(H80&lt;&gt;TRIM(H80),ISNUMBER(SEARCH("　",H80)))),"单双吸含首尾空格或全角空格",""),IF(I80="","缺少是否暖通空调用",""),IF(I80="","",IF(COUNTIF(EV_YES_NO,I80)=0,"是否暖通空调用不在标准枚举中","")),IF(AND(ISTEXT(I80),OR(I80&lt;&gt;TRIM(I80),ISNUMBER(SEARCH("　",I80)))),"是否暖通空调用含首尾空格或全角空格",""),IF(J80="","缺少是否带进气箱",""),IF(J80="","",IF(COUNTIF(EV_YES_NO,J80)=0,"是否带进气箱不在标准枚举中","")),IF(AND(ISTEXT(J80),OR(J80&lt;&gt;TRIM(J80),ISNUMBER(SEARCH("　",J80)))),"是否带进气箱含首尾空格或全角空格",""),IF(K80="","缺少流量",""),IF(K80="","",IF(NOT(ISNUMBER(K80)),"流量应为数值",IF(K80&lt;=0,"流量应大于0",""))),IF(L80="","缺少风机压力pF",""),IF(L80="","",IF(NOT(ISNUMBER(L80)),"风机压力pF应为数值",IF(L80&lt;=0,"风机压力pF应大于0",""))),IF(M80="","缺少出口滞止压力",""),IF(M80="","",IF(NOT(ISNUMBER(M80)),"出口滞止压力应为数值",IF(M80&lt;=0,"出口滞止压力应大于0",""))),IF(N80="","缺少进口滞止压力",""),IF(N80="","",IF(NOT(ISNUMBER(N80)),"进口滞止压力应为数值",IF(N80&lt;=0,"进口滞止压力应大于0",""))),IF(O80="","缺少额定功率",""),IF(O80="","",IF(NOT(ISNUMBER(O80)),"额定功率应为数值",IF(O80&lt;=0,"额定功率应大于0",""))),IF(P80="","缺少叶轮功率",""),IF(P80="","",IF(NOT(ISNUMBER(P80)),"叶轮功率应为数值",IF(P80&lt;=0,"叶轮功率应大于0",""))),IF(Q80="","缺少转速",""),IF(Q80="","",IF(NOT(ISNUMBER(Q80)),"转速应为数值",IF(Q80&lt;=0,"转速应大于0",""))),IF(R80="","缺少机号",""),IF(R80="","",IF(NOT(ISNUMBER(R80)),"机号应为数值",IF(R80&lt;=0,"机号应大于0",""))),IF(S80="","缺少进口滞止密度",""),IF(S80="","",IF(NOT(ISNUMBER(S80)),"进口滞止密度应为数值",IF(S80&lt;=0,"进口滞止密度应大于0",""))),IF(T80="","缺少等熵指数k",""),IF(T80="","",IF(NOT(ISNUMBER(T80)),"等熵指数k应为数值",IF(OR(T80&lt;1,T80&gt;2),"等熵指数k应为1～2",""))),IF(U80="","缺少最高通风机效率ηr",""),IF(U80="","",IF(NOT(ISNUMBER(U80)),"最高通风机效率ηr应为数值",IF(OR(U80&lt;1,U80&gt;100),"最高通风机效率ηr应为1～100的百分数本值",""))),IF(AD80="","缺少铭牌照片",""),IF(AND(ISTEXT(AE80),OR(AE80&lt;&gt;TRIM(AE80),ISNUMBER(SEARCH("　",AE80)))),"填表备注含首尾空格或全角空格",""),IF(AND(H80="",F80&lt;&gt;""),"离心通风机缺少单双吸",""),IF(AND(ISNUMBER(L80),L80&gt;30000),"风机压力超过30kPa，超出通风机标准范围",""),IF(AND(F80="外转子电机直联前向多翼离心风机",G80&lt;&gt;"",G80&lt;&gt;"外转子电机直联"),"外转子前向多翼离心风机应选择外转子电机直联","")),"")</f>
        <v/>
      </c>
    </row>
    <row r="81" ht="42" customHeight="1" s="184">
      <c r="A81" s="224">
        <f>IF(COUNTA(B81,C81,D81,E81,F81,G81,H81,I81,J81,K81,L81,M81,N81,O81,P81,Q81,R81,S81,T81,U81,AD81,AE81)&gt;0,ROW()-3,"")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29" t="n"/>
      <c r="L81" s="229" t="n"/>
      <c r="M81" s="229" t="n"/>
      <c r="N81" s="229" t="n"/>
      <c r="O81" s="229" t="n"/>
      <c r="P81" s="229" t="n"/>
      <c r="Q81" s="229" t="n"/>
      <c r="R81" s="229" t="n"/>
      <c r="S81" s="229" t="n"/>
      <c r="T81" s="235" t="n"/>
      <c r="U81" s="229" t="n"/>
      <c r="V81" s="113" t="n"/>
      <c r="W81" s="236" t="n"/>
      <c r="X81" s="113" t="n"/>
      <c r="Y81" s="113" t="n"/>
      <c r="Z81" s="227" t="n"/>
      <c r="AA81" s="227" t="n"/>
      <c r="AB81" s="227" t="n"/>
      <c r="AC81" s="81" t="n"/>
      <c r="AD81" s="180" t="n"/>
      <c r="AE81" s="180" t="n"/>
      <c r="AF81" s="99">
        <f>IF(COUNTA(B81,C81,D81,E81,F81,G81,H81,I81,J81,K81,L81,M81,N81,O81,P81,Q81,R81,S81,T81,U81,AD81,AE81)&gt;0,TEXTJOIN("；",TRUE,IF(B81="","缺少设备名称",""),IF(AND(ISTEXT(B81),OR(B81&lt;&gt;TRIM(B81),ISNUMBER(SEARCH("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",E81)))),"安装位置含首尾空格或全角空格",""),IF(F81="","缺少设备类别",""),IF(F81="","",IF(COUNTIF(EV_CENTRIFUGAL_FAN_CATEGORY,F81)=0,"设备类别不在标准枚举中","")),IF(AND(ISTEXT(F81),OR(F81&lt;&gt;TRIM(F81),ISNUMBER(SEARCH("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",G81)))),"传动方式含首尾空格或全角空格",""),IF(H81="","",IF(COUNTIF(EV_SUCTION,H81)=0,"单双吸不在标准枚举中","")),IF(AND(ISTEXT(H81),OR(H81&lt;&gt;TRIM(H81),ISNUMBER(SEARCH("　",H81)))),"单双吸含首尾空格或全角空格",""),IF(I81="","缺少是否暖通空调用",""),IF(I81="","",IF(COUNTIF(EV_YES_NO,I81)=0,"是否暖通空调用不在标准枚举中","")),IF(AND(ISTEXT(I81),OR(I81&lt;&gt;TRIM(I81),ISNUMBER(SEARCH("　",I81)))),"是否暖通空调用含首尾空格或全角空格",""),IF(J81="","缺少是否带进气箱",""),IF(J81="","",IF(COUNTIF(EV_YES_NO,J81)=0,"是否带进气箱不在标准枚举中","")),IF(AND(ISTEXT(J81),OR(J81&lt;&gt;TRIM(J81),ISNUMBER(SEARCH("　",J81)))),"是否带进气箱含首尾空格或全角空格",""),IF(K81="","缺少流量",""),IF(K81="","",IF(NOT(ISNUMBER(K81)),"流量应为数值",IF(K81&lt;=0,"流量应大于0",""))),IF(L81="","缺少风机压力pF",""),IF(L81="","",IF(NOT(ISNUMBER(L81)),"风机压力pF应为数值",IF(L81&lt;=0,"风机压力pF应大于0",""))),IF(M81="","缺少出口滞止压力",""),IF(M81="","",IF(NOT(ISNUMBER(M81)),"出口滞止压力应为数值",IF(M81&lt;=0,"出口滞止压力应大于0",""))),IF(N81="","缺少进口滞止压力",""),IF(N81="","",IF(NOT(ISNUMBER(N81)),"进口滞止压力应为数值",IF(N81&lt;=0,"进口滞止压力应大于0",""))),IF(O81="","缺少额定功率",""),IF(O81="","",IF(NOT(ISNUMBER(O81)),"额定功率应为数值",IF(O81&lt;=0,"额定功率应大于0",""))),IF(P81="","缺少叶轮功率",""),IF(P81="","",IF(NOT(ISNUMBER(P81)),"叶轮功率应为数值",IF(P81&lt;=0,"叶轮功率应大于0",""))),IF(Q81="","缺少转速",""),IF(Q81="","",IF(NOT(ISNUMBER(Q81)),"转速应为数值",IF(Q81&lt;=0,"转速应大于0",""))),IF(R81="","缺少机号",""),IF(R81="","",IF(NOT(ISNUMBER(R81)),"机号应为数值",IF(R81&lt;=0,"机号应大于0",""))),IF(S81="","缺少进口滞止密度",""),IF(S81="","",IF(NOT(ISNUMBER(S81)),"进口滞止密度应为数值",IF(S81&lt;=0,"进口滞止密度应大于0",""))),IF(T81="","缺少等熵指数k",""),IF(T81="","",IF(NOT(ISNUMBER(T81)),"等熵指数k应为数值",IF(OR(T81&lt;1,T81&gt;2),"等熵指数k应为1～2",""))),IF(U81="","缺少最高通风机效率ηr",""),IF(U81="","",IF(NOT(ISNUMBER(U81)),"最高通风机效率ηr应为数值",IF(OR(U81&lt;1,U81&gt;100),"最高通风机效率ηr应为1～100的百分数本值",""))),IF(AD81="","缺少铭牌照片",""),IF(AND(ISTEXT(AE81),OR(AE81&lt;&gt;TRIM(AE81),ISNUMBER(SEARCH("　",AE81)))),"填表备注含首尾空格或全角空格",""),IF(AND(H81="",F81&lt;&gt;""),"离心通风机缺少单双吸",""),IF(AND(ISNUMBER(L81),L81&gt;30000),"风机压力超过30kPa，超出通风机标准范围",""),IF(AND(F81="外转子电机直联前向多翼离心风机",G81&lt;&gt;"",G81&lt;&gt;"外转子电机直联"),"外转子前向多翼离心风机应选择外转子电机直联","")),"")</f>
        <v/>
      </c>
    </row>
    <row r="82" ht="42" customHeight="1" s="184">
      <c r="A82" s="224">
        <f>IF(COUNTA(B82,C82,D82,E82,F82,G82,H82,I82,J82,K82,L82,M82,N82,O82,P82,Q82,R82,S82,T82,U82,AD82,AE82)&gt;0,ROW()-3,"")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29" t="n"/>
      <c r="L82" s="229" t="n"/>
      <c r="M82" s="229" t="n"/>
      <c r="N82" s="229" t="n"/>
      <c r="O82" s="229" t="n"/>
      <c r="P82" s="229" t="n"/>
      <c r="Q82" s="229" t="n"/>
      <c r="R82" s="229" t="n"/>
      <c r="S82" s="229" t="n"/>
      <c r="T82" s="235" t="n"/>
      <c r="U82" s="229" t="n"/>
      <c r="V82" s="113" t="n"/>
      <c r="W82" s="236" t="n"/>
      <c r="X82" s="113" t="n"/>
      <c r="Y82" s="113" t="n"/>
      <c r="Z82" s="227" t="n"/>
      <c r="AA82" s="227" t="n"/>
      <c r="AB82" s="227" t="n"/>
      <c r="AC82" s="81" t="n"/>
      <c r="AD82" s="180" t="n"/>
      <c r="AE82" s="180" t="n"/>
      <c r="AF82" s="99">
        <f>IF(COUNTA(B82,C82,D82,E82,F82,G82,H82,I82,J82,K82,L82,M82,N82,O82,P82,Q82,R82,S82,T82,U82,AD82,AE82)&gt;0,TEXTJOIN("；",TRUE,IF(B82="","缺少设备名称",""),IF(AND(ISTEXT(B82),OR(B82&lt;&gt;TRIM(B82),ISNUMBER(SEARCH("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",E82)))),"安装位置含首尾空格或全角空格",""),IF(F82="","缺少设备类别",""),IF(F82="","",IF(COUNTIF(EV_CENTRIFUGAL_FAN_CATEGORY,F82)=0,"设备类别不在标准枚举中","")),IF(AND(ISTEXT(F82),OR(F82&lt;&gt;TRIM(F82),ISNUMBER(SEARCH("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",G82)))),"传动方式含首尾空格或全角空格",""),IF(H82="","",IF(COUNTIF(EV_SUCTION,H82)=0,"单双吸不在标准枚举中","")),IF(AND(ISTEXT(H82),OR(H82&lt;&gt;TRIM(H82),ISNUMBER(SEARCH("　",H82)))),"单双吸含首尾空格或全角空格",""),IF(I82="","缺少是否暖通空调用",""),IF(I82="","",IF(COUNTIF(EV_YES_NO,I82)=0,"是否暖通空调用不在标准枚举中","")),IF(AND(ISTEXT(I82),OR(I82&lt;&gt;TRIM(I82),ISNUMBER(SEARCH("　",I82)))),"是否暖通空调用含首尾空格或全角空格",""),IF(J82="","缺少是否带进气箱",""),IF(J82="","",IF(COUNTIF(EV_YES_NO,J82)=0,"是否带进气箱不在标准枚举中","")),IF(AND(ISTEXT(J82),OR(J82&lt;&gt;TRIM(J82),ISNUMBER(SEARCH("　",J82)))),"是否带进气箱含首尾空格或全角空格",""),IF(K82="","缺少流量",""),IF(K82="","",IF(NOT(ISNUMBER(K82)),"流量应为数值",IF(K82&lt;=0,"流量应大于0",""))),IF(L82="","缺少风机压力pF",""),IF(L82="","",IF(NOT(ISNUMBER(L82)),"风机压力pF应为数值",IF(L82&lt;=0,"风机压力pF应大于0",""))),IF(M82="","缺少出口滞止压力",""),IF(M82="","",IF(NOT(ISNUMBER(M82)),"出口滞止压力应为数值",IF(M82&lt;=0,"出口滞止压力应大于0",""))),IF(N82="","缺少进口滞止压力",""),IF(N82="","",IF(NOT(ISNUMBER(N82)),"进口滞止压力应为数值",IF(N82&lt;=0,"进口滞止压力应大于0",""))),IF(O82="","缺少额定功率",""),IF(O82="","",IF(NOT(ISNUMBER(O82)),"额定功率应为数值",IF(O82&lt;=0,"额定功率应大于0",""))),IF(P82="","缺少叶轮功率",""),IF(P82="","",IF(NOT(ISNUMBER(P82)),"叶轮功率应为数值",IF(P82&lt;=0,"叶轮功率应大于0",""))),IF(Q82="","缺少转速",""),IF(Q82="","",IF(NOT(ISNUMBER(Q82)),"转速应为数值",IF(Q82&lt;=0,"转速应大于0",""))),IF(R82="","缺少机号",""),IF(R82="","",IF(NOT(ISNUMBER(R82)),"机号应为数值",IF(R82&lt;=0,"机号应大于0",""))),IF(S82="","缺少进口滞止密度",""),IF(S82="","",IF(NOT(ISNUMBER(S82)),"进口滞止密度应为数值",IF(S82&lt;=0,"进口滞止密度应大于0",""))),IF(T82="","缺少等熵指数k",""),IF(T82="","",IF(NOT(ISNUMBER(T82)),"等熵指数k应为数值",IF(OR(T82&lt;1,T82&gt;2),"等熵指数k应为1～2",""))),IF(U82="","缺少最高通风机效率ηr",""),IF(U82="","",IF(NOT(ISNUMBER(U82)),"最高通风机效率ηr应为数值",IF(OR(U82&lt;1,U82&gt;100),"最高通风机效率ηr应为1～100的百分数本值",""))),IF(AD82="","缺少铭牌照片",""),IF(AND(ISTEXT(AE82),OR(AE82&lt;&gt;TRIM(AE82),ISNUMBER(SEARCH("　",AE82)))),"填表备注含首尾空格或全角空格",""),IF(AND(H82="",F82&lt;&gt;""),"离心通风机缺少单双吸",""),IF(AND(ISNUMBER(L82),L82&gt;30000),"风机压力超过30kPa，超出通风机标准范围",""),IF(AND(F82="外转子电机直联前向多翼离心风机",G82&lt;&gt;"",G82&lt;&gt;"外转子电机直联"),"外转子前向多翼离心风机应选择外转子电机直联","")),"")</f>
        <v/>
      </c>
    </row>
    <row r="83" ht="42" customHeight="1" s="184">
      <c r="A83" s="224">
        <f>IF(COUNTA(B83,C83,D83,E83,F83,G83,H83,I83,J83,K83,L83,M83,N83,O83,P83,Q83,R83,S83,T83,U83,AD83,AE83)&gt;0,ROW()-3,"")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29" t="n"/>
      <c r="L83" s="229" t="n"/>
      <c r="M83" s="229" t="n"/>
      <c r="N83" s="229" t="n"/>
      <c r="O83" s="229" t="n"/>
      <c r="P83" s="229" t="n"/>
      <c r="Q83" s="229" t="n"/>
      <c r="R83" s="229" t="n"/>
      <c r="S83" s="229" t="n"/>
      <c r="T83" s="235" t="n"/>
      <c r="U83" s="229" t="n"/>
      <c r="V83" s="113" t="n"/>
      <c r="W83" s="236" t="n"/>
      <c r="X83" s="113" t="n"/>
      <c r="Y83" s="113" t="n"/>
      <c r="Z83" s="227" t="n"/>
      <c r="AA83" s="227" t="n"/>
      <c r="AB83" s="227" t="n"/>
      <c r="AC83" s="81" t="n"/>
      <c r="AD83" s="180" t="n"/>
      <c r="AE83" s="180" t="n"/>
      <c r="AF83" s="99">
        <f>IF(COUNTA(B83,C83,D83,E83,F83,G83,H83,I83,J83,K83,L83,M83,N83,O83,P83,Q83,R83,S83,T83,U83,AD83,AE83)&gt;0,TEXTJOIN("；",TRUE,IF(B83="","缺少设备名称",""),IF(AND(ISTEXT(B83),OR(B83&lt;&gt;TRIM(B83),ISNUMBER(SEARCH("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",E83)))),"安装位置含首尾空格或全角空格",""),IF(F83="","缺少设备类别",""),IF(F83="","",IF(COUNTIF(EV_CENTRIFUGAL_FAN_CATEGORY,F83)=0,"设备类别不在标准枚举中","")),IF(AND(ISTEXT(F83),OR(F83&lt;&gt;TRIM(F83),ISNUMBER(SEARCH("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",G83)))),"传动方式含首尾空格或全角空格",""),IF(H83="","",IF(COUNTIF(EV_SUCTION,H83)=0,"单双吸不在标准枚举中","")),IF(AND(ISTEXT(H83),OR(H83&lt;&gt;TRIM(H83),ISNUMBER(SEARCH("　",H83)))),"单双吸含首尾空格或全角空格",""),IF(I83="","缺少是否暖通空调用",""),IF(I83="","",IF(COUNTIF(EV_YES_NO,I83)=0,"是否暖通空调用不在标准枚举中","")),IF(AND(ISTEXT(I83),OR(I83&lt;&gt;TRIM(I83),ISNUMBER(SEARCH("　",I83)))),"是否暖通空调用含首尾空格或全角空格",""),IF(J83="","缺少是否带进气箱",""),IF(J83="","",IF(COUNTIF(EV_YES_NO,J83)=0,"是否带进气箱不在标准枚举中","")),IF(AND(ISTEXT(J83),OR(J83&lt;&gt;TRIM(J83),ISNUMBER(SEARCH("　",J83)))),"是否带进气箱含首尾空格或全角空格",""),IF(K83="","缺少流量",""),IF(K83="","",IF(NOT(ISNUMBER(K83)),"流量应为数值",IF(K83&lt;=0,"流量应大于0",""))),IF(L83="","缺少风机压力pF",""),IF(L83="","",IF(NOT(ISNUMBER(L83)),"风机压力pF应为数值",IF(L83&lt;=0,"风机压力pF应大于0",""))),IF(M83="","缺少出口滞止压力",""),IF(M83="","",IF(NOT(ISNUMBER(M83)),"出口滞止压力应为数值",IF(M83&lt;=0,"出口滞止压力应大于0",""))),IF(N83="","缺少进口滞止压力",""),IF(N83="","",IF(NOT(ISNUMBER(N83)),"进口滞止压力应为数值",IF(N83&lt;=0,"进口滞止压力应大于0",""))),IF(O83="","缺少额定功率",""),IF(O83="","",IF(NOT(ISNUMBER(O83)),"额定功率应为数值",IF(O83&lt;=0,"额定功率应大于0",""))),IF(P83="","缺少叶轮功率",""),IF(P83="","",IF(NOT(ISNUMBER(P83)),"叶轮功率应为数值",IF(P83&lt;=0,"叶轮功率应大于0",""))),IF(Q83="","缺少转速",""),IF(Q83="","",IF(NOT(ISNUMBER(Q83)),"转速应为数值",IF(Q83&lt;=0,"转速应大于0",""))),IF(R83="","缺少机号",""),IF(R83="","",IF(NOT(ISNUMBER(R83)),"机号应为数值",IF(R83&lt;=0,"机号应大于0",""))),IF(S83="","缺少进口滞止密度",""),IF(S83="","",IF(NOT(ISNUMBER(S83)),"进口滞止密度应为数值",IF(S83&lt;=0,"进口滞止密度应大于0",""))),IF(T83="","缺少等熵指数k",""),IF(T83="","",IF(NOT(ISNUMBER(T83)),"等熵指数k应为数值",IF(OR(T83&lt;1,T83&gt;2),"等熵指数k应为1～2",""))),IF(U83="","缺少最高通风机效率ηr",""),IF(U83="","",IF(NOT(ISNUMBER(U83)),"最高通风机效率ηr应为数值",IF(OR(U83&lt;1,U83&gt;100),"最高通风机效率ηr应为1～100的百分数本值",""))),IF(AD83="","缺少铭牌照片",""),IF(AND(ISTEXT(AE83),OR(AE83&lt;&gt;TRIM(AE83),ISNUMBER(SEARCH("　",AE83)))),"填表备注含首尾空格或全角空格",""),IF(AND(H83="",F83&lt;&gt;""),"离心通风机缺少单双吸",""),IF(AND(ISNUMBER(L83),L83&gt;30000),"风机压力超过30kPa，超出通风机标准范围",""),IF(AND(F83="外转子电机直联前向多翼离心风机",G83&lt;&gt;"",G83&lt;&gt;"外转子电机直联"),"外转子前向多翼离心风机应选择外转子电机直联","")),"")</f>
        <v/>
      </c>
    </row>
    <row r="84" ht="42" customHeight="1" s="184">
      <c r="A84" s="224">
        <f>IF(COUNTA(B84,C84,D84,E84,F84,G84,H84,I84,J84,K84,L84,M84,N84,O84,P84,Q84,R84,S84,T84,U84,AD84,AE84)&gt;0,ROW()-3,"")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29" t="n"/>
      <c r="L84" s="229" t="n"/>
      <c r="M84" s="229" t="n"/>
      <c r="N84" s="229" t="n"/>
      <c r="O84" s="229" t="n"/>
      <c r="P84" s="229" t="n"/>
      <c r="Q84" s="229" t="n"/>
      <c r="R84" s="229" t="n"/>
      <c r="S84" s="229" t="n"/>
      <c r="T84" s="235" t="n"/>
      <c r="U84" s="229" t="n"/>
      <c r="V84" s="113" t="n"/>
      <c r="W84" s="236" t="n"/>
      <c r="X84" s="113" t="n"/>
      <c r="Y84" s="113" t="n"/>
      <c r="Z84" s="227" t="n"/>
      <c r="AA84" s="227" t="n"/>
      <c r="AB84" s="227" t="n"/>
      <c r="AC84" s="81" t="n"/>
      <c r="AD84" s="180" t="n"/>
      <c r="AE84" s="180" t="n"/>
      <c r="AF84" s="99">
        <f>IF(COUNTA(B84,C84,D84,E84,F84,G84,H84,I84,J84,K84,L84,M84,N84,O84,P84,Q84,R84,S84,T84,U84,AD84,AE84)&gt;0,TEXTJOIN("；",TRUE,IF(B84="","缺少设备名称",""),IF(AND(ISTEXT(B84),OR(B84&lt;&gt;TRIM(B84),ISNUMBER(SEARCH("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",E84)))),"安装位置含首尾空格或全角空格",""),IF(F84="","缺少设备类别",""),IF(F84="","",IF(COUNTIF(EV_CENTRIFUGAL_FAN_CATEGORY,F84)=0,"设备类别不在标准枚举中","")),IF(AND(ISTEXT(F84),OR(F84&lt;&gt;TRIM(F84),ISNUMBER(SEARCH("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",G84)))),"传动方式含首尾空格或全角空格",""),IF(H84="","",IF(COUNTIF(EV_SUCTION,H84)=0,"单双吸不在标准枚举中","")),IF(AND(ISTEXT(H84),OR(H84&lt;&gt;TRIM(H84),ISNUMBER(SEARCH("　",H84)))),"单双吸含首尾空格或全角空格",""),IF(I84="","缺少是否暖通空调用",""),IF(I84="","",IF(COUNTIF(EV_YES_NO,I84)=0,"是否暖通空调用不在标准枚举中","")),IF(AND(ISTEXT(I84),OR(I84&lt;&gt;TRIM(I84),ISNUMBER(SEARCH("　",I84)))),"是否暖通空调用含首尾空格或全角空格",""),IF(J84="","缺少是否带进气箱",""),IF(J84="","",IF(COUNTIF(EV_YES_NO,J84)=0,"是否带进气箱不在标准枚举中","")),IF(AND(ISTEXT(J84),OR(J84&lt;&gt;TRIM(J84),ISNUMBER(SEARCH("　",J84)))),"是否带进气箱含首尾空格或全角空格",""),IF(K84="","缺少流量",""),IF(K84="","",IF(NOT(ISNUMBER(K84)),"流量应为数值",IF(K84&lt;=0,"流量应大于0",""))),IF(L84="","缺少风机压力pF",""),IF(L84="","",IF(NOT(ISNUMBER(L84)),"风机压力pF应为数值",IF(L84&lt;=0,"风机压力pF应大于0",""))),IF(M84="","缺少出口滞止压力",""),IF(M84="","",IF(NOT(ISNUMBER(M84)),"出口滞止压力应为数值",IF(M84&lt;=0,"出口滞止压力应大于0",""))),IF(N84="","缺少进口滞止压力",""),IF(N84="","",IF(NOT(ISNUMBER(N84)),"进口滞止压力应为数值",IF(N84&lt;=0,"进口滞止压力应大于0",""))),IF(O84="","缺少额定功率",""),IF(O84="","",IF(NOT(ISNUMBER(O84)),"额定功率应为数值",IF(O84&lt;=0,"额定功率应大于0",""))),IF(P84="","缺少叶轮功率",""),IF(P84="","",IF(NOT(ISNUMBER(P84)),"叶轮功率应为数值",IF(P84&lt;=0,"叶轮功率应大于0",""))),IF(Q84="","缺少转速",""),IF(Q84="","",IF(NOT(ISNUMBER(Q84)),"转速应为数值",IF(Q84&lt;=0,"转速应大于0",""))),IF(R84="","缺少机号",""),IF(R84="","",IF(NOT(ISNUMBER(R84)),"机号应为数值",IF(R84&lt;=0,"机号应大于0",""))),IF(S84="","缺少进口滞止密度",""),IF(S84="","",IF(NOT(ISNUMBER(S84)),"进口滞止密度应为数值",IF(S84&lt;=0,"进口滞止密度应大于0",""))),IF(T84="","缺少等熵指数k",""),IF(T84="","",IF(NOT(ISNUMBER(T84)),"等熵指数k应为数值",IF(OR(T84&lt;1,T84&gt;2),"等熵指数k应为1～2",""))),IF(U84="","缺少最高通风机效率ηr",""),IF(U84="","",IF(NOT(ISNUMBER(U84)),"最高通风机效率ηr应为数值",IF(OR(U84&lt;1,U84&gt;100),"最高通风机效率ηr应为1～100的百分数本值",""))),IF(AD84="","缺少铭牌照片",""),IF(AND(ISTEXT(AE84),OR(AE84&lt;&gt;TRIM(AE84),ISNUMBER(SEARCH("　",AE84)))),"填表备注含首尾空格或全角空格",""),IF(AND(H84="",F84&lt;&gt;""),"离心通风机缺少单双吸",""),IF(AND(ISNUMBER(L84),L84&gt;30000),"风机压力超过30kPa，超出通风机标准范围",""),IF(AND(F84="外转子电机直联前向多翼离心风机",G84&lt;&gt;"",G84&lt;&gt;"外转子电机直联"),"外转子前向多翼离心风机应选择外转子电机直联","")),"")</f>
        <v/>
      </c>
    </row>
    <row r="85" ht="42" customHeight="1" s="184">
      <c r="A85" s="224">
        <f>IF(COUNTA(B85,C85,D85,E85,F85,G85,H85,I85,J85,K85,L85,M85,N85,O85,P85,Q85,R85,S85,T85,U85,AD85,AE85)&gt;0,ROW()-3,"")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29" t="n"/>
      <c r="L85" s="229" t="n"/>
      <c r="M85" s="229" t="n"/>
      <c r="N85" s="229" t="n"/>
      <c r="O85" s="229" t="n"/>
      <c r="P85" s="229" t="n"/>
      <c r="Q85" s="229" t="n"/>
      <c r="R85" s="229" t="n"/>
      <c r="S85" s="229" t="n"/>
      <c r="T85" s="235" t="n"/>
      <c r="U85" s="229" t="n"/>
      <c r="V85" s="113" t="n"/>
      <c r="W85" s="236" t="n"/>
      <c r="X85" s="113" t="n"/>
      <c r="Y85" s="113" t="n"/>
      <c r="Z85" s="227" t="n"/>
      <c r="AA85" s="227" t="n"/>
      <c r="AB85" s="227" t="n"/>
      <c r="AC85" s="81" t="n"/>
      <c r="AD85" s="180" t="n"/>
      <c r="AE85" s="180" t="n"/>
      <c r="AF85" s="99">
        <f>IF(COUNTA(B85,C85,D85,E85,F85,G85,H85,I85,J85,K85,L85,M85,N85,O85,P85,Q85,R85,S85,T85,U85,AD85,AE85)&gt;0,TEXTJOIN("；",TRUE,IF(B85="","缺少设备名称",""),IF(AND(ISTEXT(B85),OR(B85&lt;&gt;TRIM(B85),ISNUMBER(SEARCH("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",E85)))),"安装位置含首尾空格或全角空格",""),IF(F85="","缺少设备类别",""),IF(F85="","",IF(COUNTIF(EV_CENTRIFUGAL_FAN_CATEGORY,F85)=0,"设备类别不在标准枚举中","")),IF(AND(ISTEXT(F85),OR(F85&lt;&gt;TRIM(F85),ISNUMBER(SEARCH("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",G85)))),"传动方式含首尾空格或全角空格",""),IF(H85="","",IF(COUNTIF(EV_SUCTION,H85)=0,"单双吸不在标准枚举中","")),IF(AND(ISTEXT(H85),OR(H85&lt;&gt;TRIM(H85),ISNUMBER(SEARCH("　",H85)))),"单双吸含首尾空格或全角空格",""),IF(I85="","缺少是否暖通空调用",""),IF(I85="","",IF(COUNTIF(EV_YES_NO,I85)=0,"是否暖通空调用不在标准枚举中","")),IF(AND(ISTEXT(I85),OR(I85&lt;&gt;TRIM(I85),ISNUMBER(SEARCH("　",I85)))),"是否暖通空调用含首尾空格或全角空格",""),IF(J85="","缺少是否带进气箱",""),IF(J85="","",IF(COUNTIF(EV_YES_NO,J85)=0,"是否带进气箱不在标准枚举中","")),IF(AND(ISTEXT(J85),OR(J85&lt;&gt;TRIM(J85),ISNUMBER(SEARCH("　",J85)))),"是否带进气箱含首尾空格或全角空格",""),IF(K85="","缺少流量",""),IF(K85="","",IF(NOT(ISNUMBER(K85)),"流量应为数值",IF(K85&lt;=0,"流量应大于0",""))),IF(L85="","缺少风机压力pF",""),IF(L85="","",IF(NOT(ISNUMBER(L85)),"风机压力pF应为数值",IF(L85&lt;=0,"风机压力pF应大于0",""))),IF(M85="","缺少出口滞止压力",""),IF(M85="","",IF(NOT(ISNUMBER(M85)),"出口滞止压力应为数值",IF(M85&lt;=0,"出口滞止压力应大于0",""))),IF(N85="","缺少进口滞止压力",""),IF(N85="","",IF(NOT(ISNUMBER(N85)),"进口滞止压力应为数值",IF(N85&lt;=0,"进口滞止压力应大于0",""))),IF(O85="","缺少额定功率",""),IF(O85="","",IF(NOT(ISNUMBER(O85)),"额定功率应为数值",IF(O85&lt;=0,"额定功率应大于0",""))),IF(P85="","缺少叶轮功率",""),IF(P85="","",IF(NOT(ISNUMBER(P85)),"叶轮功率应为数值",IF(P85&lt;=0,"叶轮功率应大于0",""))),IF(Q85="","缺少转速",""),IF(Q85="","",IF(NOT(ISNUMBER(Q85)),"转速应为数值",IF(Q85&lt;=0,"转速应大于0",""))),IF(R85="","缺少机号",""),IF(R85="","",IF(NOT(ISNUMBER(R85)),"机号应为数值",IF(R85&lt;=0,"机号应大于0",""))),IF(S85="","缺少进口滞止密度",""),IF(S85="","",IF(NOT(ISNUMBER(S85)),"进口滞止密度应为数值",IF(S85&lt;=0,"进口滞止密度应大于0",""))),IF(T85="","缺少等熵指数k",""),IF(T85="","",IF(NOT(ISNUMBER(T85)),"等熵指数k应为数值",IF(OR(T85&lt;1,T85&gt;2),"等熵指数k应为1～2",""))),IF(U85="","缺少最高通风机效率ηr",""),IF(U85="","",IF(NOT(ISNUMBER(U85)),"最高通风机效率ηr应为数值",IF(OR(U85&lt;1,U85&gt;100),"最高通风机效率ηr应为1～100的百分数本值",""))),IF(AD85="","缺少铭牌照片",""),IF(AND(ISTEXT(AE85),OR(AE85&lt;&gt;TRIM(AE85),ISNUMBER(SEARCH("　",AE85)))),"填表备注含首尾空格或全角空格",""),IF(AND(H85="",F85&lt;&gt;""),"离心通风机缺少单双吸",""),IF(AND(ISNUMBER(L85),L85&gt;30000),"风机压力超过30kPa，超出通风机标准范围",""),IF(AND(F85="外转子电机直联前向多翼离心风机",G85&lt;&gt;"",G85&lt;&gt;"外转子电机直联"),"外转子前向多翼离心风机应选择外转子电机直联","")),"")</f>
        <v/>
      </c>
    </row>
    <row r="86" ht="42" customHeight="1" s="184">
      <c r="A86" s="224">
        <f>IF(COUNTA(B86,C86,D86,E86,F86,G86,H86,I86,J86,K86,L86,M86,N86,O86,P86,Q86,R86,S86,T86,U86,AD86,AE86)&gt;0,ROW()-3,"")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29" t="n"/>
      <c r="L86" s="229" t="n"/>
      <c r="M86" s="229" t="n"/>
      <c r="N86" s="229" t="n"/>
      <c r="O86" s="229" t="n"/>
      <c r="P86" s="229" t="n"/>
      <c r="Q86" s="229" t="n"/>
      <c r="R86" s="229" t="n"/>
      <c r="S86" s="229" t="n"/>
      <c r="T86" s="235" t="n"/>
      <c r="U86" s="229" t="n"/>
      <c r="V86" s="113" t="n"/>
      <c r="W86" s="236" t="n"/>
      <c r="X86" s="113" t="n"/>
      <c r="Y86" s="113" t="n"/>
      <c r="Z86" s="227" t="n"/>
      <c r="AA86" s="227" t="n"/>
      <c r="AB86" s="227" t="n"/>
      <c r="AC86" s="81" t="n"/>
      <c r="AD86" s="180" t="n"/>
      <c r="AE86" s="180" t="n"/>
      <c r="AF86" s="99">
        <f>IF(COUNTA(B86,C86,D86,E86,F86,G86,H86,I86,J86,K86,L86,M86,N86,O86,P86,Q86,R86,S86,T86,U86,AD86,AE86)&gt;0,TEXTJOIN("；",TRUE,IF(B86="","缺少设备名称",""),IF(AND(ISTEXT(B86),OR(B86&lt;&gt;TRIM(B86),ISNUMBER(SEARCH("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",E86)))),"安装位置含首尾空格或全角空格",""),IF(F86="","缺少设备类别",""),IF(F86="","",IF(COUNTIF(EV_CENTRIFUGAL_FAN_CATEGORY,F86)=0,"设备类别不在标准枚举中","")),IF(AND(ISTEXT(F86),OR(F86&lt;&gt;TRIM(F86),ISNUMBER(SEARCH("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",G86)))),"传动方式含首尾空格或全角空格",""),IF(H86="","",IF(COUNTIF(EV_SUCTION,H86)=0,"单双吸不在标准枚举中","")),IF(AND(ISTEXT(H86),OR(H86&lt;&gt;TRIM(H86),ISNUMBER(SEARCH("　",H86)))),"单双吸含首尾空格或全角空格",""),IF(I86="","缺少是否暖通空调用",""),IF(I86="","",IF(COUNTIF(EV_YES_NO,I86)=0,"是否暖通空调用不在标准枚举中","")),IF(AND(ISTEXT(I86),OR(I86&lt;&gt;TRIM(I86),ISNUMBER(SEARCH("　",I86)))),"是否暖通空调用含首尾空格或全角空格",""),IF(J86="","缺少是否带进气箱",""),IF(J86="","",IF(COUNTIF(EV_YES_NO,J86)=0,"是否带进气箱不在标准枚举中","")),IF(AND(ISTEXT(J86),OR(J86&lt;&gt;TRIM(J86),ISNUMBER(SEARCH("　",J86)))),"是否带进气箱含首尾空格或全角空格",""),IF(K86="","缺少流量",""),IF(K86="","",IF(NOT(ISNUMBER(K86)),"流量应为数值",IF(K86&lt;=0,"流量应大于0",""))),IF(L86="","缺少风机压力pF",""),IF(L86="","",IF(NOT(ISNUMBER(L86)),"风机压力pF应为数值",IF(L86&lt;=0,"风机压力pF应大于0",""))),IF(M86="","缺少出口滞止压力",""),IF(M86="","",IF(NOT(ISNUMBER(M86)),"出口滞止压力应为数值",IF(M86&lt;=0,"出口滞止压力应大于0",""))),IF(N86="","缺少进口滞止压力",""),IF(N86="","",IF(NOT(ISNUMBER(N86)),"进口滞止压力应为数值",IF(N86&lt;=0,"进口滞止压力应大于0",""))),IF(O86="","缺少额定功率",""),IF(O86="","",IF(NOT(ISNUMBER(O86)),"额定功率应为数值",IF(O86&lt;=0,"额定功率应大于0",""))),IF(P86="","缺少叶轮功率",""),IF(P86="","",IF(NOT(ISNUMBER(P86)),"叶轮功率应为数值",IF(P86&lt;=0,"叶轮功率应大于0",""))),IF(Q86="","缺少转速",""),IF(Q86="","",IF(NOT(ISNUMBER(Q86)),"转速应为数值",IF(Q86&lt;=0,"转速应大于0",""))),IF(R86="","缺少机号",""),IF(R86="","",IF(NOT(ISNUMBER(R86)),"机号应为数值",IF(R86&lt;=0,"机号应大于0",""))),IF(S86="","缺少进口滞止密度",""),IF(S86="","",IF(NOT(ISNUMBER(S86)),"进口滞止密度应为数值",IF(S86&lt;=0,"进口滞止密度应大于0",""))),IF(T86="","缺少等熵指数k",""),IF(T86="","",IF(NOT(ISNUMBER(T86)),"等熵指数k应为数值",IF(OR(T86&lt;1,T86&gt;2),"等熵指数k应为1～2",""))),IF(U86="","缺少最高通风机效率ηr",""),IF(U86="","",IF(NOT(ISNUMBER(U86)),"最高通风机效率ηr应为数值",IF(OR(U86&lt;1,U86&gt;100),"最高通风机效率ηr应为1～100的百分数本值",""))),IF(AD86="","缺少铭牌照片",""),IF(AND(ISTEXT(AE86),OR(AE86&lt;&gt;TRIM(AE86),ISNUMBER(SEARCH("　",AE86)))),"填表备注含首尾空格或全角空格",""),IF(AND(H86="",F86&lt;&gt;""),"离心通风机缺少单双吸",""),IF(AND(ISNUMBER(L86),L86&gt;30000),"风机压力超过30kPa，超出通风机标准范围",""),IF(AND(F86="外转子电机直联前向多翼离心风机",G86&lt;&gt;"",G86&lt;&gt;"外转子电机直联"),"外转子前向多翼离心风机应选择外转子电机直联","")),"")</f>
        <v/>
      </c>
    </row>
    <row r="87" ht="42" customHeight="1" s="184">
      <c r="A87" s="224">
        <f>IF(COUNTA(B87,C87,D87,E87,F87,G87,H87,I87,J87,K87,L87,M87,N87,O87,P87,Q87,R87,S87,T87,U87,AD87,AE87)&gt;0,ROW()-3,"")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29" t="n"/>
      <c r="L87" s="229" t="n"/>
      <c r="M87" s="229" t="n"/>
      <c r="N87" s="229" t="n"/>
      <c r="O87" s="229" t="n"/>
      <c r="P87" s="229" t="n"/>
      <c r="Q87" s="229" t="n"/>
      <c r="R87" s="229" t="n"/>
      <c r="S87" s="229" t="n"/>
      <c r="T87" s="235" t="n"/>
      <c r="U87" s="229" t="n"/>
      <c r="V87" s="113" t="n"/>
      <c r="W87" s="236" t="n"/>
      <c r="X87" s="113" t="n"/>
      <c r="Y87" s="113" t="n"/>
      <c r="Z87" s="227" t="n"/>
      <c r="AA87" s="227" t="n"/>
      <c r="AB87" s="227" t="n"/>
      <c r="AC87" s="81" t="n"/>
      <c r="AD87" s="180" t="n"/>
      <c r="AE87" s="180" t="n"/>
      <c r="AF87" s="99">
        <f>IF(COUNTA(B87,C87,D87,E87,F87,G87,H87,I87,J87,K87,L87,M87,N87,O87,P87,Q87,R87,S87,T87,U87,AD87,AE87)&gt;0,TEXTJOIN("；",TRUE,IF(B87="","缺少设备名称",""),IF(AND(ISTEXT(B87),OR(B87&lt;&gt;TRIM(B87),ISNUMBER(SEARCH("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",E87)))),"安装位置含首尾空格或全角空格",""),IF(F87="","缺少设备类别",""),IF(F87="","",IF(COUNTIF(EV_CENTRIFUGAL_FAN_CATEGORY,F87)=0,"设备类别不在标准枚举中","")),IF(AND(ISTEXT(F87),OR(F87&lt;&gt;TRIM(F87),ISNUMBER(SEARCH("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",G87)))),"传动方式含首尾空格或全角空格",""),IF(H87="","",IF(COUNTIF(EV_SUCTION,H87)=0,"单双吸不在标准枚举中","")),IF(AND(ISTEXT(H87),OR(H87&lt;&gt;TRIM(H87),ISNUMBER(SEARCH("　",H87)))),"单双吸含首尾空格或全角空格",""),IF(I87="","缺少是否暖通空调用",""),IF(I87="","",IF(COUNTIF(EV_YES_NO,I87)=0,"是否暖通空调用不在标准枚举中","")),IF(AND(ISTEXT(I87),OR(I87&lt;&gt;TRIM(I87),ISNUMBER(SEARCH("　",I87)))),"是否暖通空调用含首尾空格或全角空格",""),IF(J87="","缺少是否带进气箱",""),IF(J87="","",IF(COUNTIF(EV_YES_NO,J87)=0,"是否带进气箱不在标准枚举中","")),IF(AND(ISTEXT(J87),OR(J87&lt;&gt;TRIM(J87),ISNUMBER(SEARCH("　",J87)))),"是否带进气箱含首尾空格或全角空格",""),IF(K87="","缺少流量",""),IF(K87="","",IF(NOT(ISNUMBER(K87)),"流量应为数值",IF(K87&lt;=0,"流量应大于0",""))),IF(L87="","缺少风机压力pF",""),IF(L87="","",IF(NOT(ISNUMBER(L87)),"风机压力pF应为数值",IF(L87&lt;=0,"风机压力pF应大于0",""))),IF(M87="","缺少出口滞止压力",""),IF(M87="","",IF(NOT(ISNUMBER(M87)),"出口滞止压力应为数值",IF(M87&lt;=0,"出口滞止压力应大于0",""))),IF(N87="","缺少进口滞止压力",""),IF(N87="","",IF(NOT(ISNUMBER(N87)),"进口滞止压力应为数值",IF(N87&lt;=0,"进口滞止压力应大于0",""))),IF(O87="","缺少额定功率",""),IF(O87="","",IF(NOT(ISNUMBER(O87)),"额定功率应为数值",IF(O87&lt;=0,"额定功率应大于0",""))),IF(P87="","缺少叶轮功率",""),IF(P87="","",IF(NOT(ISNUMBER(P87)),"叶轮功率应为数值",IF(P87&lt;=0,"叶轮功率应大于0",""))),IF(Q87="","缺少转速",""),IF(Q87="","",IF(NOT(ISNUMBER(Q87)),"转速应为数值",IF(Q87&lt;=0,"转速应大于0",""))),IF(R87="","缺少机号",""),IF(R87="","",IF(NOT(ISNUMBER(R87)),"机号应为数值",IF(R87&lt;=0,"机号应大于0",""))),IF(S87="","缺少进口滞止密度",""),IF(S87="","",IF(NOT(ISNUMBER(S87)),"进口滞止密度应为数值",IF(S87&lt;=0,"进口滞止密度应大于0",""))),IF(T87="","缺少等熵指数k",""),IF(T87="","",IF(NOT(ISNUMBER(T87)),"等熵指数k应为数值",IF(OR(T87&lt;1,T87&gt;2),"等熵指数k应为1～2",""))),IF(U87="","缺少最高通风机效率ηr",""),IF(U87="","",IF(NOT(ISNUMBER(U87)),"最高通风机效率ηr应为数值",IF(OR(U87&lt;1,U87&gt;100),"最高通风机效率ηr应为1～100的百分数本值",""))),IF(AD87="","缺少铭牌照片",""),IF(AND(ISTEXT(AE87),OR(AE87&lt;&gt;TRIM(AE87),ISNUMBER(SEARCH("　",AE87)))),"填表备注含首尾空格或全角空格",""),IF(AND(H87="",F87&lt;&gt;""),"离心通风机缺少单双吸",""),IF(AND(ISNUMBER(L87),L87&gt;30000),"风机压力超过30kPa，超出通风机标准范围",""),IF(AND(F87="外转子电机直联前向多翼离心风机",G87&lt;&gt;"",G87&lt;&gt;"外转子电机直联"),"外转子前向多翼离心风机应选择外转子电机直联","")),"")</f>
        <v/>
      </c>
    </row>
    <row r="88" ht="42" customHeight="1" s="184">
      <c r="A88" s="224">
        <f>IF(COUNTA(B88,C88,D88,E88,F88,G88,H88,I88,J88,K88,L88,M88,N88,O88,P88,Q88,R88,S88,T88,U88,AD88,AE88)&gt;0,ROW()-3,"")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29" t="n"/>
      <c r="L88" s="229" t="n"/>
      <c r="M88" s="229" t="n"/>
      <c r="N88" s="229" t="n"/>
      <c r="O88" s="229" t="n"/>
      <c r="P88" s="229" t="n"/>
      <c r="Q88" s="229" t="n"/>
      <c r="R88" s="229" t="n"/>
      <c r="S88" s="229" t="n"/>
      <c r="T88" s="235" t="n"/>
      <c r="U88" s="229" t="n"/>
      <c r="V88" s="113" t="n"/>
      <c r="W88" s="236" t="n"/>
      <c r="X88" s="113" t="n"/>
      <c r="Y88" s="113" t="n"/>
      <c r="Z88" s="227" t="n"/>
      <c r="AA88" s="227" t="n"/>
      <c r="AB88" s="227" t="n"/>
      <c r="AC88" s="81" t="n"/>
      <c r="AD88" s="180" t="n"/>
      <c r="AE88" s="180" t="n"/>
      <c r="AF88" s="99">
        <f>IF(COUNTA(B88,C88,D88,E88,F88,G88,H88,I88,J88,K88,L88,M88,N88,O88,P88,Q88,R88,S88,T88,U88,AD88,AE88)&gt;0,TEXTJOIN("；",TRUE,IF(B88="","缺少设备名称",""),IF(AND(ISTEXT(B88),OR(B88&lt;&gt;TRIM(B88),ISNUMBER(SEARCH("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",E88)))),"安装位置含首尾空格或全角空格",""),IF(F88="","缺少设备类别",""),IF(F88="","",IF(COUNTIF(EV_CENTRIFUGAL_FAN_CATEGORY,F88)=0,"设备类别不在标准枚举中","")),IF(AND(ISTEXT(F88),OR(F88&lt;&gt;TRIM(F88),ISNUMBER(SEARCH("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",G88)))),"传动方式含首尾空格或全角空格",""),IF(H88="","",IF(COUNTIF(EV_SUCTION,H88)=0,"单双吸不在标准枚举中","")),IF(AND(ISTEXT(H88),OR(H88&lt;&gt;TRIM(H88),ISNUMBER(SEARCH("　",H88)))),"单双吸含首尾空格或全角空格",""),IF(I88="","缺少是否暖通空调用",""),IF(I88="","",IF(COUNTIF(EV_YES_NO,I88)=0,"是否暖通空调用不在标准枚举中","")),IF(AND(ISTEXT(I88),OR(I88&lt;&gt;TRIM(I88),ISNUMBER(SEARCH("　",I88)))),"是否暖通空调用含首尾空格或全角空格",""),IF(J88="","缺少是否带进气箱",""),IF(J88="","",IF(COUNTIF(EV_YES_NO,J88)=0,"是否带进气箱不在标准枚举中","")),IF(AND(ISTEXT(J88),OR(J88&lt;&gt;TRIM(J88),ISNUMBER(SEARCH("　",J88)))),"是否带进气箱含首尾空格或全角空格",""),IF(K88="","缺少流量",""),IF(K88="","",IF(NOT(ISNUMBER(K88)),"流量应为数值",IF(K88&lt;=0,"流量应大于0",""))),IF(L88="","缺少风机压力pF",""),IF(L88="","",IF(NOT(ISNUMBER(L88)),"风机压力pF应为数值",IF(L88&lt;=0,"风机压力pF应大于0",""))),IF(M88="","缺少出口滞止压力",""),IF(M88="","",IF(NOT(ISNUMBER(M88)),"出口滞止压力应为数值",IF(M88&lt;=0,"出口滞止压力应大于0",""))),IF(N88="","缺少进口滞止压力",""),IF(N88="","",IF(NOT(ISNUMBER(N88)),"进口滞止压力应为数值",IF(N88&lt;=0,"进口滞止压力应大于0",""))),IF(O88="","缺少额定功率",""),IF(O88="","",IF(NOT(ISNUMBER(O88)),"额定功率应为数值",IF(O88&lt;=0,"额定功率应大于0",""))),IF(P88="","缺少叶轮功率",""),IF(P88="","",IF(NOT(ISNUMBER(P88)),"叶轮功率应为数值",IF(P88&lt;=0,"叶轮功率应大于0",""))),IF(Q88="","缺少转速",""),IF(Q88="","",IF(NOT(ISNUMBER(Q88)),"转速应为数值",IF(Q88&lt;=0,"转速应大于0",""))),IF(R88="","缺少机号",""),IF(R88="","",IF(NOT(ISNUMBER(R88)),"机号应为数值",IF(R88&lt;=0,"机号应大于0",""))),IF(S88="","缺少进口滞止密度",""),IF(S88="","",IF(NOT(ISNUMBER(S88)),"进口滞止密度应为数值",IF(S88&lt;=0,"进口滞止密度应大于0",""))),IF(T88="","缺少等熵指数k",""),IF(T88="","",IF(NOT(ISNUMBER(T88)),"等熵指数k应为数值",IF(OR(T88&lt;1,T88&gt;2),"等熵指数k应为1～2",""))),IF(U88="","缺少最高通风机效率ηr",""),IF(U88="","",IF(NOT(ISNUMBER(U88)),"最高通风机效率ηr应为数值",IF(OR(U88&lt;1,U88&gt;100),"最高通风机效率ηr应为1～100的百分数本值",""))),IF(AD88="","缺少铭牌照片",""),IF(AND(ISTEXT(AE88),OR(AE88&lt;&gt;TRIM(AE88),ISNUMBER(SEARCH("　",AE88)))),"填表备注含首尾空格或全角空格",""),IF(AND(H88="",F88&lt;&gt;""),"离心通风机缺少单双吸",""),IF(AND(ISNUMBER(L88),L88&gt;30000),"风机压力超过30kPa，超出通风机标准范围",""),IF(AND(F88="外转子电机直联前向多翼离心风机",G88&lt;&gt;"",G88&lt;&gt;"外转子电机直联"),"外转子前向多翼离心风机应选择外转子电机直联","")),"")</f>
        <v/>
      </c>
    </row>
    <row r="89" ht="42" customHeight="1" s="184">
      <c r="A89" s="224">
        <f>IF(COUNTA(B89,C89,D89,E89,F89,G89,H89,I89,J89,K89,L89,M89,N89,O89,P89,Q89,R89,S89,T89,U89,AD89,AE89)&gt;0,ROW()-3,"")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29" t="n"/>
      <c r="L89" s="229" t="n"/>
      <c r="M89" s="229" t="n"/>
      <c r="N89" s="229" t="n"/>
      <c r="O89" s="229" t="n"/>
      <c r="P89" s="229" t="n"/>
      <c r="Q89" s="229" t="n"/>
      <c r="R89" s="229" t="n"/>
      <c r="S89" s="229" t="n"/>
      <c r="T89" s="235" t="n"/>
      <c r="U89" s="229" t="n"/>
      <c r="V89" s="113" t="n"/>
      <c r="W89" s="236" t="n"/>
      <c r="X89" s="113" t="n"/>
      <c r="Y89" s="113" t="n"/>
      <c r="Z89" s="227" t="n"/>
      <c r="AA89" s="227" t="n"/>
      <c r="AB89" s="227" t="n"/>
      <c r="AC89" s="81" t="n"/>
      <c r="AD89" s="180" t="n"/>
      <c r="AE89" s="180" t="n"/>
      <c r="AF89" s="99">
        <f>IF(COUNTA(B89,C89,D89,E89,F89,G89,H89,I89,J89,K89,L89,M89,N89,O89,P89,Q89,R89,S89,T89,U89,AD89,AE89)&gt;0,TEXTJOIN("；",TRUE,IF(B89="","缺少设备名称",""),IF(AND(ISTEXT(B89),OR(B89&lt;&gt;TRIM(B89),ISNUMBER(SEARCH("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",E89)))),"安装位置含首尾空格或全角空格",""),IF(F89="","缺少设备类别",""),IF(F89="","",IF(COUNTIF(EV_CENTRIFUGAL_FAN_CATEGORY,F89)=0,"设备类别不在标准枚举中","")),IF(AND(ISTEXT(F89),OR(F89&lt;&gt;TRIM(F89),ISNUMBER(SEARCH("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",G89)))),"传动方式含首尾空格或全角空格",""),IF(H89="","",IF(COUNTIF(EV_SUCTION,H89)=0,"单双吸不在标准枚举中","")),IF(AND(ISTEXT(H89),OR(H89&lt;&gt;TRIM(H89),ISNUMBER(SEARCH("　",H89)))),"单双吸含首尾空格或全角空格",""),IF(I89="","缺少是否暖通空调用",""),IF(I89="","",IF(COUNTIF(EV_YES_NO,I89)=0,"是否暖通空调用不在标准枚举中","")),IF(AND(ISTEXT(I89),OR(I89&lt;&gt;TRIM(I89),ISNUMBER(SEARCH("　",I89)))),"是否暖通空调用含首尾空格或全角空格",""),IF(J89="","缺少是否带进气箱",""),IF(J89="","",IF(COUNTIF(EV_YES_NO,J89)=0,"是否带进气箱不在标准枚举中","")),IF(AND(ISTEXT(J89),OR(J89&lt;&gt;TRIM(J89),ISNUMBER(SEARCH("　",J89)))),"是否带进气箱含首尾空格或全角空格",""),IF(K89="","缺少流量",""),IF(K89="","",IF(NOT(ISNUMBER(K89)),"流量应为数值",IF(K89&lt;=0,"流量应大于0",""))),IF(L89="","缺少风机压力pF",""),IF(L89="","",IF(NOT(ISNUMBER(L89)),"风机压力pF应为数值",IF(L89&lt;=0,"风机压力pF应大于0",""))),IF(M89="","缺少出口滞止压力",""),IF(M89="","",IF(NOT(ISNUMBER(M89)),"出口滞止压力应为数值",IF(M89&lt;=0,"出口滞止压力应大于0",""))),IF(N89="","缺少进口滞止压力",""),IF(N89="","",IF(NOT(ISNUMBER(N89)),"进口滞止压力应为数值",IF(N89&lt;=0,"进口滞止压力应大于0",""))),IF(O89="","缺少额定功率",""),IF(O89="","",IF(NOT(ISNUMBER(O89)),"额定功率应为数值",IF(O89&lt;=0,"额定功率应大于0",""))),IF(P89="","缺少叶轮功率",""),IF(P89="","",IF(NOT(ISNUMBER(P89)),"叶轮功率应为数值",IF(P89&lt;=0,"叶轮功率应大于0",""))),IF(Q89="","缺少转速",""),IF(Q89="","",IF(NOT(ISNUMBER(Q89)),"转速应为数值",IF(Q89&lt;=0,"转速应大于0",""))),IF(R89="","缺少机号",""),IF(R89="","",IF(NOT(ISNUMBER(R89)),"机号应为数值",IF(R89&lt;=0,"机号应大于0",""))),IF(S89="","缺少进口滞止密度",""),IF(S89="","",IF(NOT(ISNUMBER(S89)),"进口滞止密度应为数值",IF(S89&lt;=0,"进口滞止密度应大于0",""))),IF(T89="","缺少等熵指数k",""),IF(T89="","",IF(NOT(ISNUMBER(T89)),"等熵指数k应为数值",IF(OR(T89&lt;1,T89&gt;2),"等熵指数k应为1～2",""))),IF(U89="","缺少最高通风机效率ηr",""),IF(U89="","",IF(NOT(ISNUMBER(U89)),"最高通风机效率ηr应为数值",IF(OR(U89&lt;1,U89&gt;100),"最高通风机效率ηr应为1～100的百分数本值",""))),IF(AD89="","缺少铭牌照片",""),IF(AND(ISTEXT(AE89),OR(AE89&lt;&gt;TRIM(AE89),ISNUMBER(SEARCH("　",AE89)))),"填表备注含首尾空格或全角空格",""),IF(AND(H89="",F89&lt;&gt;""),"离心通风机缺少单双吸",""),IF(AND(ISNUMBER(L89),L89&gt;30000),"风机压力超过30kPa，超出通风机标准范围",""),IF(AND(F89="外转子电机直联前向多翼离心风机",G89&lt;&gt;"",G89&lt;&gt;"外转子电机直联"),"外转子前向多翼离心风机应选择外转子电机直联","")),"")</f>
        <v/>
      </c>
    </row>
    <row r="90" ht="42" customHeight="1" s="184">
      <c r="A90" s="224">
        <f>IF(COUNTA(B90,C90,D90,E90,F90,G90,H90,I90,J90,K90,L90,M90,N90,O90,P90,Q90,R90,S90,T90,U90,AD90,AE90)&gt;0,ROW()-3,"")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29" t="n"/>
      <c r="L90" s="229" t="n"/>
      <c r="M90" s="229" t="n"/>
      <c r="N90" s="229" t="n"/>
      <c r="O90" s="229" t="n"/>
      <c r="P90" s="229" t="n"/>
      <c r="Q90" s="229" t="n"/>
      <c r="R90" s="229" t="n"/>
      <c r="S90" s="229" t="n"/>
      <c r="T90" s="235" t="n"/>
      <c r="U90" s="229" t="n"/>
      <c r="V90" s="113" t="n"/>
      <c r="W90" s="236" t="n"/>
      <c r="X90" s="113" t="n"/>
      <c r="Y90" s="113" t="n"/>
      <c r="Z90" s="227" t="n"/>
      <c r="AA90" s="227" t="n"/>
      <c r="AB90" s="227" t="n"/>
      <c r="AC90" s="81" t="n"/>
      <c r="AD90" s="180" t="n"/>
      <c r="AE90" s="180" t="n"/>
      <c r="AF90" s="99">
        <f>IF(COUNTA(B90,C90,D90,E90,F90,G90,H90,I90,J90,K90,L90,M90,N90,O90,P90,Q90,R90,S90,T90,U90,AD90,AE90)&gt;0,TEXTJOIN("；",TRUE,IF(B90="","缺少设备名称",""),IF(AND(ISTEXT(B90),OR(B90&lt;&gt;TRIM(B90),ISNUMBER(SEARCH("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",E90)))),"安装位置含首尾空格或全角空格",""),IF(F90="","缺少设备类别",""),IF(F90="","",IF(COUNTIF(EV_CENTRIFUGAL_FAN_CATEGORY,F90)=0,"设备类别不在标准枚举中","")),IF(AND(ISTEXT(F90),OR(F90&lt;&gt;TRIM(F90),ISNUMBER(SEARCH("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",G90)))),"传动方式含首尾空格或全角空格",""),IF(H90="","",IF(COUNTIF(EV_SUCTION,H90)=0,"单双吸不在标准枚举中","")),IF(AND(ISTEXT(H90),OR(H90&lt;&gt;TRIM(H90),ISNUMBER(SEARCH("　",H90)))),"单双吸含首尾空格或全角空格",""),IF(I90="","缺少是否暖通空调用",""),IF(I90="","",IF(COUNTIF(EV_YES_NO,I90)=0,"是否暖通空调用不在标准枚举中","")),IF(AND(ISTEXT(I90),OR(I90&lt;&gt;TRIM(I90),ISNUMBER(SEARCH("　",I90)))),"是否暖通空调用含首尾空格或全角空格",""),IF(J90="","缺少是否带进气箱",""),IF(J90="","",IF(COUNTIF(EV_YES_NO,J90)=0,"是否带进气箱不在标准枚举中","")),IF(AND(ISTEXT(J90),OR(J90&lt;&gt;TRIM(J90),ISNUMBER(SEARCH("　",J90)))),"是否带进气箱含首尾空格或全角空格",""),IF(K90="","缺少流量",""),IF(K90="","",IF(NOT(ISNUMBER(K90)),"流量应为数值",IF(K90&lt;=0,"流量应大于0",""))),IF(L90="","缺少风机压力pF",""),IF(L90="","",IF(NOT(ISNUMBER(L90)),"风机压力pF应为数值",IF(L90&lt;=0,"风机压力pF应大于0",""))),IF(M90="","缺少出口滞止压力",""),IF(M90="","",IF(NOT(ISNUMBER(M90)),"出口滞止压力应为数值",IF(M90&lt;=0,"出口滞止压力应大于0",""))),IF(N90="","缺少进口滞止压力",""),IF(N90="","",IF(NOT(ISNUMBER(N90)),"进口滞止压力应为数值",IF(N90&lt;=0,"进口滞止压力应大于0",""))),IF(O90="","缺少额定功率",""),IF(O90="","",IF(NOT(ISNUMBER(O90)),"额定功率应为数值",IF(O90&lt;=0,"额定功率应大于0",""))),IF(P90="","缺少叶轮功率",""),IF(P90="","",IF(NOT(ISNUMBER(P90)),"叶轮功率应为数值",IF(P90&lt;=0,"叶轮功率应大于0",""))),IF(Q90="","缺少转速",""),IF(Q90="","",IF(NOT(ISNUMBER(Q90)),"转速应为数值",IF(Q90&lt;=0,"转速应大于0",""))),IF(R90="","缺少机号",""),IF(R90="","",IF(NOT(ISNUMBER(R90)),"机号应为数值",IF(R90&lt;=0,"机号应大于0",""))),IF(S90="","缺少进口滞止密度",""),IF(S90="","",IF(NOT(ISNUMBER(S90)),"进口滞止密度应为数值",IF(S90&lt;=0,"进口滞止密度应大于0",""))),IF(T90="","缺少等熵指数k",""),IF(T90="","",IF(NOT(ISNUMBER(T90)),"等熵指数k应为数值",IF(OR(T90&lt;1,T90&gt;2),"等熵指数k应为1～2",""))),IF(U90="","缺少最高通风机效率ηr",""),IF(U90="","",IF(NOT(ISNUMBER(U90)),"最高通风机效率ηr应为数值",IF(OR(U90&lt;1,U90&gt;100),"最高通风机效率ηr应为1～100的百分数本值",""))),IF(AD90="","缺少铭牌照片",""),IF(AND(ISTEXT(AE90),OR(AE90&lt;&gt;TRIM(AE90),ISNUMBER(SEARCH("　",AE90)))),"填表备注含首尾空格或全角空格",""),IF(AND(H90="",F90&lt;&gt;""),"离心通风机缺少单双吸",""),IF(AND(ISNUMBER(L90),L90&gt;30000),"风机压力超过30kPa，超出通风机标准范围",""),IF(AND(F90="外转子电机直联前向多翼离心风机",G90&lt;&gt;"",G90&lt;&gt;"外转子电机直联"),"外转子前向多翼离心风机应选择外转子电机直联","")),"")</f>
        <v/>
      </c>
    </row>
    <row r="91" ht="42" customHeight="1" s="184">
      <c r="A91" s="224">
        <f>IF(COUNTA(B91,C91,D91,E91,F91,G91,H91,I91,J91,K91,L91,M91,N91,O91,P91,Q91,R91,S91,T91,U91,AD91,AE91)&gt;0,ROW()-3,"")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29" t="n"/>
      <c r="L91" s="229" t="n"/>
      <c r="M91" s="229" t="n"/>
      <c r="N91" s="229" t="n"/>
      <c r="O91" s="229" t="n"/>
      <c r="P91" s="229" t="n"/>
      <c r="Q91" s="229" t="n"/>
      <c r="R91" s="229" t="n"/>
      <c r="S91" s="229" t="n"/>
      <c r="T91" s="235" t="n"/>
      <c r="U91" s="229" t="n"/>
      <c r="V91" s="113" t="n"/>
      <c r="W91" s="236" t="n"/>
      <c r="X91" s="113" t="n"/>
      <c r="Y91" s="113" t="n"/>
      <c r="Z91" s="227" t="n"/>
      <c r="AA91" s="227" t="n"/>
      <c r="AB91" s="227" t="n"/>
      <c r="AC91" s="81" t="n"/>
      <c r="AD91" s="180" t="n"/>
      <c r="AE91" s="180" t="n"/>
      <c r="AF91" s="99">
        <f>IF(COUNTA(B91,C91,D91,E91,F91,G91,H91,I91,J91,K91,L91,M91,N91,O91,P91,Q91,R91,S91,T91,U91,AD91,AE91)&gt;0,TEXTJOIN("；",TRUE,IF(B91="","缺少设备名称",""),IF(AND(ISTEXT(B91),OR(B91&lt;&gt;TRIM(B91),ISNUMBER(SEARCH("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",E91)))),"安装位置含首尾空格或全角空格",""),IF(F91="","缺少设备类别",""),IF(F91="","",IF(COUNTIF(EV_CENTRIFUGAL_FAN_CATEGORY,F91)=0,"设备类别不在标准枚举中","")),IF(AND(ISTEXT(F91),OR(F91&lt;&gt;TRIM(F91),ISNUMBER(SEARCH("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",G91)))),"传动方式含首尾空格或全角空格",""),IF(H91="","",IF(COUNTIF(EV_SUCTION,H91)=0,"单双吸不在标准枚举中","")),IF(AND(ISTEXT(H91),OR(H91&lt;&gt;TRIM(H91),ISNUMBER(SEARCH("　",H91)))),"单双吸含首尾空格或全角空格",""),IF(I91="","缺少是否暖通空调用",""),IF(I91="","",IF(COUNTIF(EV_YES_NO,I91)=0,"是否暖通空调用不在标准枚举中","")),IF(AND(ISTEXT(I91),OR(I91&lt;&gt;TRIM(I91),ISNUMBER(SEARCH("　",I91)))),"是否暖通空调用含首尾空格或全角空格",""),IF(J91="","缺少是否带进气箱",""),IF(J91="","",IF(COUNTIF(EV_YES_NO,J91)=0,"是否带进气箱不在标准枚举中","")),IF(AND(ISTEXT(J91),OR(J91&lt;&gt;TRIM(J91),ISNUMBER(SEARCH("　",J91)))),"是否带进气箱含首尾空格或全角空格",""),IF(K91="","缺少流量",""),IF(K91="","",IF(NOT(ISNUMBER(K91)),"流量应为数值",IF(K91&lt;=0,"流量应大于0",""))),IF(L91="","缺少风机压力pF",""),IF(L91="","",IF(NOT(ISNUMBER(L91)),"风机压力pF应为数值",IF(L91&lt;=0,"风机压力pF应大于0",""))),IF(M91="","缺少出口滞止压力",""),IF(M91="","",IF(NOT(ISNUMBER(M91)),"出口滞止压力应为数值",IF(M91&lt;=0,"出口滞止压力应大于0",""))),IF(N91="","缺少进口滞止压力",""),IF(N91="","",IF(NOT(ISNUMBER(N91)),"进口滞止压力应为数值",IF(N91&lt;=0,"进口滞止压力应大于0",""))),IF(O91="","缺少额定功率",""),IF(O91="","",IF(NOT(ISNUMBER(O91)),"额定功率应为数值",IF(O91&lt;=0,"额定功率应大于0",""))),IF(P91="","缺少叶轮功率",""),IF(P91="","",IF(NOT(ISNUMBER(P91)),"叶轮功率应为数值",IF(P91&lt;=0,"叶轮功率应大于0",""))),IF(Q91="","缺少转速",""),IF(Q91="","",IF(NOT(ISNUMBER(Q91)),"转速应为数值",IF(Q91&lt;=0,"转速应大于0",""))),IF(R91="","缺少机号",""),IF(R91="","",IF(NOT(ISNUMBER(R91)),"机号应为数值",IF(R91&lt;=0,"机号应大于0",""))),IF(S91="","缺少进口滞止密度",""),IF(S91="","",IF(NOT(ISNUMBER(S91)),"进口滞止密度应为数值",IF(S91&lt;=0,"进口滞止密度应大于0",""))),IF(T91="","缺少等熵指数k",""),IF(T91="","",IF(NOT(ISNUMBER(T91)),"等熵指数k应为数值",IF(OR(T91&lt;1,T91&gt;2),"等熵指数k应为1～2",""))),IF(U91="","缺少最高通风机效率ηr",""),IF(U91="","",IF(NOT(ISNUMBER(U91)),"最高通风机效率ηr应为数值",IF(OR(U91&lt;1,U91&gt;100),"最高通风机效率ηr应为1～100的百分数本值",""))),IF(AD91="","缺少铭牌照片",""),IF(AND(ISTEXT(AE91),OR(AE91&lt;&gt;TRIM(AE91),ISNUMBER(SEARCH("　",AE91)))),"填表备注含首尾空格或全角空格",""),IF(AND(H91="",F91&lt;&gt;""),"离心通风机缺少单双吸",""),IF(AND(ISNUMBER(L91),L91&gt;30000),"风机压力超过30kPa，超出通风机标准范围",""),IF(AND(F91="外转子电机直联前向多翼离心风机",G91&lt;&gt;"",G91&lt;&gt;"外转子电机直联"),"外转子前向多翼离心风机应选择外转子电机直联","")),"")</f>
        <v/>
      </c>
    </row>
    <row r="92" ht="42" customHeight="1" s="184">
      <c r="A92" s="224">
        <f>IF(COUNTA(B92,C92,D92,E92,F92,G92,H92,I92,J92,K92,L92,M92,N92,O92,P92,Q92,R92,S92,T92,U92,AD92,AE92)&gt;0,ROW()-3,"")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29" t="n"/>
      <c r="L92" s="229" t="n"/>
      <c r="M92" s="229" t="n"/>
      <c r="N92" s="229" t="n"/>
      <c r="O92" s="229" t="n"/>
      <c r="P92" s="229" t="n"/>
      <c r="Q92" s="229" t="n"/>
      <c r="R92" s="229" t="n"/>
      <c r="S92" s="229" t="n"/>
      <c r="T92" s="235" t="n"/>
      <c r="U92" s="229" t="n"/>
      <c r="V92" s="113" t="n"/>
      <c r="W92" s="236" t="n"/>
      <c r="X92" s="113" t="n"/>
      <c r="Y92" s="113" t="n"/>
      <c r="Z92" s="227" t="n"/>
      <c r="AA92" s="227" t="n"/>
      <c r="AB92" s="227" t="n"/>
      <c r="AC92" s="81" t="n"/>
      <c r="AD92" s="180" t="n"/>
      <c r="AE92" s="180" t="n"/>
      <c r="AF92" s="99">
        <f>IF(COUNTA(B92,C92,D92,E92,F92,G92,H92,I92,J92,K92,L92,M92,N92,O92,P92,Q92,R92,S92,T92,U92,AD92,AE92)&gt;0,TEXTJOIN("；",TRUE,IF(B92="","缺少设备名称",""),IF(AND(ISTEXT(B92),OR(B92&lt;&gt;TRIM(B92),ISNUMBER(SEARCH("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",E92)))),"安装位置含首尾空格或全角空格",""),IF(F92="","缺少设备类别",""),IF(F92="","",IF(COUNTIF(EV_CENTRIFUGAL_FAN_CATEGORY,F92)=0,"设备类别不在标准枚举中","")),IF(AND(ISTEXT(F92),OR(F92&lt;&gt;TRIM(F92),ISNUMBER(SEARCH("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",G92)))),"传动方式含首尾空格或全角空格",""),IF(H92="","",IF(COUNTIF(EV_SUCTION,H92)=0,"单双吸不在标准枚举中","")),IF(AND(ISTEXT(H92),OR(H92&lt;&gt;TRIM(H92),ISNUMBER(SEARCH("　",H92)))),"单双吸含首尾空格或全角空格",""),IF(I92="","缺少是否暖通空调用",""),IF(I92="","",IF(COUNTIF(EV_YES_NO,I92)=0,"是否暖通空调用不在标准枚举中","")),IF(AND(ISTEXT(I92),OR(I92&lt;&gt;TRIM(I92),ISNUMBER(SEARCH("　",I92)))),"是否暖通空调用含首尾空格或全角空格",""),IF(J92="","缺少是否带进气箱",""),IF(J92="","",IF(COUNTIF(EV_YES_NO,J92)=0,"是否带进气箱不在标准枚举中","")),IF(AND(ISTEXT(J92),OR(J92&lt;&gt;TRIM(J92),ISNUMBER(SEARCH("　",J92)))),"是否带进气箱含首尾空格或全角空格",""),IF(K92="","缺少流量",""),IF(K92="","",IF(NOT(ISNUMBER(K92)),"流量应为数值",IF(K92&lt;=0,"流量应大于0",""))),IF(L92="","缺少风机压力pF",""),IF(L92="","",IF(NOT(ISNUMBER(L92)),"风机压力pF应为数值",IF(L92&lt;=0,"风机压力pF应大于0",""))),IF(M92="","缺少出口滞止压力",""),IF(M92="","",IF(NOT(ISNUMBER(M92)),"出口滞止压力应为数值",IF(M92&lt;=0,"出口滞止压力应大于0",""))),IF(N92="","缺少进口滞止压力",""),IF(N92="","",IF(NOT(ISNUMBER(N92)),"进口滞止压力应为数值",IF(N92&lt;=0,"进口滞止压力应大于0",""))),IF(O92="","缺少额定功率",""),IF(O92="","",IF(NOT(ISNUMBER(O92)),"额定功率应为数值",IF(O92&lt;=0,"额定功率应大于0",""))),IF(P92="","缺少叶轮功率",""),IF(P92="","",IF(NOT(ISNUMBER(P92)),"叶轮功率应为数值",IF(P92&lt;=0,"叶轮功率应大于0",""))),IF(Q92="","缺少转速",""),IF(Q92="","",IF(NOT(ISNUMBER(Q92)),"转速应为数值",IF(Q92&lt;=0,"转速应大于0",""))),IF(R92="","缺少机号",""),IF(R92="","",IF(NOT(ISNUMBER(R92)),"机号应为数值",IF(R92&lt;=0,"机号应大于0",""))),IF(S92="","缺少进口滞止密度",""),IF(S92="","",IF(NOT(ISNUMBER(S92)),"进口滞止密度应为数值",IF(S92&lt;=0,"进口滞止密度应大于0",""))),IF(T92="","缺少等熵指数k",""),IF(T92="","",IF(NOT(ISNUMBER(T92)),"等熵指数k应为数值",IF(OR(T92&lt;1,T92&gt;2),"等熵指数k应为1～2",""))),IF(U92="","缺少最高通风机效率ηr",""),IF(U92="","",IF(NOT(ISNUMBER(U92)),"最高通风机效率ηr应为数值",IF(OR(U92&lt;1,U92&gt;100),"最高通风机效率ηr应为1～100的百分数本值",""))),IF(AD92="","缺少铭牌照片",""),IF(AND(ISTEXT(AE92),OR(AE92&lt;&gt;TRIM(AE92),ISNUMBER(SEARCH("　",AE92)))),"填表备注含首尾空格或全角空格",""),IF(AND(H92="",F92&lt;&gt;""),"离心通风机缺少单双吸",""),IF(AND(ISNUMBER(L92),L92&gt;30000),"风机压力超过30kPa，超出通风机标准范围",""),IF(AND(F92="外转子电机直联前向多翼离心风机",G92&lt;&gt;"",G92&lt;&gt;"外转子电机直联"),"外转子前向多翼离心风机应选择外转子电机直联","")),"")</f>
        <v/>
      </c>
    </row>
    <row r="93" ht="42" customHeight="1" s="184">
      <c r="A93" s="224">
        <f>IF(COUNTA(B93,C93,D93,E93,F93,G93,H93,I93,J93,K93,L93,M93,N93,O93,P93,Q93,R93,S93,T93,U93,AD93,AE93)&gt;0,ROW()-3,"")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29" t="n"/>
      <c r="L93" s="229" t="n"/>
      <c r="M93" s="229" t="n"/>
      <c r="N93" s="229" t="n"/>
      <c r="O93" s="229" t="n"/>
      <c r="P93" s="229" t="n"/>
      <c r="Q93" s="229" t="n"/>
      <c r="R93" s="229" t="n"/>
      <c r="S93" s="229" t="n"/>
      <c r="T93" s="235" t="n"/>
      <c r="U93" s="229" t="n"/>
      <c r="V93" s="113" t="n"/>
      <c r="W93" s="236" t="n"/>
      <c r="X93" s="113" t="n"/>
      <c r="Y93" s="113" t="n"/>
      <c r="Z93" s="227" t="n"/>
      <c r="AA93" s="227" t="n"/>
      <c r="AB93" s="227" t="n"/>
      <c r="AC93" s="81" t="n"/>
      <c r="AD93" s="180" t="n"/>
      <c r="AE93" s="180" t="n"/>
      <c r="AF93" s="99">
        <f>IF(COUNTA(B93,C93,D93,E93,F93,G93,H93,I93,J93,K93,L93,M93,N93,O93,P93,Q93,R93,S93,T93,U93,AD93,AE93)&gt;0,TEXTJOIN("；",TRUE,IF(B93="","缺少设备名称",""),IF(AND(ISTEXT(B93),OR(B93&lt;&gt;TRIM(B93),ISNUMBER(SEARCH("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",E93)))),"安装位置含首尾空格或全角空格",""),IF(F93="","缺少设备类别",""),IF(F93="","",IF(COUNTIF(EV_CENTRIFUGAL_FAN_CATEGORY,F93)=0,"设备类别不在标准枚举中","")),IF(AND(ISTEXT(F93),OR(F93&lt;&gt;TRIM(F93),ISNUMBER(SEARCH("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",G93)))),"传动方式含首尾空格或全角空格",""),IF(H93="","",IF(COUNTIF(EV_SUCTION,H93)=0,"单双吸不在标准枚举中","")),IF(AND(ISTEXT(H93),OR(H93&lt;&gt;TRIM(H93),ISNUMBER(SEARCH("　",H93)))),"单双吸含首尾空格或全角空格",""),IF(I93="","缺少是否暖通空调用",""),IF(I93="","",IF(COUNTIF(EV_YES_NO,I93)=0,"是否暖通空调用不在标准枚举中","")),IF(AND(ISTEXT(I93),OR(I93&lt;&gt;TRIM(I93),ISNUMBER(SEARCH("　",I93)))),"是否暖通空调用含首尾空格或全角空格",""),IF(J93="","缺少是否带进气箱",""),IF(J93="","",IF(COUNTIF(EV_YES_NO,J93)=0,"是否带进气箱不在标准枚举中","")),IF(AND(ISTEXT(J93),OR(J93&lt;&gt;TRIM(J93),ISNUMBER(SEARCH("　",J93)))),"是否带进气箱含首尾空格或全角空格",""),IF(K93="","缺少流量",""),IF(K93="","",IF(NOT(ISNUMBER(K93)),"流量应为数值",IF(K93&lt;=0,"流量应大于0",""))),IF(L93="","缺少风机压力pF",""),IF(L93="","",IF(NOT(ISNUMBER(L93)),"风机压力pF应为数值",IF(L93&lt;=0,"风机压力pF应大于0",""))),IF(M93="","缺少出口滞止压力",""),IF(M93="","",IF(NOT(ISNUMBER(M93)),"出口滞止压力应为数值",IF(M93&lt;=0,"出口滞止压力应大于0",""))),IF(N93="","缺少进口滞止压力",""),IF(N93="","",IF(NOT(ISNUMBER(N93)),"进口滞止压力应为数值",IF(N93&lt;=0,"进口滞止压力应大于0",""))),IF(O93="","缺少额定功率",""),IF(O93="","",IF(NOT(ISNUMBER(O93)),"额定功率应为数值",IF(O93&lt;=0,"额定功率应大于0",""))),IF(P93="","缺少叶轮功率",""),IF(P93="","",IF(NOT(ISNUMBER(P93)),"叶轮功率应为数值",IF(P93&lt;=0,"叶轮功率应大于0",""))),IF(Q93="","缺少转速",""),IF(Q93="","",IF(NOT(ISNUMBER(Q93)),"转速应为数值",IF(Q93&lt;=0,"转速应大于0",""))),IF(R93="","缺少机号",""),IF(R93="","",IF(NOT(ISNUMBER(R93)),"机号应为数值",IF(R93&lt;=0,"机号应大于0",""))),IF(S93="","缺少进口滞止密度",""),IF(S93="","",IF(NOT(ISNUMBER(S93)),"进口滞止密度应为数值",IF(S93&lt;=0,"进口滞止密度应大于0",""))),IF(T93="","缺少等熵指数k",""),IF(T93="","",IF(NOT(ISNUMBER(T93)),"等熵指数k应为数值",IF(OR(T93&lt;1,T93&gt;2),"等熵指数k应为1～2",""))),IF(U93="","缺少最高通风机效率ηr",""),IF(U93="","",IF(NOT(ISNUMBER(U93)),"最高通风机效率ηr应为数值",IF(OR(U93&lt;1,U93&gt;100),"最高通风机效率ηr应为1～100的百分数本值",""))),IF(AD93="","缺少铭牌照片",""),IF(AND(ISTEXT(AE93),OR(AE93&lt;&gt;TRIM(AE93),ISNUMBER(SEARCH("　",AE93)))),"填表备注含首尾空格或全角空格",""),IF(AND(H93="",F93&lt;&gt;""),"离心通风机缺少单双吸",""),IF(AND(ISNUMBER(L93),L93&gt;30000),"风机压力超过30kPa，超出通风机标准范围",""),IF(AND(F93="外转子电机直联前向多翼离心风机",G93&lt;&gt;"",G93&lt;&gt;"外转子电机直联"),"外转子前向多翼离心风机应选择外转子电机直联","")),"")</f>
        <v/>
      </c>
    </row>
    <row r="94" ht="42" customHeight="1" s="184">
      <c r="A94" s="224">
        <f>IF(COUNTA(B94,C94,D94,E94,F94,G94,H94,I94,J94,K94,L94,M94,N94,O94,P94,Q94,R94,S94,T94,U94,AD94,AE94)&gt;0,ROW()-3,"")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29" t="n"/>
      <c r="L94" s="229" t="n"/>
      <c r="M94" s="229" t="n"/>
      <c r="N94" s="229" t="n"/>
      <c r="O94" s="229" t="n"/>
      <c r="P94" s="229" t="n"/>
      <c r="Q94" s="229" t="n"/>
      <c r="R94" s="229" t="n"/>
      <c r="S94" s="229" t="n"/>
      <c r="T94" s="235" t="n"/>
      <c r="U94" s="229" t="n"/>
      <c r="V94" s="113" t="n"/>
      <c r="W94" s="236" t="n"/>
      <c r="X94" s="113" t="n"/>
      <c r="Y94" s="113" t="n"/>
      <c r="Z94" s="227" t="n"/>
      <c r="AA94" s="227" t="n"/>
      <c r="AB94" s="227" t="n"/>
      <c r="AC94" s="81" t="n"/>
      <c r="AD94" s="180" t="n"/>
      <c r="AE94" s="180" t="n"/>
      <c r="AF94" s="99">
        <f>IF(COUNTA(B94,C94,D94,E94,F94,G94,H94,I94,J94,K94,L94,M94,N94,O94,P94,Q94,R94,S94,T94,U94,AD94,AE94)&gt;0,TEXTJOIN("；",TRUE,IF(B94="","缺少设备名称",""),IF(AND(ISTEXT(B94),OR(B94&lt;&gt;TRIM(B94),ISNUMBER(SEARCH("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",E94)))),"安装位置含首尾空格或全角空格",""),IF(F94="","缺少设备类别",""),IF(F94="","",IF(COUNTIF(EV_CENTRIFUGAL_FAN_CATEGORY,F94)=0,"设备类别不在标准枚举中","")),IF(AND(ISTEXT(F94),OR(F94&lt;&gt;TRIM(F94),ISNUMBER(SEARCH("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",G94)))),"传动方式含首尾空格或全角空格",""),IF(H94="","",IF(COUNTIF(EV_SUCTION,H94)=0,"单双吸不在标准枚举中","")),IF(AND(ISTEXT(H94),OR(H94&lt;&gt;TRIM(H94),ISNUMBER(SEARCH("　",H94)))),"单双吸含首尾空格或全角空格",""),IF(I94="","缺少是否暖通空调用",""),IF(I94="","",IF(COUNTIF(EV_YES_NO,I94)=0,"是否暖通空调用不在标准枚举中","")),IF(AND(ISTEXT(I94),OR(I94&lt;&gt;TRIM(I94),ISNUMBER(SEARCH("　",I94)))),"是否暖通空调用含首尾空格或全角空格",""),IF(J94="","缺少是否带进气箱",""),IF(J94="","",IF(COUNTIF(EV_YES_NO,J94)=0,"是否带进气箱不在标准枚举中","")),IF(AND(ISTEXT(J94),OR(J94&lt;&gt;TRIM(J94),ISNUMBER(SEARCH("　",J94)))),"是否带进气箱含首尾空格或全角空格",""),IF(K94="","缺少流量",""),IF(K94="","",IF(NOT(ISNUMBER(K94)),"流量应为数值",IF(K94&lt;=0,"流量应大于0",""))),IF(L94="","缺少风机压力pF",""),IF(L94="","",IF(NOT(ISNUMBER(L94)),"风机压力pF应为数值",IF(L94&lt;=0,"风机压力pF应大于0",""))),IF(M94="","缺少出口滞止压力",""),IF(M94="","",IF(NOT(ISNUMBER(M94)),"出口滞止压力应为数值",IF(M94&lt;=0,"出口滞止压力应大于0",""))),IF(N94="","缺少进口滞止压力",""),IF(N94="","",IF(NOT(ISNUMBER(N94)),"进口滞止压力应为数值",IF(N94&lt;=0,"进口滞止压力应大于0",""))),IF(O94="","缺少额定功率",""),IF(O94="","",IF(NOT(ISNUMBER(O94)),"额定功率应为数值",IF(O94&lt;=0,"额定功率应大于0",""))),IF(P94="","缺少叶轮功率",""),IF(P94="","",IF(NOT(ISNUMBER(P94)),"叶轮功率应为数值",IF(P94&lt;=0,"叶轮功率应大于0",""))),IF(Q94="","缺少转速",""),IF(Q94="","",IF(NOT(ISNUMBER(Q94)),"转速应为数值",IF(Q94&lt;=0,"转速应大于0",""))),IF(R94="","缺少机号",""),IF(R94="","",IF(NOT(ISNUMBER(R94)),"机号应为数值",IF(R94&lt;=0,"机号应大于0",""))),IF(S94="","缺少进口滞止密度",""),IF(S94="","",IF(NOT(ISNUMBER(S94)),"进口滞止密度应为数值",IF(S94&lt;=0,"进口滞止密度应大于0",""))),IF(T94="","缺少等熵指数k",""),IF(T94="","",IF(NOT(ISNUMBER(T94)),"等熵指数k应为数值",IF(OR(T94&lt;1,T94&gt;2),"等熵指数k应为1～2",""))),IF(U94="","缺少最高通风机效率ηr",""),IF(U94="","",IF(NOT(ISNUMBER(U94)),"最高通风机效率ηr应为数值",IF(OR(U94&lt;1,U94&gt;100),"最高通风机效率ηr应为1～100的百分数本值",""))),IF(AD94="","缺少铭牌照片",""),IF(AND(ISTEXT(AE94),OR(AE94&lt;&gt;TRIM(AE94),ISNUMBER(SEARCH("　",AE94)))),"填表备注含首尾空格或全角空格",""),IF(AND(H94="",F94&lt;&gt;""),"离心通风机缺少单双吸",""),IF(AND(ISNUMBER(L94),L94&gt;30000),"风机压力超过30kPa，超出通风机标准范围",""),IF(AND(F94="外转子电机直联前向多翼离心风机",G94&lt;&gt;"",G94&lt;&gt;"外转子电机直联"),"外转子前向多翼离心风机应选择外转子电机直联","")),"")</f>
        <v/>
      </c>
    </row>
    <row r="95" ht="42" customHeight="1" s="184">
      <c r="A95" s="224">
        <f>IF(COUNTA(B95,C95,D95,E95,F95,G95,H95,I95,J95,K95,L95,M95,N95,O95,P95,Q95,R95,S95,T95,U95,AD95,AE95)&gt;0,ROW()-3,"")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29" t="n"/>
      <c r="L95" s="229" t="n"/>
      <c r="M95" s="229" t="n"/>
      <c r="N95" s="229" t="n"/>
      <c r="O95" s="229" t="n"/>
      <c r="P95" s="229" t="n"/>
      <c r="Q95" s="229" t="n"/>
      <c r="R95" s="229" t="n"/>
      <c r="S95" s="229" t="n"/>
      <c r="T95" s="235" t="n"/>
      <c r="U95" s="229" t="n"/>
      <c r="V95" s="113" t="n"/>
      <c r="W95" s="236" t="n"/>
      <c r="X95" s="113" t="n"/>
      <c r="Y95" s="113" t="n"/>
      <c r="Z95" s="227" t="n"/>
      <c r="AA95" s="227" t="n"/>
      <c r="AB95" s="227" t="n"/>
      <c r="AC95" s="81" t="n"/>
      <c r="AD95" s="180" t="n"/>
      <c r="AE95" s="180" t="n"/>
      <c r="AF95" s="99">
        <f>IF(COUNTA(B95,C95,D95,E95,F95,G95,H95,I95,J95,K95,L95,M95,N95,O95,P95,Q95,R95,S95,T95,U95,AD95,AE95)&gt;0,TEXTJOIN("；",TRUE,IF(B95="","缺少设备名称",""),IF(AND(ISTEXT(B95),OR(B95&lt;&gt;TRIM(B95),ISNUMBER(SEARCH("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",E95)))),"安装位置含首尾空格或全角空格",""),IF(F95="","缺少设备类别",""),IF(F95="","",IF(COUNTIF(EV_CENTRIFUGAL_FAN_CATEGORY,F95)=0,"设备类别不在标准枚举中","")),IF(AND(ISTEXT(F95),OR(F95&lt;&gt;TRIM(F95),ISNUMBER(SEARCH("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",G95)))),"传动方式含首尾空格或全角空格",""),IF(H95="","",IF(COUNTIF(EV_SUCTION,H95)=0,"单双吸不在标准枚举中","")),IF(AND(ISTEXT(H95),OR(H95&lt;&gt;TRIM(H95),ISNUMBER(SEARCH("　",H95)))),"单双吸含首尾空格或全角空格",""),IF(I95="","缺少是否暖通空调用",""),IF(I95="","",IF(COUNTIF(EV_YES_NO,I95)=0,"是否暖通空调用不在标准枚举中","")),IF(AND(ISTEXT(I95),OR(I95&lt;&gt;TRIM(I95),ISNUMBER(SEARCH("　",I95)))),"是否暖通空调用含首尾空格或全角空格",""),IF(J95="","缺少是否带进气箱",""),IF(J95="","",IF(COUNTIF(EV_YES_NO,J95)=0,"是否带进气箱不在标准枚举中","")),IF(AND(ISTEXT(J95),OR(J95&lt;&gt;TRIM(J95),ISNUMBER(SEARCH("　",J95)))),"是否带进气箱含首尾空格或全角空格",""),IF(K95="","缺少流量",""),IF(K95="","",IF(NOT(ISNUMBER(K95)),"流量应为数值",IF(K95&lt;=0,"流量应大于0",""))),IF(L95="","缺少风机压力pF",""),IF(L95="","",IF(NOT(ISNUMBER(L95)),"风机压力pF应为数值",IF(L95&lt;=0,"风机压力pF应大于0",""))),IF(M95="","缺少出口滞止压力",""),IF(M95="","",IF(NOT(ISNUMBER(M95)),"出口滞止压力应为数值",IF(M95&lt;=0,"出口滞止压力应大于0",""))),IF(N95="","缺少进口滞止压力",""),IF(N95="","",IF(NOT(ISNUMBER(N95)),"进口滞止压力应为数值",IF(N95&lt;=0,"进口滞止压力应大于0",""))),IF(O95="","缺少额定功率",""),IF(O95="","",IF(NOT(ISNUMBER(O95)),"额定功率应为数值",IF(O95&lt;=0,"额定功率应大于0",""))),IF(P95="","缺少叶轮功率",""),IF(P95="","",IF(NOT(ISNUMBER(P95)),"叶轮功率应为数值",IF(P95&lt;=0,"叶轮功率应大于0",""))),IF(Q95="","缺少转速",""),IF(Q95="","",IF(NOT(ISNUMBER(Q95)),"转速应为数值",IF(Q95&lt;=0,"转速应大于0",""))),IF(R95="","缺少机号",""),IF(R95="","",IF(NOT(ISNUMBER(R95)),"机号应为数值",IF(R95&lt;=0,"机号应大于0",""))),IF(S95="","缺少进口滞止密度",""),IF(S95="","",IF(NOT(ISNUMBER(S95)),"进口滞止密度应为数值",IF(S95&lt;=0,"进口滞止密度应大于0",""))),IF(T95="","缺少等熵指数k",""),IF(T95="","",IF(NOT(ISNUMBER(T95)),"等熵指数k应为数值",IF(OR(T95&lt;1,T95&gt;2),"等熵指数k应为1～2",""))),IF(U95="","缺少最高通风机效率ηr",""),IF(U95="","",IF(NOT(ISNUMBER(U95)),"最高通风机效率ηr应为数值",IF(OR(U95&lt;1,U95&gt;100),"最高通风机效率ηr应为1～100的百分数本值",""))),IF(AD95="","缺少铭牌照片",""),IF(AND(ISTEXT(AE95),OR(AE95&lt;&gt;TRIM(AE95),ISNUMBER(SEARCH("　",AE95)))),"填表备注含首尾空格或全角空格",""),IF(AND(H95="",F95&lt;&gt;""),"离心通风机缺少单双吸",""),IF(AND(ISNUMBER(L95),L95&gt;30000),"风机压力超过30kPa，超出通风机标准范围",""),IF(AND(F95="外转子电机直联前向多翼离心风机",G95&lt;&gt;"",G95&lt;&gt;"外转子电机直联"),"外转子前向多翼离心风机应选择外转子电机直联","")),"")</f>
        <v/>
      </c>
    </row>
    <row r="96" ht="42" customHeight="1" s="184">
      <c r="A96" s="224">
        <f>IF(COUNTA(B96,C96,D96,E96,F96,G96,H96,I96,J96,K96,L96,M96,N96,O96,P96,Q96,R96,S96,T96,U96,AD96,AE96)&gt;0,ROW()-3,"")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29" t="n"/>
      <c r="L96" s="229" t="n"/>
      <c r="M96" s="229" t="n"/>
      <c r="N96" s="229" t="n"/>
      <c r="O96" s="229" t="n"/>
      <c r="P96" s="229" t="n"/>
      <c r="Q96" s="229" t="n"/>
      <c r="R96" s="229" t="n"/>
      <c r="S96" s="229" t="n"/>
      <c r="T96" s="235" t="n"/>
      <c r="U96" s="229" t="n"/>
      <c r="V96" s="113" t="n"/>
      <c r="W96" s="236" t="n"/>
      <c r="X96" s="113" t="n"/>
      <c r="Y96" s="113" t="n"/>
      <c r="Z96" s="227" t="n"/>
      <c r="AA96" s="227" t="n"/>
      <c r="AB96" s="227" t="n"/>
      <c r="AC96" s="81" t="n"/>
      <c r="AD96" s="180" t="n"/>
      <c r="AE96" s="180" t="n"/>
      <c r="AF96" s="99">
        <f>IF(COUNTA(B96,C96,D96,E96,F96,G96,H96,I96,J96,K96,L96,M96,N96,O96,P96,Q96,R96,S96,T96,U96,AD96,AE96)&gt;0,TEXTJOIN("；",TRUE,IF(B96="","缺少设备名称",""),IF(AND(ISTEXT(B96),OR(B96&lt;&gt;TRIM(B96),ISNUMBER(SEARCH("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",E96)))),"安装位置含首尾空格或全角空格",""),IF(F96="","缺少设备类别",""),IF(F96="","",IF(COUNTIF(EV_CENTRIFUGAL_FAN_CATEGORY,F96)=0,"设备类别不在标准枚举中","")),IF(AND(ISTEXT(F96),OR(F96&lt;&gt;TRIM(F96),ISNUMBER(SEARCH("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",G96)))),"传动方式含首尾空格或全角空格",""),IF(H96="","",IF(COUNTIF(EV_SUCTION,H96)=0,"单双吸不在标准枚举中","")),IF(AND(ISTEXT(H96),OR(H96&lt;&gt;TRIM(H96),ISNUMBER(SEARCH("　",H96)))),"单双吸含首尾空格或全角空格",""),IF(I96="","缺少是否暖通空调用",""),IF(I96="","",IF(COUNTIF(EV_YES_NO,I96)=0,"是否暖通空调用不在标准枚举中","")),IF(AND(ISTEXT(I96),OR(I96&lt;&gt;TRIM(I96),ISNUMBER(SEARCH("　",I96)))),"是否暖通空调用含首尾空格或全角空格",""),IF(J96="","缺少是否带进气箱",""),IF(J96="","",IF(COUNTIF(EV_YES_NO,J96)=0,"是否带进气箱不在标准枚举中","")),IF(AND(ISTEXT(J96),OR(J96&lt;&gt;TRIM(J96),ISNUMBER(SEARCH("　",J96)))),"是否带进气箱含首尾空格或全角空格",""),IF(K96="","缺少流量",""),IF(K96="","",IF(NOT(ISNUMBER(K96)),"流量应为数值",IF(K96&lt;=0,"流量应大于0",""))),IF(L96="","缺少风机压力pF",""),IF(L96="","",IF(NOT(ISNUMBER(L96)),"风机压力pF应为数值",IF(L96&lt;=0,"风机压力pF应大于0",""))),IF(M96="","缺少出口滞止压力",""),IF(M96="","",IF(NOT(ISNUMBER(M96)),"出口滞止压力应为数值",IF(M96&lt;=0,"出口滞止压力应大于0",""))),IF(N96="","缺少进口滞止压力",""),IF(N96="","",IF(NOT(ISNUMBER(N96)),"进口滞止压力应为数值",IF(N96&lt;=0,"进口滞止压力应大于0",""))),IF(O96="","缺少额定功率",""),IF(O96="","",IF(NOT(ISNUMBER(O96)),"额定功率应为数值",IF(O96&lt;=0,"额定功率应大于0",""))),IF(P96="","缺少叶轮功率",""),IF(P96="","",IF(NOT(ISNUMBER(P96)),"叶轮功率应为数值",IF(P96&lt;=0,"叶轮功率应大于0",""))),IF(Q96="","缺少转速",""),IF(Q96="","",IF(NOT(ISNUMBER(Q96)),"转速应为数值",IF(Q96&lt;=0,"转速应大于0",""))),IF(R96="","缺少机号",""),IF(R96="","",IF(NOT(ISNUMBER(R96)),"机号应为数值",IF(R96&lt;=0,"机号应大于0",""))),IF(S96="","缺少进口滞止密度",""),IF(S96="","",IF(NOT(ISNUMBER(S96)),"进口滞止密度应为数值",IF(S96&lt;=0,"进口滞止密度应大于0",""))),IF(T96="","缺少等熵指数k",""),IF(T96="","",IF(NOT(ISNUMBER(T96)),"等熵指数k应为数值",IF(OR(T96&lt;1,T96&gt;2),"等熵指数k应为1～2",""))),IF(U96="","缺少最高通风机效率ηr",""),IF(U96="","",IF(NOT(ISNUMBER(U96)),"最高通风机效率ηr应为数值",IF(OR(U96&lt;1,U96&gt;100),"最高通风机效率ηr应为1～100的百分数本值",""))),IF(AD96="","缺少铭牌照片",""),IF(AND(ISTEXT(AE96),OR(AE96&lt;&gt;TRIM(AE96),ISNUMBER(SEARCH("　",AE96)))),"填表备注含首尾空格或全角空格",""),IF(AND(H96="",F96&lt;&gt;""),"离心通风机缺少单双吸",""),IF(AND(ISNUMBER(L96),L96&gt;30000),"风机压力超过30kPa，超出通风机标准范围",""),IF(AND(F96="外转子电机直联前向多翼离心风机",G96&lt;&gt;"",G96&lt;&gt;"外转子电机直联"),"外转子前向多翼离心风机应选择外转子电机直联","")),"")</f>
        <v/>
      </c>
    </row>
    <row r="97" ht="42" customHeight="1" s="184">
      <c r="A97" s="224">
        <f>IF(COUNTA(B97,C97,D97,E97,F97,G97,H97,I97,J97,K97,L97,M97,N97,O97,P97,Q97,R97,S97,T97,U97,AD97,AE97)&gt;0,ROW()-3,"")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29" t="n"/>
      <c r="L97" s="229" t="n"/>
      <c r="M97" s="229" t="n"/>
      <c r="N97" s="229" t="n"/>
      <c r="O97" s="229" t="n"/>
      <c r="P97" s="229" t="n"/>
      <c r="Q97" s="229" t="n"/>
      <c r="R97" s="229" t="n"/>
      <c r="S97" s="229" t="n"/>
      <c r="T97" s="235" t="n"/>
      <c r="U97" s="229" t="n"/>
      <c r="V97" s="113" t="n"/>
      <c r="W97" s="236" t="n"/>
      <c r="X97" s="113" t="n"/>
      <c r="Y97" s="113" t="n"/>
      <c r="Z97" s="227" t="n"/>
      <c r="AA97" s="227" t="n"/>
      <c r="AB97" s="227" t="n"/>
      <c r="AC97" s="81" t="n"/>
      <c r="AD97" s="180" t="n"/>
      <c r="AE97" s="180" t="n"/>
      <c r="AF97" s="99">
        <f>IF(COUNTA(B97,C97,D97,E97,F97,G97,H97,I97,J97,K97,L97,M97,N97,O97,P97,Q97,R97,S97,T97,U97,AD97,AE97)&gt;0,TEXTJOIN("；",TRUE,IF(B97="","缺少设备名称",""),IF(AND(ISTEXT(B97),OR(B97&lt;&gt;TRIM(B97),ISNUMBER(SEARCH("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",E97)))),"安装位置含首尾空格或全角空格",""),IF(F97="","缺少设备类别",""),IF(F97="","",IF(COUNTIF(EV_CENTRIFUGAL_FAN_CATEGORY,F97)=0,"设备类别不在标准枚举中","")),IF(AND(ISTEXT(F97),OR(F97&lt;&gt;TRIM(F97),ISNUMBER(SEARCH("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",G97)))),"传动方式含首尾空格或全角空格",""),IF(H97="","",IF(COUNTIF(EV_SUCTION,H97)=0,"单双吸不在标准枚举中","")),IF(AND(ISTEXT(H97),OR(H97&lt;&gt;TRIM(H97),ISNUMBER(SEARCH("　",H97)))),"单双吸含首尾空格或全角空格",""),IF(I97="","缺少是否暖通空调用",""),IF(I97="","",IF(COUNTIF(EV_YES_NO,I97)=0,"是否暖通空调用不在标准枚举中","")),IF(AND(ISTEXT(I97),OR(I97&lt;&gt;TRIM(I97),ISNUMBER(SEARCH("　",I97)))),"是否暖通空调用含首尾空格或全角空格",""),IF(J97="","缺少是否带进气箱",""),IF(J97="","",IF(COUNTIF(EV_YES_NO,J97)=0,"是否带进气箱不在标准枚举中","")),IF(AND(ISTEXT(J97),OR(J97&lt;&gt;TRIM(J97),ISNUMBER(SEARCH("　",J97)))),"是否带进气箱含首尾空格或全角空格",""),IF(K97="","缺少流量",""),IF(K97="","",IF(NOT(ISNUMBER(K97)),"流量应为数值",IF(K97&lt;=0,"流量应大于0",""))),IF(L97="","缺少风机压力pF",""),IF(L97="","",IF(NOT(ISNUMBER(L97)),"风机压力pF应为数值",IF(L97&lt;=0,"风机压力pF应大于0",""))),IF(M97="","缺少出口滞止压力",""),IF(M97="","",IF(NOT(ISNUMBER(M97)),"出口滞止压力应为数值",IF(M97&lt;=0,"出口滞止压力应大于0",""))),IF(N97="","缺少进口滞止压力",""),IF(N97="","",IF(NOT(ISNUMBER(N97)),"进口滞止压力应为数值",IF(N97&lt;=0,"进口滞止压力应大于0",""))),IF(O97="","缺少额定功率",""),IF(O97="","",IF(NOT(ISNUMBER(O97)),"额定功率应为数值",IF(O97&lt;=0,"额定功率应大于0",""))),IF(P97="","缺少叶轮功率",""),IF(P97="","",IF(NOT(ISNUMBER(P97)),"叶轮功率应为数值",IF(P97&lt;=0,"叶轮功率应大于0",""))),IF(Q97="","缺少转速",""),IF(Q97="","",IF(NOT(ISNUMBER(Q97)),"转速应为数值",IF(Q97&lt;=0,"转速应大于0",""))),IF(R97="","缺少机号",""),IF(R97="","",IF(NOT(ISNUMBER(R97)),"机号应为数值",IF(R97&lt;=0,"机号应大于0",""))),IF(S97="","缺少进口滞止密度",""),IF(S97="","",IF(NOT(ISNUMBER(S97)),"进口滞止密度应为数值",IF(S97&lt;=0,"进口滞止密度应大于0",""))),IF(T97="","缺少等熵指数k",""),IF(T97="","",IF(NOT(ISNUMBER(T97)),"等熵指数k应为数值",IF(OR(T97&lt;1,T97&gt;2),"等熵指数k应为1～2",""))),IF(U97="","缺少最高通风机效率ηr",""),IF(U97="","",IF(NOT(ISNUMBER(U97)),"最高通风机效率ηr应为数值",IF(OR(U97&lt;1,U97&gt;100),"最高通风机效率ηr应为1～100的百分数本值",""))),IF(AD97="","缺少铭牌照片",""),IF(AND(ISTEXT(AE97),OR(AE97&lt;&gt;TRIM(AE97),ISNUMBER(SEARCH("　",AE97)))),"填表备注含首尾空格或全角空格",""),IF(AND(H97="",F97&lt;&gt;""),"离心通风机缺少单双吸",""),IF(AND(ISNUMBER(L97),L97&gt;30000),"风机压力超过30kPa，超出通风机标准范围",""),IF(AND(F97="外转子电机直联前向多翼离心风机",G97&lt;&gt;"",G97&lt;&gt;"外转子电机直联"),"外转子前向多翼离心风机应选择外转子电机直联","")),"")</f>
        <v/>
      </c>
    </row>
    <row r="98" ht="42" customHeight="1" s="184">
      <c r="A98" s="224">
        <f>IF(COUNTA(B98,C98,D98,E98,F98,G98,H98,I98,J98,K98,L98,M98,N98,O98,P98,Q98,R98,S98,T98,U98,AD98,AE98)&gt;0,ROW()-3,"")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29" t="n"/>
      <c r="L98" s="229" t="n"/>
      <c r="M98" s="229" t="n"/>
      <c r="N98" s="229" t="n"/>
      <c r="O98" s="229" t="n"/>
      <c r="P98" s="229" t="n"/>
      <c r="Q98" s="229" t="n"/>
      <c r="R98" s="229" t="n"/>
      <c r="S98" s="229" t="n"/>
      <c r="T98" s="235" t="n"/>
      <c r="U98" s="229" t="n"/>
      <c r="V98" s="113" t="n"/>
      <c r="W98" s="236" t="n"/>
      <c r="X98" s="113" t="n"/>
      <c r="Y98" s="113" t="n"/>
      <c r="Z98" s="227" t="n"/>
      <c r="AA98" s="227" t="n"/>
      <c r="AB98" s="227" t="n"/>
      <c r="AC98" s="81" t="n"/>
      <c r="AD98" s="180" t="n"/>
      <c r="AE98" s="180" t="n"/>
      <c r="AF98" s="99">
        <f>IF(COUNTA(B98,C98,D98,E98,F98,G98,H98,I98,J98,K98,L98,M98,N98,O98,P98,Q98,R98,S98,T98,U98,AD98,AE98)&gt;0,TEXTJOIN("；",TRUE,IF(B98="","缺少设备名称",""),IF(AND(ISTEXT(B98),OR(B98&lt;&gt;TRIM(B98),ISNUMBER(SEARCH("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",E98)))),"安装位置含首尾空格或全角空格",""),IF(F98="","缺少设备类别",""),IF(F98="","",IF(COUNTIF(EV_CENTRIFUGAL_FAN_CATEGORY,F98)=0,"设备类别不在标准枚举中","")),IF(AND(ISTEXT(F98),OR(F98&lt;&gt;TRIM(F98),ISNUMBER(SEARCH("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",G98)))),"传动方式含首尾空格或全角空格",""),IF(H98="","",IF(COUNTIF(EV_SUCTION,H98)=0,"单双吸不在标准枚举中","")),IF(AND(ISTEXT(H98),OR(H98&lt;&gt;TRIM(H98),ISNUMBER(SEARCH("　",H98)))),"单双吸含首尾空格或全角空格",""),IF(I98="","缺少是否暖通空调用",""),IF(I98="","",IF(COUNTIF(EV_YES_NO,I98)=0,"是否暖通空调用不在标准枚举中","")),IF(AND(ISTEXT(I98),OR(I98&lt;&gt;TRIM(I98),ISNUMBER(SEARCH("　",I98)))),"是否暖通空调用含首尾空格或全角空格",""),IF(J98="","缺少是否带进气箱",""),IF(J98="","",IF(COUNTIF(EV_YES_NO,J98)=0,"是否带进气箱不在标准枚举中","")),IF(AND(ISTEXT(J98),OR(J98&lt;&gt;TRIM(J98),ISNUMBER(SEARCH("　",J98)))),"是否带进气箱含首尾空格或全角空格",""),IF(K98="","缺少流量",""),IF(K98="","",IF(NOT(ISNUMBER(K98)),"流量应为数值",IF(K98&lt;=0,"流量应大于0",""))),IF(L98="","缺少风机压力pF",""),IF(L98="","",IF(NOT(ISNUMBER(L98)),"风机压力pF应为数值",IF(L98&lt;=0,"风机压力pF应大于0",""))),IF(M98="","缺少出口滞止压力",""),IF(M98="","",IF(NOT(ISNUMBER(M98)),"出口滞止压力应为数值",IF(M98&lt;=0,"出口滞止压力应大于0",""))),IF(N98="","缺少进口滞止压力",""),IF(N98="","",IF(NOT(ISNUMBER(N98)),"进口滞止压力应为数值",IF(N98&lt;=0,"进口滞止压力应大于0",""))),IF(O98="","缺少额定功率",""),IF(O98="","",IF(NOT(ISNUMBER(O98)),"额定功率应为数值",IF(O98&lt;=0,"额定功率应大于0",""))),IF(P98="","缺少叶轮功率",""),IF(P98="","",IF(NOT(ISNUMBER(P98)),"叶轮功率应为数值",IF(P98&lt;=0,"叶轮功率应大于0",""))),IF(Q98="","缺少转速",""),IF(Q98="","",IF(NOT(ISNUMBER(Q98)),"转速应为数值",IF(Q98&lt;=0,"转速应大于0",""))),IF(R98="","缺少机号",""),IF(R98="","",IF(NOT(ISNUMBER(R98)),"机号应为数值",IF(R98&lt;=0,"机号应大于0",""))),IF(S98="","缺少进口滞止密度",""),IF(S98="","",IF(NOT(ISNUMBER(S98)),"进口滞止密度应为数值",IF(S98&lt;=0,"进口滞止密度应大于0",""))),IF(T98="","缺少等熵指数k",""),IF(T98="","",IF(NOT(ISNUMBER(T98)),"等熵指数k应为数值",IF(OR(T98&lt;1,T98&gt;2),"等熵指数k应为1～2",""))),IF(U98="","缺少最高通风机效率ηr",""),IF(U98="","",IF(NOT(ISNUMBER(U98)),"最高通风机效率ηr应为数值",IF(OR(U98&lt;1,U98&gt;100),"最高通风机效率ηr应为1～100的百分数本值",""))),IF(AD98="","缺少铭牌照片",""),IF(AND(ISTEXT(AE98),OR(AE98&lt;&gt;TRIM(AE98),ISNUMBER(SEARCH("　",AE98)))),"填表备注含首尾空格或全角空格",""),IF(AND(H98="",F98&lt;&gt;""),"离心通风机缺少单双吸",""),IF(AND(ISNUMBER(L98),L98&gt;30000),"风机压力超过30kPa，超出通风机标准范围",""),IF(AND(F98="外转子电机直联前向多翼离心风机",G98&lt;&gt;"",G98&lt;&gt;"外转子电机直联"),"外转子前向多翼离心风机应选择外转子电机直联","")),"")</f>
        <v/>
      </c>
    </row>
    <row r="99" ht="42" customHeight="1" s="184">
      <c r="A99" s="224">
        <f>IF(COUNTA(B99,C99,D99,E99,F99,G99,H99,I99,J99,K99,L99,M99,N99,O99,P99,Q99,R99,S99,T99,U99,AD99,AE99)&gt;0,ROW()-3,"")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29" t="n"/>
      <c r="L99" s="229" t="n"/>
      <c r="M99" s="229" t="n"/>
      <c r="N99" s="229" t="n"/>
      <c r="O99" s="229" t="n"/>
      <c r="P99" s="229" t="n"/>
      <c r="Q99" s="229" t="n"/>
      <c r="R99" s="229" t="n"/>
      <c r="S99" s="229" t="n"/>
      <c r="T99" s="235" t="n"/>
      <c r="U99" s="229" t="n"/>
      <c r="V99" s="113" t="n"/>
      <c r="W99" s="236" t="n"/>
      <c r="X99" s="113" t="n"/>
      <c r="Y99" s="113" t="n"/>
      <c r="Z99" s="227" t="n"/>
      <c r="AA99" s="227" t="n"/>
      <c r="AB99" s="227" t="n"/>
      <c r="AC99" s="81" t="n"/>
      <c r="AD99" s="180" t="n"/>
      <c r="AE99" s="180" t="n"/>
      <c r="AF99" s="99">
        <f>IF(COUNTA(B99,C99,D99,E99,F99,G99,H99,I99,J99,K99,L99,M99,N99,O99,P99,Q99,R99,S99,T99,U99,AD99,AE99)&gt;0,TEXTJOIN("；",TRUE,IF(B99="","缺少设备名称",""),IF(AND(ISTEXT(B99),OR(B99&lt;&gt;TRIM(B99),ISNUMBER(SEARCH("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",E99)))),"安装位置含首尾空格或全角空格",""),IF(F99="","缺少设备类别",""),IF(F99="","",IF(COUNTIF(EV_CENTRIFUGAL_FAN_CATEGORY,F99)=0,"设备类别不在标准枚举中","")),IF(AND(ISTEXT(F99),OR(F99&lt;&gt;TRIM(F99),ISNUMBER(SEARCH("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",G99)))),"传动方式含首尾空格或全角空格",""),IF(H99="","",IF(COUNTIF(EV_SUCTION,H99)=0,"单双吸不在标准枚举中","")),IF(AND(ISTEXT(H99),OR(H99&lt;&gt;TRIM(H99),ISNUMBER(SEARCH("　",H99)))),"单双吸含首尾空格或全角空格",""),IF(I99="","缺少是否暖通空调用",""),IF(I99="","",IF(COUNTIF(EV_YES_NO,I99)=0,"是否暖通空调用不在标准枚举中","")),IF(AND(ISTEXT(I99),OR(I99&lt;&gt;TRIM(I99),ISNUMBER(SEARCH("　",I99)))),"是否暖通空调用含首尾空格或全角空格",""),IF(J99="","缺少是否带进气箱",""),IF(J99="","",IF(COUNTIF(EV_YES_NO,J99)=0,"是否带进气箱不在标准枚举中","")),IF(AND(ISTEXT(J99),OR(J99&lt;&gt;TRIM(J99),ISNUMBER(SEARCH("　",J99)))),"是否带进气箱含首尾空格或全角空格",""),IF(K99="","缺少流量",""),IF(K99="","",IF(NOT(ISNUMBER(K99)),"流量应为数值",IF(K99&lt;=0,"流量应大于0",""))),IF(L99="","缺少风机压力pF",""),IF(L99="","",IF(NOT(ISNUMBER(L99)),"风机压力pF应为数值",IF(L99&lt;=0,"风机压力pF应大于0",""))),IF(M99="","缺少出口滞止压力",""),IF(M99="","",IF(NOT(ISNUMBER(M99)),"出口滞止压力应为数值",IF(M99&lt;=0,"出口滞止压力应大于0",""))),IF(N99="","缺少进口滞止压力",""),IF(N99="","",IF(NOT(ISNUMBER(N99)),"进口滞止压力应为数值",IF(N99&lt;=0,"进口滞止压力应大于0",""))),IF(O99="","缺少额定功率",""),IF(O99="","",IF(NOT(ISNUMBER(O99)),"额定功率应为数值",IF(O99&lt;=0,"额定功率应大于0",""))),IF(P99="","缺少叶轮功率",""),IF(P99="","",IF(NOT(ISNUMBER(P99)),"叶轮功率应为数值",IF(P99&lt;=0,"叶轮功率应大于0",""))),IF(Q99="","缺少转速",""),IF(Q99="","",IF(NOT(ISNUMBER(Q99)),"转速应为数值",IF(Q99&lt;=0,"转速应大于0",""))),IF(R99="","缺少机号",""),IF(R99="","",IF(NOT(ISNUMBER(R99)),"机号应为数值",IF(R99&lt;=0,"机号应大于0",""))),IF(S99="","缺少进口滞止密度",""),IF(S99="","",IF(NOT(ISNUMBER(S99)),"进口滞止密度应为数值",IF(S99&lt;=0,"进口滞止密度应大于0",""))),IF(T99="","缺少等熵指数k",""),IF(T99="","",IF(NOT(ISNUMBER(T99)),"等熵指数k应为数值",IF(OR(T99&lt;1,T99&gt;2),"等熵指数k应为1～2",""))),IF(U99="","缺少最高通风机效率ηr",""),IF(U99="","",IF(NOT(ISNUMBER(U99)),"最高通风机效率ηr应为数值",IF(OR(U99&lt;1,U99&gt;100),"最高通风机效率ηr应为1～100的百分数本值",""))),IF(AD99="","缺少铭牌照片",""),IF(AND(ISTEXT(AE99),OR(AE99&lt;&gt;TRIM(AE99),ISNUMBER(SEARCH("　",AE99)))),"填表备注含首尾空格或全角空格",""),IF(AND(H99="",F99&lt;&gt;""),"离心通风机缺少单双吸",""),IF(AND(ISNUMBER(L99),L99&gt;30000),"风机压力超过30kPa，超出通风机标准范围",""),IF(AND(F99="外转子电机直联前向多翼离心风机",G99&lt;&gt;"",G99&lt;&gt;"外转子电机直联"),"外转子前向多翼离心风机应选择外转子电机直联","")),"")</f>
        <v/>
      </c>
    </row>
    <row r="100" ht="42" customHeight="1" s="184">
      <c r="A100" s="224">
        <f>IF(COUNTA(B100,C100,D100,E100,F100,G100,H100,I100,J100,K100,L100,M100,N100,O100,P100,Q100,R100,S100,T100,U100,AD100,AE100)&gt;0,ROW()-3,"")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29" t="n"/>
      <c r="L100" s="229" t="n"/>
      <c r="M100" s="229" t="n"/>
      <c r="N100" s="229" t="n"/>
      <c r="O100" s="229" t="n"/>
      <c r="P100" s="229" t="n"/>
      <c r="Q100" s="229" t="n"/>
      <c r="R100" s="229" t="n"/>
      <c r="S100" s="229" t="n"/>
      <c r="T100" s="235" t="n"/>
      <c r="U100" s="229" t="n"/>
      <c r="V100" s="113" t="n"/>
      <c r="W100" s="236" t="n"/>
      <c r="X100" s="113" t="n"/>
      <c r="Y100" s="113" t="n"/>
      <c r="Z100" s="227" t="n"/>
      <c r="AA100" s="227" t="n"/>
      <c r="AB100" s="227" t="n"/>
      <c r="AC100" s="81" t="n"/>
      <c r="AD100" s="180" t="n"/>
      <c r="AE100" s="180" t="n"/>
      <c r="AF100" s="99">
        <f>IF(COUNTA(B100,C100,D100,E100,F100,G100,H100,I100,J100,K100,L100,M100,N100,O100,P100,Q100,R100,S100,T100,U100,AD100,AE100)&gt;0,TEXTJOIN("；",TRUE,IF(B100="","缺少设备名称",""),IF(AND(ISTEXT(B100),OR(B100&lt;&gt;TRIM(B100),ISNUMBER(SEARCH("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",E100)))),"安装位置含首尾空格或全角空格",""),IF(F100="","缺少设备类别",""),IF(F100="","",IF(COUNTIF(EV_CENTRIFUGAL_FAN_CATEGORY,F100)=0,"设备类别不在标准枚举中","")),IF(AND(ISTEXT(F100),OR(F100&lt;&gt;TRIM(F100),ISNUMBER(SEARCH("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",G100)))),"传动方式含首尾空格或全角空格",""),IF(H100="","",IF(COUNTIF(EV_SUCTION,H100)=0,"单双吸不在标准枚举中","")),IF(AND(ISTEXT(H100),OR(H100&lt;&gt;TRIM(H100),ISNUMBER(SEARCH("　",H100)))),"单双吸含首尾空格或全角空格",""),IF(I100="","缺少是否暖通空调用",""),IF(I100="","",IF(COUNTIF(EV_YES_NO,I100)=0,"是否暖通空调用不在标准枚举中","")),IF(AND(ISTEXT(I100),OR(I100&lt;&gt;TRIM(I100),ISNUMBER(SEARCH("　",I100)))),"是否暖通空调用含首尾空格或全角空格",""),IF(J100="","缺少是否带进气箱",""),IF(J100="","",IF(COUNTIF(EV_YES_NO,J100)=0,"是否带进气箱不在标准枚举中","")),IF(AND(ISTEXT(J100),OR(J100&lt;&gt;TRIM(J100),ISNUMBER(SEARCH("　",J100)))),"是否带进气箱含首尾空格或全角空格",""),IF(K100="","缺少流量",""),IF(K100="","",IF(NOT(ISNUMBER(K100)),"流量应为数值",IF(K100&lt;=0,"流量应大于0",""))),IF(L100="","缺少风机压力pF",""),IF(L100="","",IF(NOT(ISNUMBER(L100)),"风机压力pF应为数值",IF(L100&lt;=0,"风机压力pF应大于0",""))),IF(M100="","缺少出口滞止压力",""),IF(M100="","",IF(NOT(ISNUMBER(M100)),"出口滞止压力应为数值",IF(M100&lt;=0,"出口滞止压力应大于0",""))),IF(N100="","缺少进口滞止压力",""),IF(N100="","",IF(NOT(ISNUMBER(N100)),"进口滞止压力应为数值",IF(N100&lt;=0,"进口滞止压力应大于0",""))),IF(O100="","缺少额定功率",""),IF(O100="","",IF(NOT(ISNUMBER(O100)),"额定功率应为数值",IF(O100&lt;=0,"额定功率应大于0",""))),IF(P100="","缺少叶轮功率",""),IF(P100="","",IF(NOT(ISNUMBER(P100)),"叶轮功率应为数值",IF(P100&lt;=0,"叶轮功率应大于0",""))),IF(Q100="","缺少转速",""),IF(Q100="","",IF(NOT(ISNUMBER(Q100)),"转速应为数值",IF(Q100&lt;=0,"转速应大于0",""))),IF(R100="","缺少机号",""),IF(R100="","",IF(NOT(ISNUMBER(R100)),"机号应为数值",IF(R100&lt;=0,"机号应大于0",""))),IF(S100="","缺少进口滞止密度",""),IF(S100="","",IF(NOT(ISNUMBER(S100)),"进口滞止密度应为数值",IF(S100&lt;=0,"进口滞止密度应大于0",""))),IF(T100="","缺少等熵指数k",""),IF(T100="","",IF(NOT(ISNUMBER(T100)),"等熵指数k应为数值",IF(OR(T100&lt;1,T100&gt;2),"等熵指数k应为1～2",""))),IF(U100="","缺少最高通风机效率ηr",""),IF(U100="","",IF(NOT(ISNUMBER(U100)),"最高通风机效率ηr应为数值",IF(OR(U100&lt;1,U100&gt;100),"最高通风机效率ηr应为1～100的百分数本值",""))),IF(AD100="","缺少铭牌照片",""),IF(AND(ISTEXT(AE100),OR(AE100&lt;&gt;TRIM(AE100),ISNUMBER(SEARCH("　",AE100)))),"填表备注含首尾空格或全角空格",""),IF(AND(H100="",F100&lt;&gt;""),"离心通风机缺少单双吸",""),IF(AND(ISNUMBER(L100),L100&gt;30000),"风机压力超过30kPa，超出通风机标准范围",""),IF(AND(F100="外转子电机直联前向多翼离心风机",G100&lt;&gt;"",G100&lt;&gt;"外转子电机直联"),"外转子前向多翼离心风机应选择外转子电机直联","")),"")</f>
        <v/>
      </c>
    </row>
    <row r="101" ht="42" customHeight="1" s="184">
      <c r="A101" s="224">
        <f>IF(COUNTA(B101,C101,D101,E101,F101,G101,H101,I101,J101,K101,L101,M101,N101,O101,P101,Q101,R101,S101,T101,U101,AD101,AE101)&gt;0,ROW()-3,"")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29" t="n"/>
      <c r="L101" s="229" t="n"/>
      <c r="M101" s="229" t="n"/>
      <c r="N101" s="229" t="n"/>
      <c r="O101" s="229" t="n"/>
      <c r="P101" s="229" t="n"/>
      <c r="Q101" s="229" t="n"/>
      <c r="R101" s="229" t="n"/>
      <c r="S101" s="229" t="n"/>
      <c r="T101" s="235" t="n"/>
      <c r="U101" s="229" t="n"/>
      <c r="V101" s="113" t="n"/>
      <c r="W101" s="236" t="n"/>
      <c r="X101" s="113" t="n"/>
      <c r="Y101" s="113" t="n"/>
      <c r="Z101" s="227" t="n"/>
      <c r="AA101" s="227" t="n"/>
      <c r="AB101" s="227" t="n"/>
      <c r="AC101" s="81" t="n"/>
      <c r="AD101" s="180" t="n"/>
      <c r="AE101" s="180" t="n"/>
      <c r="AF101" s="99">
        <f>IF(COUNTA(B101,C101,D101,E101,F101,G101,H101,I101,J101,K101,L101,M101,N101,O101,P101,Q101,R101,S101,T101,U101,AD101,AE101)&gt;0,TEXTJOIN("；",TRUE,IF(B101="","缺少设备名称",""),IF(AND(ISTEXT(B101),OR(B101&lt;&gt;TRIM(B101),ISNUMBER(SEARCH("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",E101)))),"安装位置含首尾空格或全角空格",""),IF(F101="","缺少设备类别",""),IF(F101="","",IF(COUNTIF(EV_CENTRIFUGAL_FAN_CATEGORY,F101)=0,"设备类别不在标准枚举中","")),IF(AND(ISTEXT(F101),OR(F101&lt;&gt;TRIM(F101),ISNUMBER(SEARCH("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",G101)))),"传动方式含首尾空格或全角空格",""),IF(H101="","",IF(COUNTIF(EV_SUCTION,H101)=0,"单双吸不在标准枚举中","")),IF(AND(ISTEXT(H101),OR(H101&lt;&gt;TRIM(H101),ISNUMBER(SEARCH("　",H101)))),"单双吸含首尾空格或全角空格",""),IF(I101="","缺少是否暖通空调用",""),IF(I101="","",IF(COUNTIF(EV_YES_NO,I101)=0,"是否暖通空调用不在标准枚举中","")),IF(AND(ISTEXT(I101),OR(I101&lt;&gt;TRIM(I101),ISNUMBER(SEARCH("　",I101)))),"是否暖通空调用含首尾空格或全角空格",""),IF(J101="","缺少是否带进气箱",""),IF(J101="","",IF(COUNTIF(EV_YES_NO,J101)=0,"是否带进气箱不在标准枚举中","")),IF(AND(ISTEXT(J101),OR(J101&lt;&gt;TRIM(J101),ISNUMBER(SEARCH("　",J101)))),"是否带进气箱含首尾空格或全角空格",""),IF(K101="","缺少流量",""),IF(K101="","",IF(NOT(ISNUMBER(K101)),"流量应为数值",IF(K101&lt;=0,"流量应大于0",""))),IF(L101="","缺少风机压力pF",""),IF(L101="","",IF(NOT(ISNUMBER(L101)),"风机压力pF应为数值",IF(L101&lt;=0,"风机压力pF应大于0",""))),IF(M101="","缺少出口滞止压力",""),IF(M101="","",IF(NOT(ISNUMBER(M101)),"出口滞止压力应为数值",IF(M101&lt;=0,"出口滞止压力应大于0",""))),IF(N101="","缺少进口滞止压力",""),IF(N101="","",IF(NOT(ISNUMBER(N101)),"进口滞止压力应为数值",IF(N101&lt;=0,"进口滞止压力应大于0",""))),IF(O101="","缺少额定功率",""),IF(O101="","",IF(NOT(ISNUMBER(O101)),"额定功率应为数值",IF(O101&lt;=0,"额定功率应大于0",""))),IF(P101="","缺少叶轮功率",""),IF(P101="","",IF(NOT(ISNUMBER(P101)),"叶轮功率应为数值",IF(P101&lt;=0,"叶轮功率应大于0",""))),IF(Q101="","缺少转速",""),IF(Q101="","",IF(NOT(ISNUMBER(Q101)),"转速应为数值",IF(Q101&lt;=0,"转速应大于0",""))),IF(R101="","缺少机号",""),IF(R101="","",IF(NOT(ISNUMBER(R101)),"机号应为数值",IF(R101&lt;=0,"机号应大于0",""))),IF(S101="","缺少进口滞止密度",""),IF(S101="","",IF(NOT(ISNUMBER(S101)),"进口滞止密度应为数值",IF(S101&lt;=0,"进口滞止密度应大于0",""))),IF(T101="","缺少等熵指数k",""),IF(T101="","",IF(NOT(ISNUMBER(T101)),"等熵指数k应为数值",IF(OR(T101&lt;1,T101&gt;2),"等熵指数k应为1～2",""))),IF(U101="","缺少最高通风机效率ηr",""),IF(U101="","",IF(NOT(ISNUMBER(U101)),"最高通风机效率ηr应为数值",IF(OR(U101&lt;1,U101&gt;100),"最高通风机效率ηr应为1～100的百分数本值",""))),IF(AD101="","缺少铭牌照片",""),IF(AND(ISTEXT(AE101),OR(AE101&lt;&gt;TRIM(AE101),ISNUMBER(SEARCH("　",AE101)))),"填表备注含首尾空格或全角空格",""),IF(AND(H101="",F101&lt;&gt;""),"离心通风机缺少单双吸",""),IF(AND(ISNUMBER(L101),L101&gt;30000),"风机压力超过30kPa，超出通风机标准范围",""),IF(AND(F101="外转子电机直联前向多翼离心风机",G101&lt;&gt;"",G101&lt;&gt;"外转子电机直联"),"外转子前向多翼离心风机应选择外转子电机直联","")),"")</f>
        <v/>
      </c>
    </row>
    <row r="102" ht="42" customHeight="1" s="184">
      <c r="A102" s="224">
        <f>IF(COUNTA(B102,C102,D102,E102,F102,G102,H102,I102,J102,K102,L102,M102,N102,O102,P102,Q102,R102,S102,T102,U102,AD102,AE102)&gt;0,ROW()-3,"")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29" t="n"/>
      <c r="L102" s="229" t="n"/>
      <c r="M102" s="229" t="n"/>
      <c r="N102" s="229" t="n"/>
      <c r="O102" s="229" t="n"/>
      <c r="P102" s="229" t="n"/>
      <c r="Q102" s="229" t="n"/>
      <c r="R102" s="229" t="n"/>
      <c r="S102" s="229" t="n"/>
      <c r="T102" s="235" t="n"/>
      <c r="U102" s="229" t="n"/>
      <c r="V102" s="113" t="n"/>
      <c r="W102" s="236" t="n"/>
      <c r="X102" s="113" t="n"/>
      <c r="Y102" s="113" t="n"/>
      <c r="Z102" s="227" t="n"/>
      <c r="AA102" s="227" t="n"/>
      <c r="AB102" s="227" t="n"/>
      <c r="AC102" s="81" t="n"/>
      <c r="AD102" s="180" t="n"/>
      <c r="AE102" s="180" t="n"/>
      <c r="AF102" s="99">
        <f>IF(COUNTA(B102,C102,D102,E102,F102,G102,H102,I102,J102,K102,L102,M102,N102,O102,P102,Q102,R102,S102,T102,U102,AD102,AE102)&gt;0,TEXTJOIN("；",TRUE,IF(B102="","缺少设备名称",""),IF(AND(ISTEXT(B102),OR(B102&lt;&gt;TRIM(B102),ISNUMBER(SEARCH("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",E102)))),"安装位置含首尾空格或全角空格",""),IF(F102="","缺少设备类别",""),IF(F102="","",IF(COUNTIF(EV_CENTRIFUGAL_FAN_CATEGORY,F102)=0,"设备类别不在标准枚举中","")),IF(AND(ISTEXT(F102),OR(F102&lt;&gt;TRIM(F102),ISNUMBER(SEARCH("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",G102)))),"传动方式含首尾空格或全角空格",""),IF(H102="","",IF(COUNTIF(EV_SUCTION,H102)=0,"单双吸不在标准枚举中","")),IF(AND(ISTEXT(H102),OR(H102&lt;&gt;TRIM(H102),ISNUMBER(SEARCH("　",H102)))),"单双吸含首尾空格或全角空格",""),IF(I102="","缺少是否暖通空调用",""),IF(I102="","",IF(COUNTIF(EV_YES_NO,I102)=0,"是否暖通空调用不在标准枚举中","")),IF(AND(ISTEXT(I102),OR(I102&lt;&gt;TRIM(I102),ISNUMBER(SEARCH("　",I102)))),"是否暖通空调用含首尾空格或全角空格",""),IF(J102="","缺少是否带进气箱",""),IF(J102="","",IF(COUNTIF(EV_YES_NO,J102)=0,"是否带进气箱不在标准枚举中","")),IF(AND(ISTEXT(J102),OR(J102&lt;&gt;TRIM(J102),ISNUMBER(SEARCH("　",J102)))),"是否带进气箱含首尾空格或全角空格",""),IF(K102="","缺少流量",""),IF(K102="","",IF(NOT(ISNUMBER(K102)),"流量应为数值",IF(K102&lt;=0,"流量应大于0",""))),IF(L102="","缺少风机压力pF",""),IF(L102="","",IF(NOT(ISNUMBER(L102)),"风机压力pF应为数值",IF(L102&lt;=0,"风机压力pF应大于0",""))),IF(M102="","缺少出口滞止压力",""),IF(M102="","",IF(NOT(ISNUMBER(M102)),"出口滞止压力应为数值",IF(M102&lt;=0,"出口滞止压力应大于0",""))),IF(N102="","缺少进口滞止压力",""),IF(N102="","",IF(NOT(ISNUMBER(N102)),"进口滞止压力应为数值",IF(N102&lt;=0,"进口滞止压力应大于0",""))),IF(O102="","缺少额定功率",""),IF(O102="","",IF(NOT(ISNUMBER(O102)),"额定功率应为数值",IF(O102&lt;=0,"额定功率应大于0",""))),IF(P102="","缺少叶轮功率",""),IF(P102="","",IF(NOT(ISNUMBER(P102)),"叶轮功率应为数值",IF(P102&lt;=0,"叶轮功率应大于0",""))),IF(Q102="","缺少转速",""),IF(Q102="","",IF(NOT(ISNUMBER(Q102)),"转速应为数值",IF(Q102&lt;=0,"转速应大于0",""))),IF(R102="","缺少机号",""),IF(R102="","",IF(NOT(ISNUMBER(R102)),"机号应为数值",IF(R102&lt;=0,"机号应大于0",""))),IF(S102="","缺少进口滞止密度",""),IF(S102="","",IF(NOT(ISNUMBER(S102)),"进口滞止密度应为数值",IF(S102&lt;=0,"进口滞止密度应大于0",""))),IF(T102="","缺少等熵指数k",""),IF(T102="","",IF(NOT(ISNUMBER(T102)),"等熵指数k应为数值",IF(OR(T102&lt;1,T102&gt;2),"等熵指数k应为1～2",""))),IF(U102="","缺少最高通风机效率ηr",""),IF(U102="","",IF(NOT(ISNUMBER(U102)),"最高通风机效率ηr应为数值",IF(OR(U102&lt;1,U102&gt;100),"最高通风机效率ηr应为1～100的百分数本值",""))),IF(AD102="","缺少铭牌照片",""),IF(AND(ISTEXT(AE102),OR(AE102&lt;&gt;TRIM(AE102),ISNUMBER(SEARCH("　",AE102)))),"填表备注含首尾空格或全角空格",""),IF(AND(H102="",F102&lt;&gt;""),"离心通风机缺少单双吸",""),IF(AND(ISNUMBER(L102),L102&gt;30000),"风机压力超过30kPa，超出通风机标准范围",""),IF(AND(F102="外转子电机直联前向多翼离心风机",G102&lt;&gt;"",G102&lt;&gt;"外转子电机直联"),"外转子前向多翼离心风机应选择外转子电机直联","")),"")</f>
        <v/>
      </c>
    </row>
    <row r="103" ht="42" customHeight="1" s="184">
      <c r="A103" s="224">
        <f>IF(COUNTA(B103,C103,D103,E103,F103,G103,H103,I103,J103,K103,L103,M103,N103,O103,P103,Q103,R103,S103,T103,U103,AD103,AE103)&gt;0,ROW()-3,"")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29" t="n"/>
      <c r="L103" s="229" t="n"/>
      <c r="M103" s="229" t="n"/>
      <c r="N103" s="229" t="n"/>
      <c r="O103" s="229" t="n"/>
      <c r="P103" s="229" t="n"/>
      <c r="Q103" s="229" t="n"/>
      <c r="R103" s="229" t="n"/>
      <c r="S103" s="229" t="n"/>
      <c r="T103" s="235" t="n"/>
      <c r="U103" s="229" t="n"/>
      <c r="V103" s="113" t="n"/>
      <c r="W103" s="236" t="n"/>
      <c r="X103" s="113" t="n"/>
      <c r="Y103" s="113" t="n"/>
      <c r="Z103" s="227" t="n"/>
      <c r="AA103" s="227" t="n"/>
      <c r="AB103" s="227" t="n"/>
      <c r="AC103" s="81" t="n"/>
      <c r="AD103" s="180" t="n"/>
      <c r="AE103" s="180" t="n"/>
      <c r="AF103" s="99">
        <f>IF(COUNTA(B103,C103,D103,E103,F103,G103,H103,I103,J103,K103,L103,M103,N103,O103,P103,Q103,R103,S103,T103,U103,AD103,AE103)&gt;0,TEXTJOIN("；",TRUE,IF(B103="","缺少设备名称",""),IF(AND(ISTEXT(B103),OR(B103&lt;&gt;TRIM(B103),ISNUMBER(SEARCH("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",E103)))),"安装位置含首尾空格或全角空格",""),IF(F103="","缺少设备类别",""),IF(F103="","",IF(COUNTIF(EV_CENTRIFUGAL_FAN_CATEGORY,F103)=0,"设备类别不在标准枚举中","")),IF(AND(ISTEXT(F103),OR(F103&lt;&gt;TRIM(F103),ISNUMBER(SEARCH("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",G103)))),"传动方式含首尾空格或全角空格",""),IF(H103="","",IF(COUNTIF(EV_SUCTION,H103)=0,"单双吸不在标准枚举中","")),IF(AND(ISTEXT(H103),OR(H103&lt;&gt;TRIM(H103),ISNUMBER(SEARCH("　",H103)))),"单双吸含首尾空格或全角空格",""),IF(I103="","缺少是否暖通空调用",""),IF(I103="","",IF(COUNTIF(EV_YES_NO,I103)=0,"是否暖通空调用不在标准枚举中","")),IF(AND(ISTEXT(I103),OR(I103&lt;&gt;TRIM(I103),ISNUMBER(SEARCH("　",I103)))),"是否暖通空调用含首尾空格或全角空格",""),IF(J103="","缺少是否带进气箱",""),IF(J103="","",IF(COUNTIF(EV_YES_NO,J103)=0,"是否带进气箱不在标准枚举中","")),IF(AND(ISTEXT(J103),OR(J103&lt;&gt;TRIM(J103),ISNUMBER(SEARCH("　",J103)))),"是否带进气箱含首尾空格或全角空格",""),IF(K103="","缺少流量",""),IF(K103="","",IF(NOT(ISNUMBER(K103)),"流量应为数值",IF(K103&lt;=0,"流量应大于0",""))),IF(L103="","缺少风机压力pF",""),IF(L103="","",IF(NOT(ISNUMBER(L103)),"风机压力pF应为数值",IF(L103&lt;=0,"风机压力pF应大于0",""))),IF(M103="","缺少出口滞止压力",""),IF(M103="","",IF(NOT(ISNUMBER(M103)),"出口滞止压力应为数值",IF(M103&lt;=0,"出口滞止压力应大于0",""))),IF(N103="","缺少进口滞止压力",""),IF(N103="","",IF(NOT(ISNUMBER(N103)),"进口滞止压力应为数值",IF(N103&lt;=0,"进口滞止压力应大于0",""))),IF(O103="","缺少额定功率",""),IF(O103="","",IF(NOT(ISNUMBER(O103)),"额定功率应为数值",IF(O103&lt;=0,"额定功率应大于0",""))),IF(P103="","缺少叶轮功率",""),IF(P103="","",IF(NOT(ISNUMBER(P103)),"叶轮功率应为数值",IF(P103&lt;=0,"叶轮功率应大于0",""))),IF(Q103="","缺少转速",""),IF(Q103="","",IF(NOT(ISNUMBER(Q103)),"转速应为数值",IF(Q103&lt;=0,"转速应大于0",""))),IF(R103="","缺少机号",""),IF(R103="","",IF(NOT(ISNUMBER(R103)),"机号应为数值",IF(R103&lt;=0,"机号应大于0",""))),IF(S103="","缺少进口滞止密度",""),IF(S103="","",IF(NOT(ISNUMBER(S103)),"进口滞止密度应为数值",IF(S103&lt;=0,"进口滞止密度应大于0",""))),IF(T103="","缺少等熵指数k",""),IF(T103="","",IF(NOT(ISNUMBER(T103)),"等熵指数k应为数值",IF(OR(T103&lt;1,T103&gt;2),"等熵指数k应为1～2",""))),IF(U103="","缺少最高通风机效率ηr",""),IF(U103="","",IF(NOT(ISNUMBER(U103)),"最高通风机效率ηr应为数值",IF(OR(U103&lt;1,U103&gt;100),"最高通风机效率ηr应为1～100的百分数本值",""))),IF(AD103="","缺少铭牌照片",""),IF(AND(ISTEXT(AE103),OR(AE103&lt;&gt;TRIM(AE103),ISNUMBER(SEARCH("　",AE103)))),"填表备注含首尾空格或全角空格",""),IF(AND(H103="",F103&lt;&gt;""),"离心通风机缺少单双吸",""),IF(AND(ISNUMBER(L103),L103&gt;30000),"风机压力超过30kPa，超出通风机标准范围",""),IF(AND(F103="外转子电机直联前向多翼离心风机",G103&lt;&gt;"",G103&lt;&gt;"外转子电机直联"),"外转子前向多翼离心风机应选择外转子电机直联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AD2:AF2"/>
    <mergeCell ref="A2:E2"/>
    <mergeCell ref="AC1:AD1"/>
    <mergeCell ref="V2:Y2"/>
    <mergeCell ref="A1:AB1"/>
    <mergeCell ref="AE1:AF1"/>
    <mergeCell ref="F2:U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EV_CENTRIFUGAL_FAN_CATEGORY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EV_SUCTION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decimal" errorStyle="stop" operator="greaterThan">
      <formula1>0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greaterThan">
      <formula1>0</formula1>
    </dataValidation>
    <dataValidation sqref="T4:T103" showDropDown="0" showInputMessage="0" showErrorMessage="1" allowBlank="1" type="decimal" errorStyle="stop" operator="between">
      <formula1>1</formula1>
      <formula2>2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6" customWidth="1" style="184" min="10" max="10"/>
    <col width="16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3" customWidth="1" style="184" min="20" max="20"/>
    <col width="13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轴流通风机 - 《通风机能效限定值及能效等级》（GB 19761-2020）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SUM(TblAxialFan[数量])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3" t="n"/>
      <c r="V2" s="102" t="inlineStr">
        <is>
          <t>计算辅助结果</t>
        </is>
      </c>
      <c r="W2" s="222" t="n"/>
      <c r="X2" s="223" t="n"/>
      <c r="Y2" s="57" t="inlineStr">
        <is>
          <t>标准查询结果</t>
        </is>
      </c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传动方式</t>
        </is>
      </c>
      <c r="H3" s="45" t="inlineStr">
        <is>
          <t>是否带进气箱</t>
        </is>
      </c>
      <c r="I3" s="45" t="inlineStr">
        <is>
          <t>是否带扩散筒</t>
        </is>
      </c>
      <c r="J3" s="45" t="inlineStr">
        <is>
          <t>是否动叶可调</t>
        </is>
      </c>
      <c r="K3" s="45" t="inlineStr">
        <is>
          <t>是否可逆转</t>
        </is>
      </c>
      <c r="L3" s="55" t="inlineStr">
        <is>
          <t>流量
(m³/h)</t>
        </is>
      </c>
      <c r="M3" s="55" t="inlineStr">
        <is>
          <t>风机压力pF
(Pa)</t>
        </is>
      </c>
      <c r="N3" s="55" t="inlineStr">
        <is>
          <t>额定功率
(kW)</t>
        </is>
      </c>
      <c r="O3" s="55" t="inlineStr">
        <is>
          <t>叶轮功率
(kW)</t>
        </is>
      </c>
      <c r="P3" s="55" t="inlineStr">
        <is>
          <t>转速
(r/min)</t>
        </is>
      </c>
      <c r="Q3" s="55" t="inlineStr">
        <is>
          <t>机号
(No.)</t>
        </is>
      </c>
      <c r="R3" s="55" t="inlineStr">
        <is>
          <t>进口滞止密度
(kg/m³)</t>
        </is>
      </c>
      <c r="S3" s="55" t="inlineStr">
        <is>
          <t>等熵指数k</t>
        </is>
      </c>
      <c r="T3" s="55" t="inlineStr">
        <is>
          <t>轮毂比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压力系数</t>
        </is>
      </c>
      <c r="X3" s="108" t="inlineStr">
        <is>
          <t>轮毂比标准分档</t>
        </is>
      </c>
      <c r="Y3" s="63" t="inlineStr">
        <is>
          <t>1级效率
(%)</t>
        </is>
      </c>
      <c r="Z3" s="63" t="inlineStr">
        <is>
          <t>2级效率
(%)</t>
        </is>
      </c>
      <c r="AA3" s="63" t="inlineStr">
        <is>
          <t>3级效率
(%)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IF(COUNTA(B4,C4,D4,E4,F4,G4,H4,I4,J4,K4,L4,M4,N4,O4,P4,Q4,R4,S4,T4,U4,AC4,AD4)&gt;0,ROW()-3,"")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18" t="n"/>
      <c r="K4" s="218" t="n"/>
      <c r="L4" s="229" t="n"/>
      <c r="M4" s="229" t="n"/>
      <c r="N4" s="229" t="n"/>
      <c r="O4" s="229" t="n"/>
      <c r="P4" s="229" t="n"/>
      <c r="Q4" s="229" t="n"/>
      <c r="R4" s="229" t="n"/>
      <c r="S4" s="235" t="n"/>
      <c r="T4" s="235" t="n"/>
      <c r="U4" s="229" t="n"/>
      <c r="V4" s="113" t="n"/>
      <c r="W4" s="113" t="n"/>
      <c r="X4" s="113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f>
        <v/>
      </c>
    </row>
    <row r="5" ht="42" customHeight="1" s="184">
      <c r="A5" s="224">
        <f>IF(COUNTA(B5,C5,D5,E5,F5,G5,H5,I5,J5,K5,L5,M5,N5,O5,P5,Q5,R5,S5,T5,U5,AC5,AD5)&gt;0,ROW()-3,"")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18" t="n"/>
      <c r="K5" s="218" t="n"/>
      <c r="L5" s="229" t="n"/>
      <c r="M5" s="229" t="n"/>
      <c r="N5" s="229" t="n"/>
      <c r="O5" s="229" t="n"/>
      <c r="P5" s="229" t="n"/>
      <c r="Q5" s="229" t="n"/>
      <c r="R5" s="229" t="n"/>
      <c r="S5" s="235" t="n"/>
      <c r="T5" s="235" t="n"/>
      <c r="U5" s="229" t="n"/>
      <c r="V5" s="113" t="n"/>
      <c r="W5" s="113" t="n"/>
      <c r="X5" s="113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IF(COUNTA(B5,C5,D5,E5,F5,G5,H5,I5,J5,K5,L5,M5,N5,O5,P5,Q5,R5,S5,T5,U5,AC5,AD5)&gt;0,TEXTJOIN("；",TRUE,IF(B5="","缺少设备名称",""),IF(AND(ISTEXT(B5),OR(B5&lt;&gt;TRIM(B5),ISNUMBER(SEARCH("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",E5)))),"安装位置含首尾空格或全角空格",""),IF(F5="","缺少设备类别",""),IF(F5="","",IF(COUNTIF(EV_AXIAL_FAN_CATEGORY,F5)=0,"设备类别不在标准枚举中","")),IF(AND(ISTEXT(F5),OR(F5&lt;&gt;TRIM(F5),ISNUMBER(SEARCH("　",F5)))),"设备类别含首尾空格或全角空格",""),IF(G5="","缺少传动方式",""),IF(G5="","",IF(COUNTIF(EV_TRANSMISSION,G5)=0,"传动方式不在标准枚举中","")),IF(AND(ISTEXT(G5),OR(G5&lt;&gt;TRIM(G5),ISNUMBER(SEARCH("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",G5)))),"传动方式含首尾空格或全角空格",""),IF(H5="","缺少是否带进气箱",""),IF(H5="","",IF(COUNTIF(EV_YES_NO,H5)=0,"是否带进气箱不在标准枚举中","")),IF(AND(ISTEXT(H5),OR(H5&lt;&gt;TRIM(H5),ISNUMBER(SEARCH("　",H5)))),"是否带进气箱含首尾空格或全角空格",""),IF(I5="","缺少是否带扩散筒",""),IF(I5="","",IF(COUNTIF(EV_YES_NO,I5)=0,"是否带扩散筒不在标准枚举中","")),IF(AND(ISTEXT(I5),OR(I5&lt;&gt;TRIM(I5),ISNUMBER(SEARCH("　",I5)))),"是否带扩散筒含首尾空格或全角空格",""),IF(J5="","缺少是否动叶可调",""),IF(J5="","",IF(COUNTIF(EV_YES_NO,J5)=0,"是否动叶可调不在标准枚举中","")),IF(AND(ISTEXT(J5),OR(J5&lt;&gt;TRIM(J5),ISNUMBER(SEARCH("　",J5)))),"是否动叶可调含首尾空格或全角空格",""),IF(K5="","缺少是否可逆转",""),IF(K5="","",IF(COUNTIF(EV_YES_NO,K5)=0,"是否可逆转不在标准枚举中","")),IF(AND(ISTEXT(K5),OR(K5&lt;&gt;TRIM(K5),ISNUMBER(SEARCH("　",K5)))),"是否可逆转含首尾空格或全角空格",""),IF(L5="","缺少流量",""),IF(L5="","",IF(NOT(ISNUMBER(L5)),"流量应为数值",IF(L5&lt;=0,"流量应大于0",""))),IF(M5="","缺少风机压力pF",""),IF(M5="","",IF(NOT(ISNUMBER(M5)),"风机压力pF应为数值",IF(M5&lt;=0,"风机压力pF应大于0",""))),IF(N5="","缺少额定功率",""),IF(N5="","",IF(NOT(ISNUMBER(N5)),"额定功率应为数值",IF(N5&lt;=0,"额定功率应大于0",""))),IF(O5="","缺少叶轮功率",""),IF(O5="","",IF(NOT(ISNUMBER(O5)),"叶轮功率应为数值",IF(O5&lt;=0,"叶轮功率应大于0",""))),IF(P5="","缺少转速",""),IF(P5="","",IF(NOT(ISNUMBER(P5)),"转速应为数值",IF(P5&lt;=0,"转速应大于0",""))),IF(Q5="","缺少机号",""),IF(Q5="","",IF(NOT(ISNUMBER(Q5)),"机号应为数值",IF(Q5&lt;=0,"机号应大于0",""))),IF(R5="","缺少进口滞止密度",""),IF(R5="","",IF(NOT(ISNUMBER(R5)),"进口滞止密度应为数值",IF(R5&lt;=0,"进口滞止密度应大于0",""))),IF(S5="","缺少等熵指数k",""),IF(S5="","",IF(NOT(ISNUMBER(S5)),"等熵指数k应为数值",IF(OR(S5&lt;1,S5&gt;2),"等熵指数k应为1～2",""))),IF(T5="","缺少轮毂比",""),IF(T5="","",IF(NOT(ISNUMBER(T5)),"轮毂比应为数值",IF(OR(T5&lt;0,T5&gt;1),"轮毂比应为0～1",""))),IF(U5="","缺少最高通风机效率ηr",""),IF(U5="","",IF(NOT(ISNUMBER(U5)),"最高通风机效率ηr应为数值",IF(OR(U5&lt;1,U5&gt;100),"最高通风机效率ηr应为1～100的百分数本值",""))),IF(AC5="","缺少铭牌照片",""),IF(AND(ISTEXT(AD5),OR(AD5&lt;&gt;TRIM(AD5),ISNUMBER(SEARCH("　",AD5)))),"填表备注含首尾空格或全角空格",""),IF(AND(ISNUMBER(M5),M5&gt;30000),"风机压力超过30kPa，超出通风机标准范围",""),IF(AND(J5="是",H5="是"),"动叶可调特殊效率规则要求进口无进气箱",""),IF(AND(J5="是",I5="是"),"动叶可调特殊效率规则要求出口无扩散筒","")),"")</f>
        <v/>
      </c>
    </row>
    <row r="6" ht="42" customHeight="1" s="184">
      <c r="A6" s="224">
        <f>IF(COUNTA(B6,C6,D6,E6,F6,G6,H6,I6,J6,K6,L6,M6,N6,O6,P6,Q6,R6,S6,T6,U6,AC6,AD6)&gt;0,ROW()-3,"")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18" t="n"/>
      <c r="K6" s="218" t="n"/>
      <c r="L6" s="229" t="n"/>
      <c r="M6" s="229" t="n"/>
      <c r="N6" s="229" t="n"/>
      <c r="O6" s="229" t="n"/>
      <c r="P6" s="229" t="n"/>
      <c r="Q6" s="229" t="n"/>
      <c r="R6" s="229" t="n"/>
      <c r="S6" s="235" t="n"/>
      <c r="T6" s="235" t="n"/>
      <c r="U6" s="229" t="n"/>
      <c r="V6" s="113" t="n"/>
      <c r="W6" s="113" t="n"/>
      <c r="X6" s="113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IF(COUNTA(B6,C6,D6,E6,F6,G6,H6,I6,J6,K6,L6,M6,N6,O6,P6,Q6,R6,S6,T6,U6,AC6,AD6)&gt;0,TEXTJOIN("；",TRUE,IF(B6="","缺少设备名称",""),IF(AND(ISTEXT(B6),OR(B6&lt;&gt;TRIM(B6),ISNUMBER(SEARCH("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",E6)))),"安装位置含首尾空格或全角空格",""),IF(F6="","缺少设备类别",""),IF(F6="","",IF(COUNTIF(EV_AXIAL_FAN_CATEGORY,F6)=0,"设备类别不在标准枚举中","")),IF(AND(ISTEXT(F6),OR(F6&lt;&gt;TRIM(F6),ISNUMBER(SEARCH("　",F6)))),"设备类别含首尾空格或全角空格",""),IF(G6="","缺少传动方式",""),IF(G6="","",IF(COUNTIF(EV_TRANSMISSION,G6)=0,"传动方式不在标准枚举中","")),IF(AND(ISTEXT(G6),OR(G6&lt;&gt;TRIM(G6),ISNUMBER(SEARCH("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",G6)))),"传动方式含首尾空格或全角空格",""),IF(H6="","缺少是否带进气箱",""),IF(H6="","",IF(COUNTIF(EV_YES_NO,H6)=0,"是否带进气箱不在标准枚举中","")),IF(AND(ISTEXT(H6),OR(H6&lt;&gt;TRIM(H6),ISNUMBER(SEARCH("　",H6)))),"是否带进气箱含首尾空格或全角空格",""),IF(I6="","缺少是否带扩散筒",""),IF(I6="","",IF(COUNTIF(EV_YES_NO,I6)=0,"是否带扩散筒不在标准枚举中","")),IF(AND(ISTEXT(I6),OR(I6&lt;&gt;TRIM(I6),ISNUMBER(SEARCH("　",I6)))),"是否带扩散筒含首尾空格或全角空格",""),IF(J6="","缺少是否动叶可调",""),IF(J6="","",IF(COUNTIF(EV_YES_NO,J6)=0,"是否动叶可调不在标准枚举中","")),IF(AND(ISTEXT(J6),OR(J6&lt;&gt;TRIM(J6),ISNUMBER(SEARCH("　",J6)))),"是否动叶可调含首尾空格或全角空格",""),IF(K6="","缺少是否可逆转",""),IF(K6="","",IF(COUNTIF(EV_YES_NO,K6)=0,"是否可逆转不在标准枚举中","")),IF(AND(ISTEXT(K6),OR(K6&lt;&gt;TRIM(K6),ISNUMBER(SEARCH("　",K6)))),"是否可逆转含首尾空格或全角空格",""),IF(L6="","缺少流量",""),IF(L6="","",IF(NOT(ISNUMBER(L6)),"流量应为数值",IF(L6&lt;=0,"流量应大于0",""))),IF(M6="","缺少风机压力pF",""),IF(M6="","",IF(NOT(ISNUMBER(M6)),"风机压力pF应为数值",IF(M6&lt;=0,"风机压力pF应大于0",""))),IF(N6="","缺少额定功率",""),IF(N6="","",IF(NOT(ISNUMBER(N6)),"额定功率应为数值",IF(N6&lt;=0,"额定功率应大于0",""))),IF(O6="","缺少叶轮功率",""),IF(O6="","",IF(NOT(ISNUMBER(O6)),"叶轮功率应为数值",IF(O6&lt;=0,"叶轮功率应大于0",""))),IF(P6="","缺少转速",""),IF(P6="","",IF(NOT(ISNUMBER(P6)),"转速应为数值",IF(P6&lt;=0,"转速应大于0",""))),IF(Q6="","缺少机号",""),IF(Q6="","",IF(NOT(ISNUMBER(Q6)),"机号应为数值",IF(Q6&lt;=0,"机号应大于0",""))),IF(R6="","缺少进口滞止密度",""),IF(R6="","",IF(NOT(ISNUMBER(R6)),"进口滞止密度应为数值",IF(R6&lt;=0,"进口滞止密度应大于0",""))),IF(S6="","缺少等熵指数k",""),IF(S6="","",IF(NOT(ISNUMBER(S6)),"等熵指数k应为数值",IF(OR(S6&lt;1,S6&gt;2),"等熵指数k应为1～2",""))),IF(T6="","缺少轮毂比",""),IF(T6="","",IF(NOT(ISNUMBER(T6)),"轮毂比应为数值",IF(OR(T6&lt;0,T6&gt;1),"轮毂比应为0～1",""))),IF(U6="","缺少最高通风机效率ηr",""),IF(U6="","",IF(NOT(ISNUMBER(U6)),"最高通风机效率ηr应为数值",IF(OR(U6&lt;1,U6&gt;100),"最高通风机效率ηr应为1～100的百分数本值",""))),IF(AC6="","缺少铭牌照片",""),IF(AND(ISTEXT(AD6),OR(AD6&lt;&gt;TRIM(AD6),ISNUMBER(SEARCH("　",AD6)))),"填表备注含首尾空格或全角空格",""),IF(AND(ISNUMBER(M6),M6&gt;30000),"风机压力超过30kPa，超出通风机标准范围",""),IF(AND(J6="是",H6="是"),"动叶可调特殊效率规则要求进口无进气箱",""),IF(AND(J6="是",I6="是"),"动叶可调特殊效率规则要求出口无扩散筒","")),"")</f>
        <v/>
      </c>
    </row>
    <row r="7" ht="42" customHeight="1" s="184">
      <c r="A7" s="224">
        <f>IF(COUNTA(B7,C7,D7,E7,F7,G7,H7,I7,J7,K7,L7,M7,N7,O7,P7,Q7,R7,S7,T7,U7,AC7,AD7)&gt;0,ROW()-3,"")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18" t="n"/>
      <c r="K7" s="218" t="n"/>
      <c r="L7" s="229" t="n"/>
      <c r="M7" s="229" t="n"/>
      <c r="N7" s="229" t="n"/>
      <c r="O7" s="229" t="n"/>
      <c r="P7" s="229" t="n"/>
      <c r="Q7" s="229" t="n"/>
      <c r="R7" s="229" t="n"/>
      <c r="S7" s="235" t="n"/>
      <c r="T7" s="235" t="n"/>
      <c r="U7" s="229" t="n"/>
      <c r="V7" s="113" t="n"/>
      <c r="W7" s="113" t="n"/>
      <c r="X7" s="113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IF(COUNTA(B7,C7,D7,E7,F7,G7,H7,I7,J7,K7,L7,M7,N7,O7,P7,Q7,R7,S7,T7,U7,AC7,AD7)&gt;0,TEXTJOIN("；",TRUE,IF(B7="","缺少设备名称",""),IF(AND(ISTEXT(B7),OR(B7&lt;&gt;TRIM(B7),ISNUMBER(SEARCH("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",E7)))),"安装位置含首尾空格或全角空格",""),IF(F7="","缺少设备类别",""),IF(F7="","",IF(COUNTIF(EV_AXIAL_FAN_CATEGORY,F7)=0,"设备类别不在标准枚举中","")),IF(AND(ISTEXT(F7),OR(F7&lt;&gt;TRIM(F7),ISNUMBER(SEARCH("　",F7)))),"设备类别含首尾空格或全角空格",""),IF(G7="","缺少传动方式",""),IF(G7="","",IF(COUNTIF(EV_TRANSMISSION,G7)=0,"传动方式不在标准枚举中","")),IF(AND(ISTEXT(G7),OR(G7&lt;&gt;TRIM(G7),ISNUMBER(SEARCH("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",G7)))),"传动方式含首尾空格或全角空格",""),IF(H7="","缺少是否带进气箱",""),IF(H7="","",IF(COUNTIF(EV_YES_NO,H7)=0,"是否带进气箱不在标准枚举中","")),IF(AND(ISTEXT(H7),OR(H7&lt;&gt;TRIM(H7),ISNUMBER(SEARCH("　",H7)))),"是否带进气箱含首尾空格或全角空格",""),IF(I7="","缺少是否带扩散筒",""),IF(I7="","",IF(COUNTIF(EV_YES_NO,I7)=0,"是否带扩散筒不在标准枚举中","")),IF(AND(ISTEXT(I7),OR(I7&lt;&gt;TRIM(I7),ISNUMBER(SEARCH("　",I7)))),"是否带扩散筒含首尾空格或全角空格",""),IF(J7="","缺少是否动叶可调",""),IF(J7="","",IF(COUNTIF(EV_YES_NO,J7)=0,"是否动叶可调不在标准枚举中","")),IF(AND(ISTEXT(J7),OR(J7&lt;&gt;TRIM(J7),ISNUMBER(SEARCH("　",J7)))),"是否动叶可调含首尾空格或全角空格",""),IF(K7="","缺少是否可逆转",""),IF(K7="","",IF(COUNTIF(EV_YES_NO,K7)=0,"是否可逆转不在标准枚举中","")),IF(AND(ISTEXT(K7),OR(K7&lt;&gt;TRIM(K7),ISNUMBER(SEARCH("　",K7)))),"是否可逆转含首尾空格或全角空格",""),IF(L7="","缺少流量",""),IF(L7="","",IF(NOT(ISNUMBER(L7)),"流量应为数值",IF(L7&lt;=0,"流量应大于0",""))),IF(M7="","缺少风机压力pF",""),IF(M7="","",IF(NOT(ISNUMBER(M7)),"风机压力pF应为数值",IF(M7&lt;=0,"风机压力pF应大于0",""))),IF(N7="","缺少额定功率",""),IF(N7="","",IF(NOT(ISNUMBER(N7)),"额定功率应为数值",IF(N7&lt;=0,"额定功率应大于0",""))),IF(O7="","缺少叶轮功率",""),IF(O7="","",IF(NOT(ISNUMBER(O7)),"叶轮功率应为数值",IF(O7&lt;=0,"叶轮功率应大于0",""))),IF(P7="","缺少转速",""),IF(P7="","",IF(NOT(ISNUMBER(P7)),"转速应为数值",IF(P7&lt;=0,"转速应大于0",""))),IF(Q7="","缺少机号",""),IF(Q7="","",IF(NOT(ISNUMBER(Q7)),"机号应为数值",IF(Q7&lt;=0,"机号应大于0",""))),IF(R7="","缺少进口滞止密度",""),IF(R7="","",IF(NOT(ISNUMBER(R7)),"进口滞止密度应为数值",IF(R7&lt;=0,"进口滞止密度应大于0",""))),IF(S7="","缺少等熵指数k",""),IF(S7="","",IF(NOT(ISNUMBER(S7)),"等熵指数k应为数值",IF(OR(S7&lt;1,S7&gt;2),"等熵指数k应为1～2",""))),IF(T7="","缺少轮毂比",""),IF(T7="","",IF(NOT(ISNUMBER(T7)),"轮毂比应为数值",IF(OR(T7&lt;0,T7&gt;1),"轮毂比应为0～1",""))),IF(U7="","缺少最高通风机效率ηr",""),IF(U7="","",IF(NOT(ISNUMBER(U7)),"最高通风机效率ηr应为数值",IF(OR(U7&lt;1,U7&gt;100),"最高通风机效率ηr应为1～100的百分数本值",""))),IF(AC7="","缺少铭牌照片",""),IF(AND(ISTEXT(AD7),OR(AD7&lt;&gt;TRIM(AD7),ISNUMBER(SEARCH("　",AD7)))),"填表备注含首尾空格或全角空格",""),IF(AND(ISNUMBER(M7),M7&gt;30000),"风机压力超过30kPa，超出通风机标准范围",""),IF(AND(J7="是",H7="是"),"动叶可调特殊效率规则要求进口无进气箱",""),IF(AND(J7="是",I7="是"),"动叶可调特殊效率规则要求出口无扩散筒","")),"")</f>
        <v/>
      </c>
    </row>
    <row r="8" ht="42" customHeight="1" s="184">
      <c r="A8" s="224">
        <f>IF(COUNTA(B8,C8,D8,E8,F8,G8,H8,I8,J8,K8,L8,M8,N8,O8,P8,Q8,R8,S8,T8,U8,AC8,AD8)&gt;0,ROW()-3,"")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18" t="n"/>
      <c r="K8" s="218" t="n"/>
      <c r="L8" s="229" t="n"/>
      <c r="M8" s="229" t="n"/>
      <c r="N8" s="229" t="n"/>
      <c r="O8" s="229" t="n"/>
      <c r="P8" s="229" t="n"/>
      <c r="Q8" s="229" t="n"/>
      <c r="R8" s="229" t="n"/>
      <c r="S8" s="235" t="n"/>
      <c r="T8" s="235" t="n"/>
      <c r="U8" s="229" t="n"/>
      <c r="V8" s="113" t="n"/>
      <c r="W8" s="113" t="n"/>
      <c r="X8" s="113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IF(COUNTA(B8,C8,D8,E8,F8,G8,H8,I8,J8,K8,L8,M8,N8,O8,P8,Q8,R8,S8,T8,U8,AC8,AD8)&gt;0,TEXTJOIN("；",TRUE,IF(B8="","缺少设备名称",""),IF(AND(ISTEXT(B8),OR(B8&lt;&gt;TRIM(B8),ISNUMBER(SEARCH("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",E8)))),"安装位置含首尾空格或全角空格",""),IF(F8="","缺少设备类别",""),IF(F8="","",IF(COUNTIF(EV_AXIAL_FAN_CATEGORY,F8)=0,"设备类别不在标准枚举中","")),IF(AND(ISTEXT(F8),OR(F8&lt;&gt;TRIM(F8),ISNUMBER(SEARCH("　",F8)))),"设备类别含首尾空格或全角空格",""),IF(G8="","缺少传动方式",""),IF(G8="","",IF(COUNTIF(EV_TRANSMISSION,G8)=0,"传动方式不在标准枚举中","")),IF(AND(ISTEXT(G8),OR(G8&lt;&gt;TRIM(G8),ISNUMBER(SEARCH("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",G8)))),"传动方式含首尾空格或全角空格",""),IF(H8="","缺少是否带进气箱",""),IF(H8="","",IF(COUNTIF(EV_YES_NO,H8)=0,"是否带进气箱不在标准枚举中","")),IF(AND(ISTEXT(H8),OR(H8&lt;&gt;TRIM(H8),ISNUMBER(SEARCH("　",H8)))),"是否带进气箱含首尾空格或全角空格",""),IF(I8="","缺少是否带扩散筒",""),IF(I8="","",IF(COUNTIF(EV_YES_NO,I8)=0,"是否带扩散筒不在标准枚举中","")),IF(AND(ISTEXT(I8),OR(I8&lt;&gt;TRIM(I8),ISNUMBER(SEARCH("　",I8)))),"是否带扩散筒含首尾空格或全角空格",""),IF(J8="","缺少是否动叶可调",""),IF(J8="","",IF(COUNTIF(EV_YES_NO,J8)=0,"是否动叶可调不在标准枚举中","")),IF(AND(ISTEXT(J8),OR(J8&lt;&gt;TRIM(J8),ISNUMBER(SEARCH("　",J8)))),"是否动叶可调含首尾空格或全角空格",""),IF(K8="","缺少是否可逆转",""),IF(K8="","",IF(COUNTIF(EV_YES_NO,K8)=0,"是否可逆转不在标准枚举中","")),IF(AND(ISTEXT(K8),OR(K8&lt;&gt;TRIM(K8),ISNUMBER(SEARCH("　",K8)))),"是否可逆转含首尾空格或全角空格",""),IF(L8="","缺少流量",""),IF(L8="","",IF(NOT(ISNUMBER(L8)),"流量应为数值",IF(L8&lt;=0,"流量应大于0",""))),IF(M8="","缺少风机压力pF",""),IF(M8="","",IF(NOT(ISNUMBER(M8)),"风机压力pF应为数值",IF(M8&lt;=0,"风机压力pF应大于0",""))),IF(N8="","缺少额定功率",""),IF(N8="","",IF(NOT(ISNUMBER(N8)),"额定功率应为数值",IF(N8&lt;=0,"额定功率应大于0",""))),IF(O8="","缺少叶轮功率",""),IF(O8="","",IF(NOT(ISNUMBER(O8)),"叶轮功率应为数值",IF(O8&lt;=0,"叶轮功率应大于0",""))),IF(P8="","缺少转速",""),IF(P8="","",IF(NOT(ISNUMBER(P8)),"转速应为数值",IF(P8&lt;=0,"转速应大于0",""))),IF(Q8="","缺少机号",""),IF(Q8="","",IF(NOT(ISNUMBER(Q8)),"机号应为数值",IF(Q8&lt;=0,"机号应大于0",""))),IF(R8="","缺少进口滞止密度",""),IF(R8="","",IF(NOT(ISNUMBER(R8)),"进口滞止密度应为数值",IF(R8&lt;=0,"进口滞止密度应大于0",""))),IF(S8="","缺少等熵指数k",""),IF(S8="","",IF(NOT(ISNUMBER(S8)),"等熵指数k应为数值",IF(OR(S8&lt;1,S8&gt;2),"等熵指数k应为1～2",""))),IF(T8="","缺少轮毂比",""),IF(T8="","",IF(NOT(ISNUMBER(T8)),"轮毂比应为数值",IF(OR(T8&lt;0,T8&gt;1),"轮毂比应为0～1",""))),IF(U8="","缺少最高通风机效率ηr",""),IF(U8="","",IF(NOT(ISNUMBER(U8)),"最高通风机效率ηr应为数值",IF(OR(U8&lt;1,U8&gt;100),"最高通风机效率ηr应为1～100的百分数本值",""))),IF(AC8="","缺少铭牌照片",""),IF(AND(ISTEXT(AD8),OR(AD8&lt;&gt;TRIM(AD8),ISNUMBER(SEARCH("　",AD8)))),"填表备注含首尾空格或全角空格",""),IF(AND(ISNUMBER(M8),M8&gt;30000),"风机压力超过30kPa，超出通风机标准范围",""),IF(AND(J8="是",H8="是"),"动叶可调特殊效率规则要求进口无进气箱",""),IF(AND(J8="是",I8="是"),"动叶可调特殊效率规则要求出口无扩散筒","")),"")</f>
        <v/>
      </c>
    </row>
    <row r="9" ht="42" customHeight="1" s="184">
      <c r="A9" s="224">
        <f>IF(COUNTA(B9,C9,D9,E9,F9,G9,H9,I9,J9,K9,L9,M9,N9,O9,P9,Q9,R9,S9,T9,U9,AC9,AD9)&gt;0,ROW()-3,"")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18" t="n"/>
      <c r="K9" s="218" t="n"/>
      <c r="L9" s="229" t="n"/>
      <c r="M9" s="229" t="n"/>
      <c r="N9" s="229" t="n"/>
      <c r="O9" s="229" t="n"/>
      <c r="P9" s="229" t="n"/>
      <c r="Q9" s="229" t="n"/>
      <c r="R9" s="229" t="n"/>
      <c r="S9" s="235" t="n"/>
      <c r="T9" s="235" t="n"/>
      <c r="U9" s="229" t="n"/>
      <c r="V9" s="113" t="n"/>
      <c r="W9" s="113" t="n"/>
      <c r="X9" s="113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IF(COUNTA(B9,C9,D9,E9,F9,G9,H9,I9,J9,K9,L9,M9,N9,O9,P9,Q9,R9,S9,T9,U9,AC9,AD9)&gt;0,TEXTJOIN("；",TRUE,IF(B9="","缺少设备名称",""),IF(AND(ISTEXT(B9),OR(B9&lt;&gt;TRIM(B9),ISNUMBER(SEARCH("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",E9)))),"安装位置含首尾空格或全角空格",""),IF(F9="","缺少设备类别",""),IF(F9="","",IF(COUNTIF(EV_AXIAL_FAN_CATEGORY,F9)=0,"设备类别不在标准枚举中","")),IF(AND(ISTEXT(F9),OR(F9&lt;&gt;TRIM(F9),ISNUMBER(SEARCH("　",F9)))),"设备类别含首尾空格或全角空格",""),IF(G9="","缺少传动方式",""),IF(G9="","",IF(COUNTIF(EV_TRANSMISSION,G9)=0,"传动方式不在标准枚举中","")),IF(AND(ISTEXT(G9),OR(G9&lt;&gt;TRIM(G9),ISNUMBER(SEARCH("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",G9)))),"传动方式含首尾空格或全角空格",""),IF(H9="","缺少是否带进气箱",""),IF(H9="","",IF(COUNTIF(EV_YES_NO,H9)=0,"是否带进气箱不在标准枚举中","")),IF(AND(ISTEXT(H9),OR(H9&lt;&gt;TRIM(H9),ISNUMBER(SEARCH("　",H9)))),"是否带进气箱含首尾空格或全角空格",""),IF(I9="","缺少是否带扩散筒",""),IF(I9="","",IF(COUNTIF(EV_YES_NO,I9)=0,"是否带扩散筒不在标准枚举中","")),IF(AND(ISTEXT(I9),OR(I9&lt;&gt;TRIM(I9),ISNUMBER(SEARCH("　",I9)))),"是否带扩散筒含首尾空格或全角空格",""),IF(J9="","缺少是否动叶可调",""),IF(J9="","",IF(COUNTIF(EV_YES_NO,J9)=0,"是否动叶可调不在标准枚举中","")),IF(AND(ISTEXT(J9),OR(J9&lt;&gt;TRIM(J9),ISNUMBER(SEARCH("　",J9)))),"是否动叶可调含首尾空格或全角空格",""),IF(K9="","缺少是否可逆转",""),IF(K9="","",IF(COUNTIF(EV_YES_NO,K9)=0,"是否可逆转不在标准枚举中","")),IF(AND(ISTEXT(K9),OR(K9&lt;&gt;TRIM(K9),ISNUMBER(SEARCH("　",K9)))),"是否可逆转含首尾空格或全角空格",""),IF(L9="","缺少流量",""),IF(L9="","",IF(NOT(ISNUMBER(L9)),"流量应为数值",IF(L9&lt;=0,"流量应大于0",""))),IF(M9="","缺少风机压力pF",""),IF(M9="","",IF(NOT(ISNUMBER(M9)),"风机压力pF应为数值",IF(M9&lt;=0,"风机压力pF应大于0",""))),IF(N9="","缺少额定功率",""),IF(N9="","",IF(NOT(ISNUMBER(N9)),"额定功率应为数值",IF(N9&lt;=0,"额定功率应大于0",""))),IF(O9="","缺少叶轮功率",""),IF(O9="","",IF(NOT(ISNUMBER(O9)),"叶轮功率应为数值",IF(O9&lt;=0,"叶轮功率应大于0",""))),IF(P9="","缺少转速",""),IF(P9="","",IF(NOT(ISNUMBER(P9)),"转速应为数值",IF(P9&lt;=0,"转速应大于0",""))),IF(Q9="","缺少机号",""),IF(Q9="","",IF(NOT(ISNUMBER(Q9)),"机号应为数值",IF(Q9&lt;=0,"机号应大于0",""))),IF(R9="","缺少进口滞止密度",""),IF(R9="","",IF(NOT(ISNUMBER(R9)),"进口滞止密度应为数值",IF(R9&lt;=0,"进口滞止密度应大于0",""))),IF(S9="","缺少等熵指数k",""),IF(S9="","",IF(NOT(ISNUMBER(S9)),"等熵指数k应为数值",IF(OR(S9&lt;1,S9&gt;2),"等熵指数k应为1～2",""))),IF(T9="","缺少轮毂比",""),IF(T9="","",IF(NOT(ISNUMBER(T9)),"轮毂比应为数值",IF(OR(T9&lt;0,T9&gt;1),"轮毂比应为0～1",""))),IF(U9="","缺少最高通风机效率ηr",""),IF(U9="","",IF(NOT(ISNUMBER(U9)),"最高通风机效率ηr应为数值",IF(OR(U9&lt;1,U9&gt;100),"最高通风机效率ηr应为1～100的百分数本值",""))),IF(AC9="","缺少铭牌照片",""),IF(AND(ISTEXT(AD9),OR(AD9&lt;&gt;TRIM(AD9),ISNUMBER(SEARCH("　",AD9)))),"填表备注含首尾空格或全角空格",""),IF(AND(ISNUMBER(M9),M9&gt;30000),"风机压力超过30kPa，超出通风机标准范围",""),IF(AND(J9="是",H9="是"),"动叶可调特殊效率规则要求进口无进气箱",""),IF(AND(J9="是",I9="是"),"动叶可调特殊效率规则要求出口无扩散筒","")),"")</f>
        <v/>
      </c>
    </row>
    <row r="10" ht="42" customHeight="1" s="184">
      <c r="A10" s="224">
        <f>IF(COUNTA(B10,C10,D10,E10,F10,G10,H10,I10,J10,K10,L10,M10,N10,O10,P10,Q10,R10,S10,T10,U10,AC10,AD10)&gt;0,ROW()-3,"")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18" t="n"/>
      <c r="K10" s="218" t="n"/>
      <c r="L10" s="229" t="n"/>
      <c r="M10" s="229" t="n"/>
      <c r="N10" s="229" t="n"/>
      <c r="O10" s="229" t="n"/>
      <c r="P10" s="229" t="n"/>
      <c r="Q10" s="229" t="n"/>
      <c r="R10" s="229" t="n"/>
      <c r="S10" s="235" t="n"/>
      <c r="T10" s="235" t="n"/>
      <c r="U10" s="229" t="n"/>
      <c r="V10" s="113" t="n"/>
      <c r="W10" s="113" t="n"/>
      <c r="X10" s="113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IF(COUNTA(B10,C10,D10,E10,F10,G10,H10,I10,J10,K10,L10,M10,N10,O10,P10,Q10,R10,S10,T10,U10,AC10,AD10)&gt;0,TEXTJOIN("；",TRUE,IF(B10="","缺少设备名称",""),IF(AND(ISTEXT(B10),OR(B10&lt;&gt;TRIM(B10),ISNUMBER(SEARCH("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",E10)))),"安装位置含首尾空格或全角空格",""),IF(F10="","缺少设备类别",""),IF(F10="","",IF(COUNTIF(EV_AXIAL_FAN_CATEGORY,F10)=0,"设备类别不在标准枚举中","")),IF(AND(ISTEXT(F10),OR(F10&lt;&gt;TRIM(F10),ISNUMBER(SEARCH("　",F10)))),"设备类别含首尾空格或全角空格",""),IF(G10="","缺少传动方式",""),IF(G10="","",IF(COUNTIF(EV_TRANSMISSION,G10)=0,"传动方式不在标准枚举中","")),IF(AND(ISTEXT(G10),OR(G10&lt;&gt;TRIM(G10),ISNUMBER(SEARCH("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",G10)))),"传动方式含首尾空格或全角空格",""),IF(H10="","缺少是否带进气箱",""),IF(H10="","",IF(COUNTIF(EV_YES_NO,H10)=0,"是否带进气箱不在标准枚举中","")),IF(AND(ISTEXT(H10),OR(H10&lt;&gt;TRIM(H10),ISNUMBER(SEARCH("　",H10)))),"是否带进气箱含首尾空格或全角空格",""),IF(I10="","缺少是否带扩散筒",""),IF(I10="","",IF(COUNTIF(EV_YES_NO,I10)=0,"是否带扩散筒不在标准枚举中","")),IF(AND(ISTEXT(I10),OR(I10&lt;&gt;TRIM(I10),ISNUMBER(SEARCH("　",I10)))),"是否带扩散筒含首尾空格或全角空格",""),IF(J10="","缺少是否动叶可调",""),IF(J10="","",IF(COUNTIF(EV_YES_NO,J10)=0,"是否动叶可调不在标准枚举中","")),IF(AND(ISTEXT(J10),OR(J10&lt;&gt;TRIM(J10),ISNUMBER(SEARCH("　",J10)))),"是否动叶可调含首尾空格或全角空格",""),IF(K10="","缺少是否可逆转",""),IF(K10="","",IF(COUNTIF(EV_YES_NO,K10)=0,"是否可逆转不在标准枚举中","")),IF(AND(ISTEXT(K10),OR(K10&lt;&gt;TRIM(K10),ISNUMBER(SEARCH("　",K10)))),"是否可逆转含首尾空格或全角空格",""),IF(L10="","缺少流量",""),IF(L10="","",IF(NOT(ISNUMBER(L10)),"流量应为数值",IF(L10&lt;=0,"流量应大于0",""))),IF(M10="","缺少风机压力pF",""),IF(M10="","",IF(NOT(ISNUMBER(M10)),"风机压力pF应为数值",IF(M10&lt;=0,"风机压力pF应大于0",""))),IF(N10="","缺少额定功率",""),IF(N10="","",IF(NOT(ISNUMBER(N10)),"额定功率应为数值",IF(N10&lt;=0,"额定功率应大于0",""))),IF(O10="","缺少叶轮功率",""),IF(O10="","",IF(NOT(ISNUMBER(O10)),"叶轮功率应为数值",IF(O10&lt;=0,"叶轮功率应大于0",""))),IF(P10="","缺少转速",""),IF(P10="","",IF(NOT(ISNUMBER(P10)),"转速应为数值",IF(P10&lt;=0,"转速应大于0",""))),IF(Q10="","缺少机号",""),IF(Q10="","",IF(NOT(ISNUMBER(Q10)),"机号应为数值",IF(Q10&lt;=0,"机号应大于0",""))),IF(R10="","缺少进口滞止密度",""),IF(R10="","",IF(NOT(ISNUMBER(R10)),"进口滞止密度应为数值",IF(R10&lt;=0,"进口滞止密度应大于0",""))),IF(S10="","缺少等熵指数k",""),IF(S10="","",IF(NOT(ISNUMBER(S10)),"等熵指数k应为数值",IF(OR(S10&lt;1,S10&gt;2),"等熵指数k应为1～2",""))),IF(T10="","缺少轮毂比",""),IF(T10="","",IF(NOT(ISNUMBER(T10)),"轮毂比应为数值",IF(OR(T10&lt;0,T10&gt;1),"轮毂比应为0～1",""))),IF(U10="","缺少最高通风机效率ηr",""),IF(U10="","",IF(NOT(ISNUMBER(U10)),"最高通风机效率ηr应为数值",IF(OR(U10&lt;1,U10&gt;100),"最高通风机效率ηr应为1～100的百分数本值",""))),IF(AC10="","缺少铭牌照片",""),IF(AND(ISTEXT(AD10),OR(AD10&lt;&gt;TRIM(AD10),ISNUMBER(SEARCH("　",AD10)))),"填表备注含首尾空格或全角空格",""),IF(AND(ISNUMBER(M10),M10&gt;30000),"风机压力超过30kPa，超出通风机标准范围",""),IF(AND(J10="是",H10="是"),"动叶可调特殊效率规则要求进口无进气箱",""),IF(AND(J10="是",I10="是"),"动叶可调特殊效率规则要求出口无扩散筒","")),"")</f>
        <v/>
      </c>
    </row>
    <row r="11" ht="42" customHeight="1" s="184">
      <c r="A11" s="224">
        <f>IF(COUNTA(B11,C11,D11,E11,F11,G11,H11,I11,J11,K11,L11,M11,N11,O11,P11,Q11,R11,S11,T11,U11,AC11,AD11)&gt;0,ROW()-3,"")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18" t="n"/>
      <c r="K11" s="218" t="n"/>
      <c r="L11" s="229" t="n"/>
      <c r="M11" s="229" t="n"/>
      <c r="N11" s="229" t="n"/>
      <c r="O11" s="229" t="n"/>
      <c r="P11" s="229" t="n"/>
      <c r="Q11" s="229" t="n"/>
      <c r="R11" s="229" t="n"/>
      <c r="S11" s="235" t="n"/>
      <c r="T11" s="235" t="n"/>
      <c r="U11" s="229" t="n"/>
      <c r="V11" s="113" t="n"/>
      <c r="W11" s="113" t="n"/>
      <c r="X11" s="113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IF(COUNTA(B11,C11,D11,E11,F11,G11,H11,I11,J11,K11,L11,M11,N11,O11,P11,Q11,R11,S11,T11,U11,AC11,AD11)&gt;0,TEXTJOIN("；",TRUE,IF(B11="","缺少设备名称",""),IF(AND(ISTEXT(B11),OR(B11&lt;&gt;TRIM(B11),ISNUMBER(SEARCH("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",E11)))),"安装位置含首尾空格或全角空格",""),IF(F11="","缺少设备类别",""),IF(F11="","",IF(COUNTIF(EV_AXIAL_FAN_CATEGORY,F11)=0,"设备类别不在标准枚举中","")),IF(AND(ISTEXT(F11),OR(F11&lt;&gt;TRIM(F11),ISNUMBER(SEARCH("　",F11)))),"设备类别含首尾空格或全角空格",""),IF(G11="","缺少传动方式",""),IF(G11="","",IF(COUNTIF(EV_TRANSMISSION,G11)=0,"传动方式不在标准枚举中","")),IF(AND(ISTEXT(G11),OR(G11&lt;&gt;TRIM(G11),ISNUMBER(SEARCH("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",G11)))),"传动方式含首尾空格或全角空格",""),IF(H11="","缺少是否带进气箱",""),IF(H11="","",IF(COUNTIF(EV_YES_NO,H11)=0,"是否带进气箱不在标准枚举中","")),IF(AND(ISTEXT(H11),OR(H11&lt;&gt;TRIM(H11),ISNUMBER(SEARCH("　",H11)))),"是否带进气箱含首尾空格或全角空格",""),IF(I11="","缺少是否带扩散筒",""),IF(I11="","",IF(COUNTIF(EV_YES_NO,I11)=0,"是否带扩散筒不在标准枚举中","")),IF(AND(ISTEXT(I11),OR(I11&lt;&gt;TRIM(I11),ISNUMBER(SEARCH("　",I11)))),"是否带扩散筒含首尾空格或全角空格",""),IF(J11="","缺少是否动叶可调",""),IF(J11="","",IF(COUNTIF(EV_YES_NO,J11)=0,"是否动叶可调不在标准枚举中","")),IF(AND(ISTEXT(J11),OR(J11&lt;&gt;TRIM(J11),ISNUMBER(SEARCH("　",J11)))),"是否动叶可调含首尾空格或全角空格",""),IF(K11="","缺少是否可逆转",""),IF(K11="","",IF(COUNTIF(EV_YES_NO,K11)=0,"是否可逆转不在标准枚举中","")),IF(AND(ISTEXT(K11),OR(K11&lt;&gt;TRIM(K11),ISNUMBER(SEARCH("　",K11)))),"是否可逆转含首尾空格或全角空格",""),IF(L11="","缺少流量",""),IF(L11="","",IF(NOT(ISNUMBER(L11)),"流量应为数值",IF(L11&lt;=0,"流量应大于0",""))),IF(M11="","缺少风机压力pF",""),IF(M11="","",IF(NOT(ISNUMBER(M11)),"风机压力pF应为数值",IF(M11&lt;=0,"风机压力pF应大于0",""))),IF(N11="","缺少额定功率",""),IF(N11="","",IF(NOT(ISNUMBER(N11)),"额定功率应为数值",IF(N11&lt;=0,"额定功率应大于0",""))),IF(O11="","缺少叶轮功率",""),IF(O11="","",IF(NOT(ISNUMBER(O11)),"叶轮功率应为数值",IF(O11&lt;=0,"叶轮功率应大于0",""))),IF(P11="","缺少转速",""),IF(P11="","",IF(NOT(ISNUMBER(P11)),"转速应为数值",IF(P11&lt;=0,"转速应大于0",""))),IF(Q11="","缺少机号",""),IF(Q11="","",IF(NOT(ISNUMBER(Q11)),"机号应为数值",IF(Q11&lt;=0,"机号应大于0",""))),IF(R11="","缺少进口滞止密度",""),IF(R11="","",IF(NOT(ISNUMBER(R11)),"进口滞止密度应为数值",IF(R11&lt;=0,"进口滞止密度应大于0",""))),IF(S11="","缺少等熵指数k",""),IF(S11="","",IF(NOT(ISNUMBER(S11)),"等熵指数k应为数值",IF(OR(S11&lt;1,S11&gt;2),"等熵指数k应为1～2",""))),IF(T11="","缺少轮毂比",""),IF(T11="","",IF(NOT(ISNUMBER(T11)),"轮毂比应为数值",IF(OR(T11&lt;0,T11&gt;1),"轮毂比应为0～1",""))),IF(U11="","缺少最高通风机效率ηr",""),IF(U11="","",IF(NOT(ISNUMBER(U11)),"最高通风机效率ηr应为数值",IF(OR(U11&lt;1,U11&gt;100),"最高通风机效率ηr应为1～100的百分数本值",""))),IF(AC11="","缺少铭牌照片",""),IF(AND(ISTEXT(AD11),OR(AD11&lt;&gt;TRIM(AD11),ISNUMBER(SEARCH("　",AD11)))),"填表备注含首尾空格或全角空格",""),IF(AND(ISNUMBER(M11),M11&gt;30000),"风机压力超过30kPa，超出通风机标准范围",""),IF(AND(J11="是",H11="是"),"动叶可调特殊效率规则要求进口无进气箱",""),IF(AND(J11="是",I11="是"),"动叶可调特殊效率规则要求出口无扩散筒","")),"")</f>
        <v/>
      </c>
    </row>
    <row r="12" ht="42" customHeight="1" s="184">
      <c r="A12" s="224">
        <f>IF(COUNTA(B12,C12,D12,E12,F12,G12,H12,I12,J12,K12,L12,M12,N12,O12,P12,Q12,R12,S12,T12,U12,AC12,AD12)&gt;0,ROW()-3,"")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18" t="n"/>
      <c r="K12" s="218" t="n"/>
      <c r="L12" s="229" t="n"/>
      <c r="M12" s="229" t="n"/>
      <c r="N12" s="229" t="n"/>
      <c r="O12" s="229" t="n"/>
      <c r="P12" s="229" t="n"/>
      <c r="Q12" s="229" t="n"/>
      <c r="R12" s="229" t="n"/>
      <c r="S12" s="235" t="n"/>
      <c r="T12" s="235" t="n"/>
      <c r="U12" s="229" t="n"/>
      <c r="V12" s="113" t="n"/>
      <c r="W12" s="113" t="n"/>
      <c r="X12" s="113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IF(COUNTA(B12,C12,D12,E12,F12,G12,H12,I12,J12,K12,L12,M12,N12,O12,P12,Q12,R12,S12,T12,U12,AC12,AD12)&gt;0,TEXTJOIN("；",TRUE,IF(B12="","缺少设备名称",""),IF(AND(ISTEXT(B12),OR(B12&lt;&gt;TRIM(B12),ISNUMBER(SEARCH("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",E12)))),"安装位置含首尾空格或全角空格",""),IF(F12="","缺少设备类别",""),IF(F12="","",IF(COUNTIF(EV_AXIAL_FAN_CATEGORY,F12)=0,"设备类别不在标准枚举中","")),IF(AND(ISTEXT(F12),OR(F12&lt;&gt;TRIM(F12),ISNUMBER(SEARCH("　",F12)))),"设备类别含首尾空格或全角空格",""),IF(G12="","缺少传动方式",""),IF(G12="","",IF(COUNTIF(EV_TRANSMISSION,G12)=0,"传动方式不在标准枚举中","")),IF(AND(ISTEXT(G12),OR(G12&lt;&gt;TRIM(G12),ISNUMBER(SEARCH("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",G12)))),"传动方式含首尾空格或全角空格",""),IF(H12="","缺少是否带进气箱",""),IF(H12="","",IF(COUNTIF(EV_YES_NO,H12)=0,"是否带进气箱不在标准枚举中","")),IF(AND(ISTEXT(H12),OR(H12&lt;&gt;TRIM(H12),ISNUMBER(SEARCH("　",H12)))),"是否带进气箱含首尾空格或全角空格",""),IF(I12="","缺少是否带扩散筒",""),IF(I12="","",IF(COUNTIF(EV_YES_NO,I12)=0,"是否带扩散筒不在标准枚举中","")),IF(AND(ISTEXT(I12),OR(I12&lt;&gt;TRIM(I12),ISNUMBER(SEARCH("　",I12)))),"是否带扩散筒含首尾空格或全角空格",""),IF(J12="","缺少是否动叶可调",""),IF(J12="","",IF(COUNTIF(EV_YES_NO,J12)=0,"是否动叶可调不在标准枚举中","")),IF(AND(ISTEXT(J12),OR(J12&lt;&gt;TRIM(J12),ISNUMBER(SEARCH("　",J12)))),"是否动叶可调含首尾空格或全角空格",""),IF(K12="","缺少是否可逆转",""),IF(K12="","",IF(COUNTIF(EV_YES_NO,K12)=0,"是否可逆转不在标准枚举中","")),IF(AND(ISTEXT(K12),OR(K12&lt;&gt;TRIM(K12),ISNUMBER(SEARCH("　",K12)))),"是否可逆转含首尾空格或全角空格",""),IF(L12="","缺少流量",""),IF(L12="","",IF(NOT(ISNUMBER(L12)),"流量应为数值",IF(L12&lt;=0,"流量应大于0",""))),IF(M12="","缺少风机压力pF",""),IF(M12="","",IF(NOT(ISNUMBER(M12)),"风机压力pF应为数值",IF(M12&lt;=0,"风机压力pF应大于0",""))),IF(N12="","缺少额定功率",""),IF(N12="","",IF(NOT(ISNUMBER(N12)),"额定功率应为数值",IF(N12&lt;=0,"额定功率应大于0",""))),IF(O12="","缺少叶轮功率",""),IF(O12="","",IF(NOT(ISNUMBER(O12)),"叶轮功率应为数值",IF(O12&lt;=0,"叶轮功率应大于0",""))),IF(P12="","缺少转速",""),IF(P12="","",IF(NOT(ISNUMBER(P12)),"转速应为数值",IF(P12&lt;=0,"转速应大于0",""))),IF(Q12="","缺少机号",""),IF(Q12="","",IF(NOT(ISNUMBER(Q12)),"机号应为数值",IF(Q12&lt;=0,"机号应大于0",""))),IF(R12="","缺少进口滞止密度",""),IF(R12="","",IF(NOT(ISNUMBER(R12)),"进口滞止密度应为数值",IF(R12&lt;=0,"进口滞止密度应大于0",""))),IF(S12="","缺少等熵指数k",""),IF(S12="","",IF(NOT(ISNUMBER(S12)),"等熵指数k应为数值",IF(OR(S12&lt;1,S12&gt;2),"等熵指数k应为1～2",""))),IF(T12="","缺少轮毂比",""),IF(T12="","",IF(NOT(ISNUMBER(T12)),"轮毂比应为数值",IF(OR(T12&lt;0,T12&gt;1),"轮毂比应为0～1",""))),IF(U12="","缺少最高通风机效率ηr",""),IF(U12="","",IF(NOT(ISNUMBER(U12)),"最高通风机效率ηr应为数值",IF(OR(U12&lt;1,U12&gt;100),"最高通风机效率ηr应为1～100的百分数本值",""))),IF(AC12="","缺少铭牌照片",""),IF(AND(ISTEXT(AD12),OR(AD12&lt;&gt;TRIM(AD12),ISNUMBER(SEARCH("　",AD12)))),"填表备注含首尾空格或全角空格",""),IF(AND(ISNUMBER(M12),M12&gt;30000),"风机压力超过30kPa，超出通风机标准范围",""),IF(AND(J12="是",H12="是"),"动叶可调特殊效率规则要求进口无进气箱",""),IF(AND(J12="是",I12="是"),"动叶可调特殊效率规则要求出口无扩散筒","")),"")</f>
        <v/>
      </c>
    </row>
    <row r="13" ht="42" customHeight="1" s="184">
      <c r="A13" s="224">
        <f>IF(COUNTA(B13,C13,D13,E13,F13,G13,H13,I13,J13,K13,L13,M13,N13,O13,P13,Q13,R13,S13,T13,U13,AC13,AD13)&gt;0,ROW()-3,"")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18" t="n"/>
      <c r="K13" s="218" t="n"/>
      <c r="L13" s="229" t="n"/>
      <c r="M13" s="229" t="n"/>
      <c r="N13" s="229" t="n"/>
      <c r="O13" s="229" t="n"/>
      <c r="P13" s="229" t="n"/>
      <c r="Q13" s="229" t="n"/>
      <c r="R13" s="229" t="n"/>
      <c r="S13" s="235" t="n"/>
      <c r="T13" s="235" t="n"/>
      <c r="U13" s="229" t="n"/>
      <c r="V13" s="113" t="n"/>
      <c r="W13" s="113" t="n"/>
      <c r="X13" s="113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IF(COUNTA(B13,C13,D13,E13,F13,G13,H13,I13,J13,K13,L13,M13,N13,O13,P13,Q13,R13,S13,T13,U13,AC13,AD13)&gt;0,TEXTJOIN("；",TRUE,IF(B13="","缺少设备名称",""),IF(AND(ISTEXT(B13),OR(B13&lt;&gt;TRIM(B13),ISNUMBER(SEARCH("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",E13)))),"安装位置含首尾空格或全角空格",""),IF(F13="","缺少设备类别",""),IF(F13="","",IF(COUNTIF(EV_AXIAL_FAN_CATEGORY,F13)=0,"设备类别不在标准枚举中","")),IF(AND(ISTEXT(F13),OR(F13&lt;&gt;TRIM(F13),ISNUMBER(SEARCH("　",F13)))),"设备类别含首尾空格或全角空格",""),IF(G13="","缺少传动方式",""),IF(G13="","",IF(COUNTIF(EV_TRANSMISSION,G13)=0,"传动方式不在标准枚举中","")),IF(AND(ISTEXT(G13),OR(G13&lt;&gt;TRIM(G13),ISNUMBER(SEARCH("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",G13)))),"传动方式含首尾空格或全角空格",""),IF(H13="","缺少是否带进气箱",""),IF(H13="","",IF(COUNTIF(EV_YES_NO,H13)=0,"是否带进气箱不在标准枚举中","")),IF(AND(ISTEXT(H13),OR(H13&lt;&gt;TRIM(H13),ISNUMBER(SEARCH("　",H13)))),"是否带进气箱含首尾空格或全角空格",""),IF(I13="","缺少是否带扩散筒",""),IF(I13="","",IF(COUNTIF(EV_YES_NO,I13)=0,"是否带扩散筒不在标准枚举中","")),IF(AND(ISTEXT(I13),OR(I13&lt;&gt;TRIM(I13),ISNUMBER(SEARCH("　",I13)))),"是否带扩散筒含首尾空格或全角空格",""),IF(J13="","缺少是否动叶可调",""),IF(J13="","",IF(COUNTIF(EV_YES_NO,J13)=0,"是否动叶可调不在标准枚举中","")),IF(AND(ISTEXT(J13),OR(J13&lt;&gt;TRIM(J13),ISNUMBER(SEARCH("　",J13)))),"是否动叶可调含首尾空格或全角空格",""),IF(K13="","缺少是否可逆转",""),IF(K13="","",IF(COUNTIF(EV_YES_NO,K13)=0,"是否可逆转不在标准枚举中","")),IF(AND(ISTEXT(K13),OR(K13&lt;&gt;TRIM(K13),ISNUMBER(SEARCH("　",K13)))),"是否可逆转含首尾空格或全角空格",""),IF(L13="","缺少流量",""),IF(L13="","",IF(NOT(ISNUMBER(L13)),"流量应为数值",IF(L13&lt;=0,"流量应大于0",""))),IF(M13="","缺少风机压力pF",""),IF(M13="","",IF(NOT(ISNUMBER(M13)),"风机压力pF应为数值",IF(M13&lt;=0,"风机压力pF应大于0",""))),IF(N13="","缺少额定功率",""),IF(N13="","",IF(NOT(ISNUMBER(N13)),"额定功率应为数值",IF(N13&lt;=0,"额定功率应大于0",""))),IF(O13="","缺少叶轮功率",""),IF(O13="","",IF(NOT(ISNUMBER(O13)),"叶轮功率应为数值",IF(O13&lt;=0,"叶轮功率应大于0",""))),IF(P13="","缺少转速",""),IF(P13="","",IF(NOT(ISNUMBER(P13)),"转速应为数值",IF(P13&lt;=0,"转速应大于0",""))),IF(Q13="","缺少机号",""),IF(Q13="","",IF(NOT(ISNUMBER(Q13)),"机号应为数值",IF(Q13&lt;=0,"机号应大于0",""))),IF(R13="","缺少进口滞止密度",""),IF(R13="","",IF(NOT(ISNUMBER(R13)),"进口滞止密度应为数值",IF(R13&lt;=0,"进口滞止密度应大于0",""))),IF(S13="","缺少等熵指数k",""),IF(S13="","",IF(NOT(ISNUMBER(S13)),"等熵指数k应为数值",IF(OR(S13&lt;1,S13&gt;2),"等熵指数k应为1～2",""))),IF(T13="","缺少轮毂比",""),IF(T13="","",IF(NOT(ISNUMBER(T13)),"轮毂比应为数值",IF(OR(T13&lt;0,T13&gt;1),"轮毂比应为0～1",""))),IF(U13="","缺少最高通风机效率ηr",""),IF(U13="","",IF(NOT(ISNUMBER(U13)),"最高通风机效率ηr应为数值",IF(OR(U13&lt;1,U13&gt;100),"最高通风机效率ηr应为1～100的百分数本值",""))),IF(AC13="","缺少铭牌照片",""),IF(AND(ISTEXT(AD13),OR(AD13&lt;&gt;TRIM(AD13),ISNUMBER(SEARCH("　",AD13)))),"填表备注含首尾空格或全角空格",""),IF(AND(ISNUMBER(M13),M13&gt;30000),"风机压力超过30kPa，超出通风机标准范围",""),IF(AND(J13="是",H13="是"),"动叶可调特殊效率规则要求进口无进气箱",""),IF(AND(J13="是",I13="是"),"动叶可调特殊效率规则要求出口无扩散筒","")),"")</f>
        <v/>
      </c>
    </row>
    <row r="14" ht="42" customHeight="1" s="184">
      <c r="A14" s="224">
        <f>IF(COUNTA(B14,C14,D14,E14,F14,G14,H14,I14,J14,K14,L14,M14,N14,O14,P14,Q14,R14,S14,T14,U14,AC14,AD14)&gt;0,ROW()-3,"")</f>
        <v/>
      </c>
      <c r="B14" s="176" t="n"/>
      <c r="C14" s="176" t="n"/>
      <c r="D14" s="228" t="n"/>
      <c r="E14" s="176" t="n"/>
      <c r="F14" s="218" t="n"/>
      <c r="G14" s="218" t="n"/>
      <c r="H14" s="218" t="n"/>
      <c r="I14" s="218" t="n"/>
      <c r="J14" s="218" t="n"/>
      <c r="K14" s="218" t="n"/>
      <c r="L14" s="229" t="n"/>
      <c r="M14" s="229" t="n"/>
      <c r="N14" s="229" t="n"/>
      <c r="O14" s="229" t="n"/>
      <c r="P14" s="229" t="n"/>
      <c r="Q14" s="229" t="n"/>
      <c r="R14" s="229" t="n"/>
      <c r="S14" s="235" t="n"/>
      <c r="T14" s="235" t="n"/>
      <c r="U14" s="229" t="n"/>
      <c r="V14" s="113" t="n"/>
      <c r="W14" s="113" t="n"/>
      <c r="X14" s="113" t="n"/>
      <c r="Y14" s="227" t="n"/>
      <c r="Z14" s="227" t="n"/>
      <c r="AA14" s="227" t="n"/>
      <c r="AB14" s="81" t="n"/>
      <c r="AC14" s="180" t="n"/>
      <c r="AD14" s="180" t="n"/>
      <c r="AE14" s="99">
        <f>IF(COUNTA(B14,C14,D14,E14,F14,G14,H14,I14,J14,K14,L14,M14,N14,O14,P14,Q14,R14,S14,T14,U14,AC14,AD14)&gt;0,TEXTJOIN("；",TRUE,IF(B14="","缺少设备名称",""),IF(AND(ISTEXT(B14),OR(B14&lt;&gt;TRIM(B14),ISNUMBER(SEARCH("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",E14)))),"安装位置含首尾空格或全角空格",""),IF(F14="","缺少设备类别",""),IF(F14="","",IF(COUNTIF(EV_AXIAL_FAN_CATEGORY,F14)=0,"设备类别不在标准枚举中","")),IF(AND(ISTEXT(F14),OR(F14&lt;&gt;TRIM(F14),ISNUMBER(SEARCH("　",F14)))),"设备类别含首尾空格或全角空格",""),IF(G14="","缺少传动方式",""),IF(G14="","",IF(COUNTIF(EV_TRANSMISSION,G14)=0,"传动方式不在标准枚举中","")),IF(AND(ISTEXT(G14),OR(G14&lt;&gt;TRIM(G14),ISNUMBER(SEARCH("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",G14)))),"传动方式含首尾空格或全角空格",""),IF(H14="","缺少是否带进气箱",""),IF(H14="","",IF(COUNTIF(EV_YES_NO,H14)=0,"是否带进气箱不在标准枚举中","")),IF(AND(ISTEXT(H14),OR(H14&lt;&gt;TRIM(H14),ISNUMBER(SEARCH("　",H14)))),"是否带进气箱含首尾空格或全角空格",""),IF(I14="","缺少是否带扩散筒",""),IF(I14="","",IF(COUNTIF(EV_YES_NO,I14)=0,"是否带扩散筒不在标准枚举中","")),IF(AND(ISTEXT(I14),OR(I14&lt;&gt;TRIM(I14),ISNUMBER(SEARCH("　",I14)))),"是否带扩散筒含首尾空格或全角空格",""),IF(J14="","缺少是否动叶可调",""),IF(J14="","",IF(COUNTIF(EV_YES_NO,J14)=0,"是否动叶可调不在标准枚举中","")),IF(AND(ISTEXT(J14),OR(J14&lt;&gt;TRIM(J14),ISNUMBER(SEARCH("　",J14)))),"是否动叶可调含首尾空格或全角空格",""),IF(K14="","缺少是否可逆转",""),IF(K14="","",IF(COUNTIF(EV_YES_NO,K14)=0,"是否可逆转不在标准枚举中","")),IF(AND(ISTEXT(K14),OR(K14&lt;&gt;TRIM(K14),ISNUMBER(SEARCH("　",K14)))),"是否可逆转含首尾空格或全角空格",""),IF(L14="","缺少流量",""),IF(L14="","",IF(NOT(ISNUMBER(L14)),"流量应为数值",IF(L14&lt;=0,"流量应大于0",""))),IF(M14="","缺少风机压力pF",""),IF(M14="","",IF(NOT(ISNUMBER(M14)),"风机压力pF应为数值",IF(M14&lt;=0,"风机压力pF应大于0",""))),IF(N14="","缺少额定功率",""),IF(N14="","",IF(NOT(ISNUMBER(N14)),"额定功率应为数值",IF(N14&lt;=0,"额定功率应大于0",""))),IF(O14="","缺少叶轮功率",""),IF(O14="","",IF(NOT(ISNUMBER(O14)),"叶轮功率应为数值",IF(O14&lt;=0,"叶轮功率应大于0",""))),IF(P14="","缺少转速",""),IF(P14="","",IF(NOT(ISNUMBER(P14)),"转速应为数值",IF(P14&lt;=0,"转速应大于0",""))),IF(Q14="","缺少机号",""),IF(Q14="","",IF(NOT(ISNUMBER(Q14)),"机号应为数值",IF(Q14&lt;=0,"机号应大于0",""))),IF(R14="","缺少进口滞止密度",""),IF(R14="","",IF(NOT(ISNUMBER(R14)),"进口滞止密度应为数值",IF(R14&lt;=0,"进口滞止密度应大于0",""))),IF(S14="","缺少等熵指数k",""),IF(S14="","",IF(NOT(ISNUMBER(S14)),"等熵指数k应为数值",IF(OR(S14&lt;1,S14&gt;2),"等熵指数k应为1～2",""))),IF(T14="","缺少轮毂比",""),IF(T14="","",IF(NOT(ISNUMBER(T14)),"轮毂比应为数值",IF(OR(T14&lt;0,T14&gt;1),"轮毂比应为0～1",""))),IF(U14="","缺少最高通风机效率ηr",""),IF(U14="","",IF(NOT(ISNUMBER(U14)),"最高通风机效率ηr应为数值",IF(OR(U14&lt;1,U14&gt;100),"最高通风机效率ηr应为1～100的百分数本值",""))),IF(AC14="","缺少铭牌照片",""),IF(AND(ISTEXT(AD14),OR(AD14&lt;&gt;TRIM(AD14),ISNUMBER(SEARCH("　",AD14)))),"填表备注含首尾空格或全角空格",""),IF(AND(ISNUMBER(M14),M14&gt;30000),"风机压力超过30kPa，超出通风机标准范围",""),IF(AND(J14="是",H14="是"),"动叶可调特殊效率规则要求进口无进气箱",""),IF(AND(J14="是",I14="是"),"动叶可调特殊效率规则要求出口无扩散筒","")),"")</f>
        <v/>
      </c>
    </row>
    <row r="15" ht="42" customHeight="1" s="184">
      <c r="A15" s="224">
        <f>IF(COUNTA(B15,C15,D15,E15,F15,G15,H15,I15,J15,K15,L15,M15,N15,O15,P15,Q15,R15,S15,T15,U15,AC15,AD15)&gt;0,ROW()-3,"")</f>
        <v/>
      </c>
      <c r="B15" s="176" t="n"/>
      <c r="C15" s="176" t="n"/>
      <c r="D15" s="228" t="n"/>
      <c r="E15" s="176" t="n"/>
      <c r="F15" s="218" t="n"/>
      <c r="G15" s="218" t="n"/>
      <c r="H15" s="218" t="n"/>
      <c r="I15" s="218" t="n"/>
      <c r="J15" s="218" t="n"/>
      <c r="K15" s="218" t="n"/>
      <c r="L15" s="229" t="n"/>
      <c r="M15" s="229" t="n"/>
      <c r="N15" s="229" t="n"/>
      <c r="O15" s="229" t="n"/>
      <c r="P15" s="229" t="n"/>
      <c r="Q15" s="229" t="n"/>
      <c r="R15" s="229" t="n"/>
      <c r="S15" s="235" t="n"/>
      <c r="T15" s="235" t="n"/>
      <c r="U15" s="229" t="n"/>
      <c r="V15" s="113" t="n"/>
      <c r="W15" s="113" t="n"/>
      <c r="X15" s="113" t="n"/>
      <c r="Y15" s="227" t="n"/>
      <c r="Z15" s="227" t="n"/>
      <c r="AA15" s="227" t="n"/>
      <c r="AB15" s="81" t="n"/>
      <c r="AC15" s="180" t="n"/>
      <c r="AD15" s="180" t="n"/>
      <c r="AE15" s="99">
        <f>IF(COUNTA(B15,C15,D15,E15,F15,G15,H15,I15,J15,K15,L15,M15,N15,O15,P15,Q15,R15,S15,T15,U15,AC15,AD15)&gt;0,TEXTJOIN("；",TRUE,IF(B15="","缺少设备名称",""),IF(AND(ISTEXT(B15),OR(B15&lt;&gt;TRIM(B15),ISNUMBER(SEARCH("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",E15)))),"安装位置含首尾空格或全角空格",""),IF(F15="","缺少设备类别",""),IF(F15="","",IF(COUNTIF(EV_AXIAL_FAN_CATEGORY,F15)=0,"设备类别不在标准枚举中","")),IF(AND(ISTEXT(F15),OR(F15&lt;&gt;TRIM(F15),ISNUMBER(SEARCH("　",F15)))),"设备类别含首尾空格或全角空格",""),IF(G15="","缺少传动方式",""),IF(G15="","",IF(COUNTIF(EV_TRANSMISSION,G15)=0,"传动方式不在标准枚举中","")),IF(AND(ISTEXT(G15),OR(G15&lt;&gt;TRIM(G15),ISNUMBER(SEARCH("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",G15)))),"传动方式含首尾空格或全角空格",""),IF(H15="","缺少是否带进气箱",""),IF(H15="","",IF(COUNTIF(EV_YES_NO,H15)=0,"是否带进气箱不在标准枚举中","")),IF(AND(ISTEXT(H15),OR(H15&lt;&gt;TRIM(H15),ISNUMBER(SEARCH("　",H15)))),"是否带进气箱含首尾空格或全角空格",""),IF(I15="","缺少是否带扩散筒",""),IF(I15="","",IF(COUNTIF(EV_YES_NO,I15)=0,"是否带扩散筒不在标准枚举中","")),IF(AND(ISTEXT(I15),OR(I15&lt;&gt;TRIM(I15),ISNUMBER(SEARCH("　",I15)))),"是否带扩散筒含首尾空格或全角空格",""),IF(J15="","缺少是否动叶可调",""),IF(J15="","",IF(COUNTIF(EV_YES_NO,J15)=0,"是否动叶可调不在标准枚举中","")),IF(AND(ISTEXT(J15),OR(J15&lt;&gt;TRIM(J15),ISNUMBER(SEARCH("　",J15)))),"是否动叶可调含首尾空格或全角空格",""),IF(K15="","缺少是否可逆转",""),IF(K15="","",IF(COUNTIF(EV_YES_NO,K15)=0,"是否可逆转不在标准枚举中","")),IF(AND(ISTEXT(K15),OR(K15&lt;&gt;TRIM(K15),ISNUMBER(SEARCH("　",K15)))),"是否可逆转含首尾空格或全角空格",""),IF(L15="","缺少流量",""),IF(L15="","",IF(NOT(ISNUMBER(L15)),"流量应为数值",IF(L15&lt;=0,"流量应大于0",""))),IF(M15="","缺少风机压力pF",""),IF(M15="","",IF(NOT(ISNUMBER(M15)),"风机压力pF应为数值",IF(M15&lt;=0,"风机压力pF应大于0",""))),IF(N15="","缺少额定功率",""),IF(N15="","",IF(NOT(ISNUMBER(N15)),"额定功率应为数值",IF(N15&lt;=0,"额定功率应大于0",""))),IF(O15="","缺少叶轮功率",""),IF(O15="","",IF(NOT(ISNUMBER(O15)),"叶轮功率应为数值",IF(O15&lt;=0,"叶轮功率应大于0",""))),IF(P15="","缺少转速",""),IF(P15="","",IF(NOT(ISNUMBER(P15)),"转速应为数值",IF(P15&lt;=0,"转速应大于0",""))),IF(Q15="","缺少机号",""),IF(Q15="","",IF(NOT(ISNUMBER(Q15)),"机号应为数值",IF(Q15&lt;=0,"机号应大于0",""))),IF(R15="","缺少进口滞止密度",""),IF(R15="","",IF(NOT(ISNUMBER(R15)),"进口滞止密度应为数值",IF(R15&lt;=0,"进口滞止密度应大于0",""))),IF(S15="","缺少等熵指数k",""),IF(S15="","",IF(NOT(ISNUMBER(S15)),"等熵指数k应为数值",IF(OR(S15&lt;1,S15&gt;2),"等熵指数k应为1～2",""))),IF(T15="","缺少轮毂比",""),IF(T15="","",IF(NOT(ISNUMBER(T15)),"轮毂比应为数值",IF(OR(T15&lt;0,T15&gt;1),"轮毂比应为0～1",""))),IF(U15="","缺少最高通风机效率ηr",""),IF(U15="","",IF(NOT(ISNUMBER(U15)),"最高通风机效率ηr应为数值",IF(OR(U15&lt;1,U15&gt;100),"最高通风机效率ηr应为1～100的百分数本值",""))),IF(AC15="","缺少铭牌照片",""),IF(AND(ISTEXT(AD15),OR(AD15&lt;&gt;TRIM(AD15),ISNUMBER(SEARCH("　",AD15)))),"填表备注含首尾空格或全角空格",""),IF(AND(ISNUMBER(M15),M15&gt;30000),"风机压力超过30kPa，超出通风机标准范围",""),IF(AND(J15="是",H15="是"),"动叶可调特殊效率规则要求进口无进气箱",""),IF(AND(J15="是",I15="是"),"动叶可调特殊效率规则要求出口无扩散筒","")),"")</f>
        <v/>
      </c>
    </row>
    <row r="16" ht="42" customHeight="1" s="184">
      <c r="A16" s="224">
        <f>IF(COUNTA(B16,C16,D16,E16,F16,G16,H16,I16,J16,K16,L16,M16,N16,O16,P16,Q16,R16,S16,T16,U16,AC16,AD16)&gt;0,ROW()-3,"")</f>
        <v/>
      </c>
      <c r="B16" s="176" t="n"/>
      <c r="C16" s="176" t="n"/>
      <c r="D16" s="228" t="n"/>
      <c r="E16" s="176" t="n"/>
      <c r="F16" s="218" t="n"/>
      <c r="G16" s="218" t="n"/>
      <c r="H16" s="218" t="n"/>
      <c r="I16" s="218" t="n"/>
      <c r="J16" s="218" t="n"/>
      <c r="K16" s="218" t="n"/>
      <c r="L16" s="229" t="n"/>
      <c r="M16" s="229" t="n"/>
      <c r="N16" s="229" t="n"/>
      <c r="O16" s="229" t="n"/>
      <c r="P16" s="229" t="n"/>
      <c r="Q16" s="229" t="n"/>
      <c r="R16" s="229" t="n"/>
      <c r="S16" s="235" t="n"/>
      <c r="T16" s="235" t="n"/>
      <c r="U16" s="229" t="n"/>
      <c r="V16" s="113" t="n"/>
      <c r="W16" s="113" t="n"/>
      <c r="X16" s="113" t="n"/>
      <c r="Y16" s="227" t="n"/>
      <c r="Z16" s="227" t="n"/>
      <c r="AA16" s="227" t="n"/>
      <c r="AB16" s="81" t="n"/>
      <c r="AC16" s="180" t="n"/>
      <c r="AD16" s="180" t="n"/>
      <c r="AE16" s="99">
        <f>IF(COUNTA(B16,C16,D16,E16,F16,G16,H16,I16,J16,K16,L16,M16,N16,O16,P16,Q16,R16,S16,T16,U16,AC16,AD16)&gt;0,TEXTJOIN("；",TRUE,IF(B16="","缺少设备名称",""),IF(AND(ISTEXT(B16),OR(B16&lt;&gt;TRIM(B16),ISNUMBER(SEARCH("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",E16)))),"安装位置含首尾空格或全角空格",""),IF(F16="","缺少设备类别",""),IF(F16="","",IF(COUNTIF(EV_AXIAL_FAN_CATEGORY,F16)=0,"设备类别不在标准枚举中","")),IF(AND(ISTEXT(F16),OR(F16&lt;&gt;TRIM(F16),ISNUMBER(SEARCH("　",F16)))),"设备类别含首尾空格或全角空格",""),IF(G16="","缺少传动方式",""),IF(G16="","",IF(COUNTIF(EV_TRANSMISSION,G16)=0,"传动方式不在标准枚举中","")),IF(AND(ISTEXT(G16),OR(G16&lt;&gt;TRIM(G16),ISNUMBER(SEARCH("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",G16)))),"传动方式含首尾空格或全角空格",""),IF(H16="","缺少是否带进气箱",""),IF(H16="","",IF(COUNTIF(EV_YES_NO,H16)=0,"是否带进气箱不在标准枚举中","")),IF(AND(ISTEXT(H16),OR(H16&lt;&gt;TRIM(H16),ISNUMBER(SEARCH("　",H16)))),"是否带进气箱含首尾空格或全角空格",""),IF(I16="","缺少是否带扩散筒",""),IF(I16="","",IF(COUNTIF(EV_YES_NO,I16)=0,"是否带扩散筒不在标准枚举中","")),IF(AND(ISTEXT(I16),OR(I16&lt;&gt;TRIM(I16),ISNUMBER(SEARCH("　",I16)))),"是否带扩散筒含首尾空格或全角空格",""),IF(J16="","缺少是否动叶可调",""),IF(J16="","",IF(COUNTIF(EV_YES_NO,J16)=0,"是否动叶可调不在标准枚举中","")),IF(AND(ISTEXT(J16),OR(J16&lt;&gt;TRIM(J16),ISNUMBER(SEARCH("　",J16)))),"是否动叶可调含首尾空格或全角空格",""),IF(K16="","缺少是否可逆转",""),IF(K16="","",IF(COUNTIF(EV_YES_NO,K16)=0,"是否可逆转不在标准枚举中","")),IF(AND(ISTEXT(K16),OR(K16&lt;&gt;TRIM(K16),ISNUMBER(SEARCH("　",K16)))),"是否可逆转含首尾空格或全角空格",""),IF(L16="","缺少流量",""),IF(L16="","",IF(NOT(ISNUMBER(L16)),"流量应为数值",IF(L16&lt;=0,"流量应大于0",""))),IF(M16="","缺少风机压力pF",""),IF(M16="","",IF(NOT(ISNUMBER(M16)),"风机压力pF应为数值",IF(M16&lt;=0,"风机压力pF应大于0",""))),IF(N16="","缺少额定功率",""),IF(N16="","",IF(NOT(ISNUMBER(N16)),"额定功率应为数值",IF(N16&lt;=0,"额定功率应大于0",""))),IF(O16="","缺少叶轮功率",""),IF(O16="","",IF(NOT(ISNUMBER(O16)),"叶轮功率应为数值",IF(O16&lt;=0,"叶轮功率应大于0",""))),IF(P16="","缺少转速",""),IF(P16="","",IF(NOT(ISNUMBER(P16)),"转速应为数值",IF(P16&lt;=0,"转速应大于0",""))),IF(Q16="","缺少机号",""),IF(Q16="","",IF(NOT(ISNUMBER(Q16)),"机号应为数值",IF(Q16&lt;=0,"机号应大于0",""))),IF(R16="","缺少进口滞止密度",""),IF(R16="","",IF(NOT(ISNUMBER(R16)),"进口滞止密度应为数值",IF(R16&lt;=0,"进口滞止密度应大于0",""))),IF(S16="","缺少等熵指数k",""),IF(S16="","",IF(NOT(ISNUMBER(S16)),"等熵指数k应为数值",IF(OR(S16&lt;1,S16&gt;2),"等熵指数k应为1～2",""))),IF(T16="","缺少轮毂比",""),IF(T16="","",IF(NOT(ISNUMBER(T16)),"轮毂比应为数值",IF(OR(T16&lt;0,T16&gt;1),"轮毂比应为0～1",""))),IF(U16="","缺少最高通风机效率ηr",""),IF(U16="","",IF(NOT(ISNUMBER(U16)),"最高通风机效率ηr应为数值",IF(OR(U16&lt;1,U16&gt;100),"最高通风机效率ηr应为1～100的百分数本值",""))),IF(AC16="","缺少铭牌照片",""),IF(AND(ISTEXT(AD16),OR(AD16&lt;&gt;TRIM(AD16),ISNUMBER(SEARCH("　",AD16)))),"填表备注含首尾空格或全角空格",""),IF(AND(ISNUMBER(M16),M16&gt;30000),"风机压力超过30kPa，超出通风机标准范围",""),IF(AND(J16="是",H16="是"),"动叶可调特殊效率规则要求进口无进气箱",""),IF(AND(J16="是",I16="是"),"动叶可调特殊效率规则要求出口无扩散筒","")),"")</f>
        <v/>
      </c>
    </row>
    <row r="17" ht="42" customHeight="1" s="184">
      <c r="A17" s="224">
        <f>IF(COUNTA(B17,C17,D17,E17,F17,G17,H17,I17,J17,K17,L17,M17,N17,O17,P17,Q17,R17,S17,T17,U17,AC17,AD17)&gt;0,ROW()-3,"")</f>
        <v/>
      </c>
      <c r="B17" s="176" t="n"/>
      <c r="C17" s="176" t="n"/>
      <c r="D17" s="228" t="n"/>
      <c r="E17" s="176" t="n"/>
      <c r="F17" s="218" t="n"/>
      <c r="G17" s="218" t="n"/>
      <c r="H17" s="218" t="n"/>
      <c r="I17" s="218" t="n"/>
      <c r="J17" s="218" t="n"/>
      <c r="K17" s="218" t="n"/>
      <c r="L17" s="229" t="n"/>
      <c r="M17" s="229" t="n"/>
      <c r="N17" s="229" t="n"/>
      <c r="O17" s="229" t="n"/>
      <c r="P17" s="229" t="n"/>
      <c r="Q17" s="229" t="n"/>
      <c r="R17" s="229" t="n"/>
      <c r="S17" s="235" t="n"/>
      <c r="T17" s="235" t="n"/>
      <c r="U17" s="229" t="n"/>
      <c r="V17" s="113" t="n"/>
      <c r="W17" s="113" t="n"/>
      <c r="X17" s="113" t="n"/>
      <c r="Y17" s="227" t="n"/>
      <c r="Z17" s="227" t="n"/>
      <c r="AA17" s="227" t="n"/>
      <c r="AB17" s="81" t="n"/>
      <c r="AC17" s="180" t="n"/>
      <c r="AD17" s="180" t="n"/>
      <c r="AE17" s="99">
        <f>IF(COUNTA(B17,C17,D17,E17,F17,G17,H17,I17,J17,K17,L17,M17,N17,O17,P17,Q17,R17,S17,T17,U17,AC17,AD17)&gt;0,TEXTJOIN("；",TRUE,IF(B17="","缺少设备名称",""),IF(AND(ISTEXT(B17),OR(B17&lt;&gt;TRIM(B17),ISNUMBER(SEARCH("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",E17)))),"安装位置含首尾空格或全角空格",""),IF(F17="","缺少设备类别",""),IF(F17="","",IF(COUNTIF(EV_AXIAL_FAN_CATEGORY,F17)=0,"设备类别不在标准枚举中","")),IF(AND(ISTEXT(F17),OR(F17&lt;&gt;TRIM(F17),ISNUMBER(SEARCH("　",F17)))),"设备类别含首尾空格或全角空格",""),IF(G17="","缺少传动方式",""),IF(G17="","",IF(COUNTIF(EV_TRANSMISSION,G17)=0,"传动方式不在标准枚举中","")),IF(AND(ISTEXT(G17),OR(G17&lt;&gt;TRIM(G17),ISNUMBER(SEARCH("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",G17)))),"传动方式含首尾空格或全角空格",""),IF(H17="","缺少是否带进气箱",""),IF(H17="","",IF(COUNTIF(EV_YES_NO,H17)=0,"是否带进气箱不在标准枚举中","")),IF(AND(ISTEXT(H17),OR(H17&lt;&gt;TRIM(H17),ISNUMBER(SEARCH("　",H17)))),"是否带进气箱含首尾空格或全角空格",""),IF(I17="","缺少是否带扩散筒",""),IF(I17="","",IF(COUNTIF(EV_YES_NO,I17)=0,"是否带扩散筒不在标准枚举中","")),IF(AND(ISTEXT(I17),OR(I17&lt;&gt;TRIM(I17),ISNUMBER(SEARCH("　",I17)))),"是否带扩散筒含首尾空格或全角空格",""),IF(J17="","缺少是否动叶可调",""),IF(J17="","",IF(COUNTIF(EV_YES_NO,J17)=0,"是否动叶可调不在标准枚举中","")),IF(AND(ISTEXT(J17),OR(J17&lt;&gt;TRIM(J17),ISNUMBER(SEARCH("　",J17)))),"是否动叶可调含首尾空格或全角空格",""),IF(K17="","缺少是否可逆转",""),IF(K17="","",IF(COUNTIF(EV_YES_NO,K17)=0,"是否可逆转不在标准枚举中","")),IF(AND(ISTEXT(K17),OR(K17&lt;&gt;TRIM(K17),ISNUMBER(SEARCH("　",K17)))),"是否可逆转含首尾空格或全角空格",""),IF(L17="","缺少流量",""),IF(L17="","",IF(NOT(ISNUMBER(L17)),"流量应为数值",IF(L17&lt;=0,"流量应大于0",""))),IF(M17="","缺少风机压力pF",""),IF(M17="","",IF(NOT(ISNUMBER(M17)),"风机压力pF应为数值",IF(M17&lt;=0,"风机压力pF应大于0",""))),IF(N17="","缺少额定功率",""),IF(N17="","",IF(NOT(ISNUMBER(N17)),"额定功率应为数值",IF(N17&lt;=0,"额定功率应大于0",""))),IF(O17="","缺少叶轮功率",""),IF(O17="","",IF(NOT(ISNUMBER(O17)),"叶轮功率应为数值",IF(O17&lt;=0,"叶轮功率应大于0",""))),IF(P17="","缺少转速",""),IF(P17="","",IF(NOT(ISNUMBER(P17)),"转速应为数值",IF(P17&lt;=0,"转速应大于0",""))),IF(Q17="","缺少机号",""),IF(Q17="","",IF(NOT(ISNUMBER(Q17)),"机号应为数值",IF(Q17&lt;=0,"机号应大于0",""))),IF(R17="","缺少进口滞止密度",""),IF(R17="","",IF(NOT(ISNUMBER(R17)),"进口滞止密度应为数值",IF(R17&lt;=0,"进口滞止密度应大于0",""))),IF(S17="","缺少等熵指数k",""),IF(S17="","",IF(NOT(ISNUMBER(S17)),"等熵指数k应为数值",IF(OR(S17&lt;1,S17&gt;2),"等熵指数k应为1～2",""))),IF(T17="","缺少轮毂比",""),IF(T17="","",IF(NOT(ISNUMBER(T17)),"轮毂比应为数值",IF(OR(T17&lt;0,T17&gt;1),"轮毂比应为0～1",""))),IF(U17="","缺少最高通风机效率ηr",""),IF(U17="","",IF(NOT(ISNUMBER(U17)),"最高通风机效率ηr应为数值",IF(OR(U17&lt;1,U17&gt;100),"最高通风机效率ηr应为1～100的百分数本值",""))),IF(AC17="","缺少铭牌照片",""),IF(AND(ISTEXT(AD17),OR(AD17&lt;&gt;TRIM(AD17),ISNUMBER(SEARCH("　",AD17)))),"填表备注含首尾空格或全角空格",""),IF(AND(ISNUMBER(M17),M17&gt;30000),"风机压力超过30kPa，超出通风机标准范围",""),IF(AND(J17="是",H17="是"),"动叶可调特殊效率规则要求进口无进气箱",""),IF(AND(J17="是",I17="是"),"动叶可调特殊效率规则要求出口无扩散筒","")),"")</f>
        <v/>
      </c>
    </row>
    <row r="18" ht="42" customHeight="1" s="184">
      <c r="A18" s="224">
        <f>IF(COUNTA(B18,C18,D18,E18,F18,G18,H18,I18,J18,K18,L18,M18,N18,O18,P18,Q18,R18,S18,T18,U18,AC18,AD18)&gt;0,ROW()-3,"")</f>
        <v/>
      </c>
      <c r="B18" s="176" t="n"/>
      <c r="C18" s="176" t="n"/>
      <c r="D18" s="228" t="n"/>
      <c r="E18" s="176" t="n"/>
      <c r="F18" s="218" t="n"/>
      <c r="G18" s="218" t="n"/>
      <c r="H18" s="218" t="n"/>
      <c r="I18" s="218" t="n"/>
      <c r="J18" s="218" t="n"/>
      <c r="K18" s="218" t="n"/>
      <c r="L18" s="229" t="n"/>
      <c r="M18" s="229" t="n"/>
      <c r="N18" s="229" t="n"/>
      <c r="O18" s="229" t="n"/>
      <c r="P18" s="229" t="n"/>
      <c r="Q18" s="229" t="n"/>
      <c r="R18" s="229" t="n"/>
      <c r="S18" s="235" t="n"/>
      <c r="T18" s="235" t="n"/>
      <c r="U18" s="229" t="n"/>
      <c r="V18" s="113" t="n"/>
      <c r="W18" s="113" t="n"/>
      <c r="X18" s="113" t="n"/>
      <c r="Y18" s="227" t="n"/>
      <c r="Z18" s="227" t="n"/>
      <c r="AA18" s="227" t="n"/>
      <c r="AB18" s="81" t="n"/>
      <c r="AC18" s="180" t="n"/>
      <c r="AD18" s="180" t="n"/>
      <c r="AE18" s="99">
        <f>IF(COUNTA(B18,C18,D18,E18,F18,G18,H18,I18,J18,K18,L18,M18,N18,O18,P18,Q18,R18,S18,T18,U18,AC18,AD18)&gt;0,TEXTJOIN("；",TRUE,IF(B18="","缺少设备名称",""),IF(AND(ISTEXT(B18),OR(B18&lt;&gt;TRIM(B18),ISNUMBER(SEARCH("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",E18)))),"安装位置含首尾空格或全角空格",""),IF(F18="","缺少设备类别",""),IF(F18="","",IF(COUNTIF(EV_AXIAL_FAN_CATEGORY,F18)=0,"设备类别不在标准枚举中","")),IF(AND(ISTEXT(F18),OR(F18&lt;&gt;TRIM(F18),ISNUMBER(SEARCH("　",F18)))),"设备类别含首尾空格或全角空格",""),IF(G18="","缺少传动方式",""),IF(G18="","",IF(COUNTIF(EV_TRANSMISSION,G18)=0,"传动方式不在标准枚举中","")),IF(AND(ISTEXT(G18),OR(G18&lt;&gt;TRIM(G18),ISNUMBER(SEARCH("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",G18)))),"传动方式含首尾空格或全角空格",""),IF(H18="","缺少是否带进气箱",""),IF(H18="","",IF(COUNTIF(EV_YES_NO,H18)=0,"是否带进气箱不在标准枚举中","")),IF(AND(ISTEXT(H18),OR(H18&lt;&gt;TRIM(H18),ISNUMBER(SEARCH("　",H18)))),"是否带进气箱含首尾空格或全角空格",""),IF(I18="","缺少是否带扩散筒",""),IF(I18="","",IF(COUNTIF(EV_YES_NO,I18)=0,"是否带扩散筒不在标准枚举中","")),IF(AND(ISTEXT(I18),OR(I18&lt;&gt;TRIM(I18),ISNUMBER(SEARCH("　",I18)))),"是否带扩散筒含首尾空格或全角空格",""),IF(J18="","缺少是否动叶可调",""),IF(J18="","",IF(COUNTIF(EV_YES_NO,J18)=0,"是否动叶可调不在标准枚举中","")),IF(AND(ISTEXT(J18),OR(J18&lt;&gt;TRIM(J18),ISNUMBER(SEARCH("　",J18)))),"是否动叶可调含首尾空格或全角空格",""),IF(K18="","缺少是否可逆转",""),IF(K18="","",IF(COUNTIF(EV_YES_NO,K18)=0,"是否可逆转不在标准枚举中","")),IF(AND(ISTEXT(K18),OR(K18&lt;&gt;TRIM(K18),ISNUMBER(SEARCH("　",K18)))),"是否可逆转含首尾空格或全角空格",""),IF(L18="","缺少流量",""),IF(L18="","",IF(NOT(ISNUMBER(L18)),"流量应为数值",IF(L18&lt;=0,"流量应大于0",""))),IF(M18="","缺少风机压力pF",""),IF(M18="","",IF(NOT(ISNUMBER(M18)),"风机压力pF应为数值",IF(M18&lt;=0,"风机压力pF应大于0",""))),IF(N18="","缺少额定功率",""),IF(N18="","",IF(NOT(ISNUMBER(N18)),"额定功率应为数值",IF(N18&lt;=0,"额定功率应大于0",""))),IF(O18="","缺少叶轮功率",""),IF(O18="","",IF(NOT(ISNUMBER(O18)),"叶轮功率应为数值",IF(O18&lt;=0,"叶轮功率应大于0",""))),IF(P18="","缺少转速",""),IF(P18="","",IF(NOT(ISNUMBER(P18)),"转速应为数值",IF(P18&lt;=0,"转速应大于0",""))),IF(Q18="","缺少机号",""),IF(Q18="","",IF(NOT(ISNUMBER(Q18)),"机号应为数值",IF(Q18&lt;=0,"机号应大于0",""))),IF(R18="","缺少进口滞止密度",""),IF(R18="","",IF(NOT(ISNUMBER(R18)),"进口滞止密度应为数值",IF(R18&lt;=0,"进口滞止密度应大于0",""))),IF(S18="","缺少等熵指数k",""),IF(S18="","",IF(NOT(ISNUMBER(S18)),"等熵指数k应为数值",IF(OR(S18&lt;1,S18&gt;2),"等熵指数k应为1～2",""))),IF(T18="","缺少轮毂比",""),IF(T18="","",IF(NOT(ISNUMBER(T18)),"轮毂比应为数值",IF(OR(T18&lt;0,T18&gt;1),"轮毂比应为0～1",""))),IF(U18="","缺少最高通风机效率ηr",""),IF(U18="","",IF(NOT(ISNUMBER(U18)),"最高通风机效率ηr应为数值",IF(OR(U18&lt;1,U18&gt;100),"最高通风机效率ηr应为1～100的百分数本值",""))),IF(AC18="","缺少铭牌照片",""),IF(AND(ISTEXT(AD18),OR(AD18&lt;&gt;TRIM(AD18),ISNUMBER(SEARCH("　",AD18)))),"填表备注含首尾空格或全角空格",""),IF(AND(ISNUMBER(M18),M18&gt;30000),"风机压力超过30kPa，超出通风机标准范围",""),IF(AND(J18="是",H18="是"),"动叶可调特殊效率规则要求进口无进气箱",""),IF(AND(J18="是",I18="是"),"动叶可调特殊效率规则要求出口无扩散筒","")),"")</f>
        <v/>
      </c>
    </row>
    <row r="19" ht="42" customHeight="1" s="184">
      <c r="A19" s="224">
        <f>IF(COUNTA(B19,C19,D19,E19,F19,G19,H19,I19,J19,K19,L19,M19,N19,O19,P19,Q19,R19,S19,T19,U19,AC19,AD19)&gt;0,ROW()-3,"")</f>
        <v/>
      </c>
      <c r="B19" s="176" t="n"/>
      <c r="C19" s="176" t="n"/>
      <c r="D19" s="228" t="n"/>
      <c r="E19" s="176" t="n"/>
      <c r="F19" s="218" t="n"/>
      <c r="G19" s="218" t="n"/>
      <c r="H19" s="218" t="n"/>
      <c r="I19" s="218" t="n"/>
      <c r="J19" s="218" t="n"/>
      <c r="K19" s="218" t="n"/>
      <c r="L19" s="229" t="n"/>
      <c r="M19" s="229" t="n"/>
      <c r="N19" s="229" t="n"/>
      <c r="O19" s="229" t="n"/>
      <c r="P19" s="229" t="n"/>
      <c r="Q19" s="229" t="n"/>
      <c r="R19" s="229" t="n"/>
      <c r="S19" s="235" t="n"/>
      <c r="T19" s="235" t="n"/>
      <c r="U19" s="229" t="n"/>
      <c r="V19" s="113" t="n"/>
      <c r="W19" s="113" t="n"/>
      <c r="X19" s="113" t="n"/>
      <c r="Y19" s="227" t="n"/>
      <c r="Z19" s="227" t="n"/>
      <c r="AA19" s="227" t="n"/>
      <c r="AB19" s="81" t="n"/>
      <c r="AC19" s="180" t="n"/>
      <c r="AD19" s="180" t="n"/>
      <c r="AE19" s="99">
        <f>IF(COUNTA(B19,C19,D19,E19,F19,G19,H19,I19,J19,K19,L19,M19,N19,O19,P19,Q19,R19,S19,T19,U19,AC19,AD19)&gt;0,TEXTJOIN("；",TRUE,IF(B19="","缺少设备名称",""),IF(AND(ISTEXT(B19),OR(B19&lt;&gt;TRIM(B19),ISNUMBER(SEARCH("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",E19)))),"安装位置含首尾空格或全角空格",""),IF(F19="","缺少设备类别",""),IF(F19="","",IF(COUNTIF(EV_AXIAL_FAN_CATEGORY,F19)=0,"设备类别不在标准枚举中","")),IF(AND(ISTEXT(F19),OR(F19&lt;&gt;TRIM(F19),ISNUMBER(SEARCH("　",F19)))),"设备类别含首尾空格或全角空格",""),IF(G19="","缺少传动方式",""),IF(G19="","",IF(COUNTIF(EV_TRANSMISSION,G19)=0,"传动方式不在标准枚举中","")),IF(AND(ISTEXT(G19),OR(G19&lt;&gt;TRIM(G19),ISNUMBER(SEARCH("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",G19)))),"传动方式含首尾空格或全角空格",""),IF(H19="","缺少是否带进气箱",""),IF(H19="","",IF(COUNTIF(EV_YES_NO,H19)=0,"是否带进气箱不在标准枚举中","")),IF(AND(ISTEXT(H19),OR(H19&lt;&gt;TRIM(H19),ISNUMBER(SEARCH("　",H19)))),"是否带进气箱含首尾空格或全角空格",""),IF(I19="","缺少是否带扩散筒",""),IF(I19="","",IF(COUNTIF(EV_YES_NO,I19)=0,"是否带扩散筒不在标准枚举中","")),IF(AND(ISTEXT(I19),OR(I19&lt;&gt;TRIM(I19),ISNUMBER(SEARCH("　",I19)))),"是否带扩散筒含首尾空格或全角空格",""),IF(J19="","缺少是否动叶可调",""),IF(J19="","",IF(COUNTIF(EV_YES_NO,J19)=0,"是否动叶可调不在标准枚举中","")),IF(AND(ISTEXT(J19),OR(J19&lt;&gt;TRIM(J19),ISNUMBER(SEARCH("　",J19)))),"是否动叶可调含首尾空格或全角空格",""),IF(K19="","缺少是否可逆转",""),IF(K19="","",IF(COUNTIF(EV_YES_NO,K19)=0,"是否可逆转不在标准枚举中","")),IF(AND(ISTEXT(K19),OR(K19&lt;&gt;TRIM(K19),ISNUMBER(SEARCH("　",K19)))),"是否可逆转含首尾空格或全角空格",""),IF(L19="","缺少流量",""),IF(L19="","",IF(NOT(ISNUMBER(L19)),"流量应为数值",IF(L19&lt;=0,"流量应大于0",""))),IF(M19="","缺少风机压力pF",""),IF(M19="","",IF(NOT(ISNUMBER(M19)),"风机压力pF应为数值",IF(M19&lt;=0,"风机压力pF应大于0",""))),IF(N19="","缺少额定功率",""),IF(N19="","",IF(NOT(ISNUMBER(N19)),"额定功率应为数值",IF(N19&lt;=0,"额定功率应大于0",""))),IF(O19="","缺少叶轮功率",""),IF(O19="","",IF(NOT(ISNUMBER(O19)),"叶轮功率应为数值",IF(O19&lt;=0,"叶轮功率应大于0",""))),IF(P19="","缺少转速",""),IF(P19="","",IF(NOT(ISNUMBER(P19)),"转速应为数值",IF(P19&lt;=0,"转速应大于0",""))),IF(Q19="","缺少机号",""),IF(Q19="","",IF(NOT(ISNUMBER(Q19)),"机号应为数值",IF(Q19&lt;=0,"机号应大于0",""))),IF(R19="","缺少进口滞止密度",""),IF(R19="","",IF(NOT(ISNUMBER(R19)),"进口滞止密度应为数值",IF(R19&lt;=0,"进口滞止密度应大于0",""))),IF(S19="","缺少等熵指数k",""),IF(S19="","",IF(NOT(ISNUMBER(S19)),"等熵指数k应为数值",IF(OR(S19&lt;1,S19&gt;2),"等熵指数k应为1～2",""))),IF(T19="","缺少轮毂比",""),IF(T19="","",IF(NOT(ISNUMBER(T19)),"轮毂比应为数值",IF(OR(T19&lt;0,T19&gt;1),"轮毂比应为0～1",""))),IF(U19="","缺少最高通风机效率ηr",""),IF(U19="","",IF(NOT(ISNUMBER(U19)),"最高通风机效率ηr应为数值",IF(OR(U19&lt;1,U19&gt;100),"最高通风机效率ηr应为1～100的百分数本值",""))),IF(AC19="","缺少铭牌照片",""),IF(AND(ISTEXT(AD19),OR(AD19&lt;&gt;TRIM(AD19),ISNUMBER(SEARCH("　",AD19)))),"填表备注含首尾空格或全角空格",""),IF(AND(ISNUMBER(M19),M19&gt;30000),"风机压力超过30kPa，超出通风机标准范围",""),IF(AND(J19="是",H19="是"),"动叶可调特殊效率规则要求进口无进气箱",""),IF(AND(J19="是",I19="是"),"动叶可调特殊效率规则要求出口无扩散筒","")),"")</f>
        <v/>
      </c>
    </row>
    <row r="20" ht="42" customHeight="1" s="184">
      <c r="A20" s="224">
        <f>IF(COUNTA(B20,C20,D20,E20,F20,G20,H20,I20,J20,K20,L20,M20,N20,O20,P20,Q20,R20,S20,T20,U20,AC20,AD20)&gt;0,ROW()-3,"")</f>
        <v/>
      </c>
      <c r="B20" s="176" t="n"/>
      <c r="C20" s="176" t="n"/>
      <c r="D20" s="228" t="n"/>
      <c r="E20" s="176" t="n"/>
      <c r="F20" s="218" t="n"/>
      <c r="G20" s="218" t="n"/>
      <c r="H20" s="218" t="n"/>
      <c r="I20" s="218" t="n"/>
      <c r="J20" s="218" t="n"/>
      <c r="K20" s="218" t="n"/>
      <c r="L20" s="229" t="n"/>
      <c r="M20" s="229" t="n"/>
      <c r="N20" s="229" t="n"/>
      <c r="O20" s="229" t="n"/>
      <c r="P20" s="229" t="n"/>
      <c r="Q20" s="229" t="n"/>
      <c r="R20" s="229" t="n"/>
      <c r="S20" s="235" t="n"/>
      <c r="T20" s="235" t="n"/>
      <c r="U20" s="229" t="n"/>
      <c r="V20" s="113" t="n"/>
      <c r="W20" s="113" t="n"/>
      <c r="X20" s="113" t="n"/>
      <c r="Y20" s="227" t="n"/>
      <c r="Z20" s="227" t="n"/>
      <c r="AA20" s="227" t="n"/>
      <c r="AB20" s="81" t="n"/>
      <c r="AC20" s="180" t="n"/>
      <c r="AD20" s="180" t="n"/>
      <c r="AE20" s="99">
        <f>IF(COUNTA(B20,C20,D20,E20,F20,G20,H20,I20,J20,K20,L20,M20,N20,O20,P20,Q20,R20,S20,T20,U20,AC20,AD20)&gt;0,TEXTJOIN("；",TRUE,IF(B20="","缺少设备名称",""),IF(AND(ISTEXT(B20),OR(B20&lt;&gt;TRIM(B20),ISNUMBER(SEARCH("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",E20)))),"安装位置含首尾空格或全角空格",""),IF(F20="","缺少设备类别",""),IF(F20="","",IF(COUNTIF(EV_AXIAL_FAN_CATEGORY,F20)=0,"设备类别不在标准枚举中","")),IF(AND(ISTEXT(F20),OR(F20&lt;&gt;TRIM(F20),ISNUMBER(SEARCH("　",F20)))),"设备类别含首尾空格或全角空格",""),IF(G20="","缺少传动方式",""),IF(G20="","",IF(COUNTIF(EV_TRANSMISSION,G20)=0,"传动方式不在标准枚举中","")),IF(AND(ISTEXT(G20),OR(G20&lt;&gt;TRIM(G20),ISNUMBER(SEARCH("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",G20)))),"传动方式含首尾空格或全角空格",""),IF(H20="","缺少是否带进气箱",""),IF(H20="","",IF(COUNTIF(EV_YES_NO,H20)=0,"是否带进气箱不在标准枚举中","")),IF(AND(ISTEXT(H20),OR(H20&lt;&gt;TRIM(H20),ISNUMBER(SEARCH("　",H20)))),"是否带进气箱含首尾空格或全角空格",""),IF(I20="","缺少是否带扩散筒",""),IF(I20="","",IF(COUNTIF(EV_YES_NO,I20)=0,"是否带扩散筒不在标准枚举中","")),IF(AND(ISTEXT(I20),OR(I20&lt;&gt;TRIM(I20),ISNUMBER(SEARCH("　",I20)))),"是否带扩散筒含首尾空格或全角空格",""),IF(J20="","缺少是否动叶可调",""),IF(J20="","",IF(COUNTIF(EV_YES_NO,J20)=0,"是否动叶可调不在标准枚举中","")),IF(AND(ISTEXT(J20),OR(J20&lt;&gt;TRIM(J20),ISNUMBER(SEARCH("　",J20)))),"是否动叶可调含首尾空格或全角空格",""),IF(K20="","缺少是否可逆转",""),IF(K20="","",IF(COUNTIF(EV_YES_NO,K20)=0,"是否可逆转不在标准枚举中","")),IF(AND(ISTEXT(K20),OR(K20&lt;&gt;TRIM(K20),ISNUMBER(SEARCH("　",K20)))),"是否可逆转含首尾空格或全角空格",""),IF(L20="","缺少流量",""),IF(L20="","",IF(NOT(ISNUMBER(L20)),"流量应为数值",IF(L20&lt;=0,"流量应大于0",""))),IF(M20="","缺少风机压力pF",""),IF(M20="","",IF(NOT(ISNUMBER(M20)),"风机压力pF应为数值",IF(M20&lt;=0,"风机压力pF应大于0",""))),IF(N20="","缺少额定功率",""),IF(N20="","",IF(NOT(ISNUMBER(N20)),"额定功率应为数值",IF(N20&lt;=0,"额定功率应大于0",""))),IF(O20="","缺少叶轮功率",""),IF(O20="","",IF(NOT(ISNUMBER(O20)),"叶轮功率应为数值",IF(O20&lt;=0,"叶轮功率应大于0",""))),IF(P20="","缺少转速",""),IF(P20="","",IF(NOT(ISNUMBER(P20)),"转速应为数值",IF(P20&lt;=0,"转速应大于0",""))),IF(Q20="","缺少机号",""),IF(Q20="","",IF(NOT(ISNUMBER(Q20)),"机号应为数值",IF(Q20&lt;=0,"机号应大于0",""))),IF(R20="","缺少进口滞止密度",""),IF(R20="","",IF(NOT(ISNUMBER(R20)),"进口滞止密度应为数值",IF(R20&lt;=0,"进口滞止密度应大于0",""))),IF(S20="","缺少等熵指数k",""),IF(S20="","",IF(NOT(ISNUMBER(S20)),"等熵指数k应为数值",IF(OR(S20&lt;1,S20&gt;2),"等熵指数k应为1～2",""))),IF(T20="","缺少轮毂比",""),IF(T20="","",IF(NOT(ISNUMBER(T20)),"轮毂比应为数值",IF(OR(T20&lt;0,T20&gt;1),"轮毂比应为0～1",""))),IF(U20="","缺少最高通风机效率ηr",""),IF(U20="","",IF(NOT(ISNUMBER(U20)),"最高通风机效率ηr应为数值",IF(OR(U20&lt;1,U20&gt;100),"最高通风机效率ηr应为1～100的百分数本值",""))),IF(AC20="","缺少铭牌照片",""),IF(AND(ISTEXT(AD20),OR(AD20&lt;&gt;TRIM(AD20),ISNUMBER(SEARCH("　",AD20)))),"填表备注含首尾空格或全角空格",""),IF(AND(ISNUMBER(M20),M20&gt;30000),"风机压力超过30kPa，超出通风机标准范围",""),IF(AND(J20="是",H20="是"),"动叶可调特殊效率规则要求进口无进气箱",""),IF(AND(J20="是",I20="是"),"动叶可调特殊效率规则要求出口无扩散筒","")),"")</f>
        <v/>
      </c>
    </row>
    <row r="21" ht="42" customHeight="1" s="184">
      <c r="A21" s="224">
        <f>IF(COUNTA(B21,C21,D21,E21,F21,G21,H21,I21,J21,K21,L21,M21,N21,O21,P21,Q21,R21,S21,T21,U21,AC21,AD21)&gt;0,ROW()-3,"")</f>
        <v/>
      </c>
      <c r="B21" s="176" t="n"/>
      <c r="C21" s="176" t="n"/>
      <c r="D21" s="228" t="n"/>
      <c r="E21" s="176" t="n"/>
      <c r="F21" s="218" t="n"/>
      <c r="G21" s="218" t="n"/>
      <c r="H21" s="218" t="n"/>
      <c r="I21" s="218" t="n"/>
      <c r="J21" s="218" t="n"/>
      <c r="K21" s="218" t="n"/>
      <c r="L21" s="229" t="n"/>
      <c r="M21" s="229" t="n"/>
      <c r="N21" s="229" t="n"/>
      <c r="O21" s="229" t="n"/>
      <c r="P21" s="229" t="n"/>
      <c r="Q21" s="229" t="n"/>
      <c r="R21" s="229" t="n"/>
      <c r="S21" s="235" t="n"/>
      <c r="T21" s="235" t="n"/>
      <c r="U21" s="229" t="n"/>
      <c r="V21" s="113" t="n"/>
      <c r="W21" s="113" t="n"/>
      <c r="X21" s="113" t="n"/>
      <c r="Y21" s="227" t="n"/>
      <c r="Z21" s="227" t="n"/>
      <c r="AA21" s="227" t="n"/>
      <c r="AB21" s="81" t="n"/>
      <c r="AC21" s="180" t="n"/>
      <c r="AD21" s="180" t="n"/>
      <c r="AE21" s="99">
        <f>IF(COUNTA(B21,C21,D21,E21,F21,G21,H21,I21,J21,K21,L21,M21,N21,O21,P21,Q21,R21,S21,T21,U21,AC21,AD21)&gt;0,TEXTJOIN("；",TRUE,IF(B21="","缺少设备名称",""),IF(AND(ISTEXT(B21),OR(B21&lt;&gt;TRIM(B21),ISNUMBER(SEARCH("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",E21)))),"安装位置含首尾空格或全角空格",""),IF(F21="","缺少设备类别",""),IF(F21="","",IF(COUNTIF(EV_AXIAL_FAN_CATEGORY,F21)=0,"设备类别不在标准枚举中","")),IF(AND(ISTEXT(F21),OR(F21&lt;&gt;TRIM(F21),ISNUMBER(SEARCH("　",F21)))),"设备类别含首尾空格或全角空格",""),IF(G21="","缺少传动方式",""),IF(G21="","",IF(COUNTIF(EV_TRANSMISSION,G21)=0,"传动方式不在标准枚举中","")),IF(AND(ISTEXT(G21),OR(G21&lt;&gt;TRIM(G21),ISNUMBER(SEARCH("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",G21)))),"传动方式含首尾空格或全角空格",""),IF(H21="","缺少是否带进气箱",""),IF(H21="","",IF(COUNTIF(EV_YES_NO,H21)=0,"是否带进气箱不在标准枚举中","")),IF(AND(ISTEXT(H21),OR(H21&lt;&gt;TRIM(H21),ISNUMBER(SEARCH("　",H21)))),"是否带进气箱含首尾空格或全角空格",""),IF(I21="","缺少是否带扩散筒",""),IF(I21="","",IF(COUNTIF(EV_YES_NO,I21)=0,"是否带扩散筒不在标准枚举中","")),IF(AND(ISTEXT(I21),OR(I21&lt;&gt;TRIM(I21),ISNUMBER(SEARCH("　",I21)))),"是否带扩散筒含首尾空格或全角空格",""),IF(J21="","缺少是否动叶可调",""),IF(J21="","",IF(COUNTIF(EV_YES_NO,J21)=0,"是否动叶可调不在标准枚举中","")),IF(AND(ISTEXT(J21),OR(J21&lt;&gt;TRIM(J21),ISNUMBER(SEARCH("　",J21)))),"是否动叶可调含首尾空格或全角空格",""),IF(K21="","缺少是否可逆转",""),IF(K21="","",IF(COUNTIF(EV_YES_NO,K21)=0,"是否可逆转不在标准枚举中","")),IF(AND(ISTEXT(K21),OR(K21&lt;&gt;TRIM(K21),ISNUMBER(SEARCH("　",K21)))),"是否可逆转含首尾空格或全角空格",""),IF(L21="","缺少流量",""),IF(L21="","",IF(NOT(ISNUMBER(L21)),"流量应为数值",IF(L21&lt;=0,"流量应大于0",""))),IF(M21="","缺少风机压力pF",""),IF(M21="","",IF(NOT(ISNUMBER(M21)),"风机压力pF应为数值",IF(M21&lt;=0,"风机压力pF应大于0",""))),IF(N21="","缺少额定功率",""),IF(N21="","",IF(NOT(ISNUMBER(N21)),"额定功率应为数值",IF(N21&lt;=0,"额定功率应大于0",""))),IF(O21="","缺少叶轮功率",""),IF(O21="","",IF(NOT(ISNUMBER(O21)),"叶轮功率应为数值",IF(O21&lt;=0,"叶轮功率应大于0",""))),IF(P21="","缺少转速",""),IF(P21="","",IF(NOT(ISNUMBER(P21)),"转速应为数值",IF(P21&lt;=0,"转速应大于0",""))),IF(Q21="","缺少机号",""),IF(Q21="","",IF(NOT(ISNUMBER(Q21)),"机号应为数值",IF(Q21&lt;=0,"机号应大于0",""))),IF(R21="","缺少进口滞止密度",""),IF(R21="","",IF(NOT(ISNUMBER(R21)),"进口滞止密度应为数值",IF(R21&lt;=0,"进口滞止密度应大于0",""))),IF(S21="","缺少等熵指数k",""),IF(S21="","",IF(NOT(ISNUMBER(S21)),"等熵指数k应为数值",IF(OR(S21&lt;1,S21&gt;2),"等熵指数k应为1～2",""))),IF(T21="","缺少轮毂比",""),IF(T21="","",IF(NOT(ISNUMBER(T21)),"轮毂比应为数值",IF(OR(T21&lt;0,T21&gt;1),"轮毂比应为0～1",""))),IF(U21="","缺少最高通风机效率ηr",""),IF(U21="","",IF(NOT(ISNUMBER(U21)),"最高通风机效率ηr应为数值",IF(OR(U21&lt;1,U21&gt;100),"最高通风机效率ηr应为1～100的百分数本值",""))),IF(AC21="","缺少铭牌照片",""),IF(AND(ISTEXT(AD21),OR(AD21&lt;&gt;TRIM(AD21),ISNUMBER(SEARCH("　",AD21)))),"填表备注含首尾空格或全角空格",""),IF(AND(ISNUMBER(M21),M21&gt;30000),"风机压力超过30kPa，超出通风机标准范围",""),IF(AND(J21="是",H21="是"),"动叶可调特殊效率规则要求进口无进气箱",""),IF(AND(J21="是",I21="是"),"动叶可调特殊效率规则要求出口无扩散筒","")),"")</f>
        <v/>
      </c>
    </row>
    <row r="22" ht="42" customHeight="1" s="184">
      <c r="A22" s="224">
        <f>IF(COUNTA(B22,C22,D22,E22,F22,G22,H22,I22,J22,K22,L22,M22,N22,O22,P22,Q22,R22,S22,T22,U22,AC22,AD22)&gt;0,ROW()-3,"")</f>
        <v/>
      </c>
      <c r="B22" s="176" t="n"/>
      <c r="C22" s="176" t="n"/>
      <c r="D22" s="228" t="n"/>
      <c r="E22" s="176" t="n"/>
      <c r="F22" s="218" t="n"/>
      <c r="G22" s="218" t="n"/>
      <c r="H22" s="218" t="n"/>
      <c r="I22" s="218" t="n"/>
      <c r="J22" s="218" t="n"/>
      <c r="K22" s="218" t="n"/>
      <c r="L22" s="229" t="n"/>
      <c r="M22" s="229" t="n"/>
      <c r="N22" s="229" t="n"/>
      <c r="O22" s="229" t="n"/>
      <c r="P22" s="229" t="n"/>
      <c r="Q22" s="229" t="n"/>
      <c r="R22" s="229" t="n"/>
      <c r="S22" s="235" t="n"/>
      <c r="T22" s="235" t="n"/>
      <c r="U22" s="229" t="n"/>
      <c r="V22" s="113" t="n"/>
      <c r="W22" s="113" t="n"/>
      <c r="X22" s="113" t="n"/>
      <c r="Y22" s="227" t="n"/>
      <c r="Z22" s="227" t="n"/>
      <c r="AA22" s="227" t="n"/>
      <c r="AB22" s="81" t="n"/>
      <c r="AC22" s="180" t="n"/>
      <c r="AD22" s="180" t="n"/>
      <c r="AE22" s="99">
        <f>IF(COUNTA(B22,C22,D22,E22,F22,G22,H22,I22,J22,K22,L22,M22,N22,O22,P22,Q22,R22,S22,T22,U22,AC22,AD22)&gt;0,TEXTJOIN("；",TRUE,IF(B22="","缺少设备名称",""),IF(AND(ISTEXT(B22),OR(B22&lt;&gt;TRIM(B22),ISNUMBER(SEARCH("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",E22)))),"安装位置含首尾空格或全角空格",""),IF(F22="","缺少设备类别",""),IF(F22="","",IF(COUNTIF(EV_AXIAL_FAN_CATEGORY,F22)=0,"设备类别不在标准枚举中","")),IF(AND(ISTEXT(F22),OR(F22&lt;&gt;TRIM(F22),ISNUMBER(SEARCH("　",F22)))),"设备类别含首尾空格或全角空格",""),IF(G22="","缺少传动方式",""),IF(G22="","",IF(COUNTIF(EV_TRANSMISSION,G22)=0,"传动方式不在标准枚举中","")),IF(AND(ISTEXT(G22),OR(G22&lt;&gt;TRIM(G22),ISNUMBER(SEARCH("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",G22)))),"传动方式含首尾空格或全角空格",""),IF(H22="","缺少是否带进气箱",""),IF(H22="","",IF(COUNTIF(EV_YES_NO,H22)=0,"是否带进气箱不在标准枚举中","")),IF(AND(ISTEXT(H22),OR(H22&lt;&gt;TRIM(H22),ISNUMBER(SEARCH("　",H22)))),"是否带进气箱含首尾空格或全角空格",""),IF(I22="","缺少是否带扩散筒",""),IF(I22="","",IF(COUNTIF(EV_YES_NO,I22)=0,"是否带扩散筒不在标准枚举中","")),IF(AND(ISTEXT(I22),OR(I22&lt;&gt;TRIM(I22),ISNUMBER(SEARCH("　",I22)))),"是否带扩散筒含首尾空格或全角空格",""),IF(J22="","缺少是否动叶可调",""),IF(J22="","",IF(COUNTIF(EV_YES_NO,J22)=0,"是否动叶可调不在标准枚举中","")),IF(AND(ISTEXT(J22),OR(J22&lt;&gt;TRIM(J22),ISNUMBER(SEARCH("　",J22)))),"是否动叶可调含首尾空格或全角空格",""),IF(K22="","缺少是否可逆转",""),IF(K22="","",IF(COUNTIF(EV_YES_NO,K22)=0,"是否可逆转不在标准枚举中","")),IF(AND(ISTEXT(K22),OR(K22&lt;&gt;TRIM(K22),ISNUMBER(SEARCH("　",K22)))),"是否可逆转含首尾空格或全角空格",""),IF(L22="","缺少流量",""),IF(L22="","",IF(NOT(ISNUMBER(L22)),"流量应为数值",IF(L22&lt;=0,"流量应大于0",""))),IF(M22="","缺少风机压力pF",""),IF(M22="","",IF(NOT(ISNUMBER(M22)),"风机压力pF应为数值",IF(M22&lt;=0,"风机压力pF应大于0",""))),IF(N22="","缺少额定功率",""),IF(N22="","",IF(NOT(ISNUMBER(N22)),"额定功率应为数值",IF(N22&lt;=0,"额定功率应大于0",""))),IF(O22="","缺少叶轮功率",""),IF(O22="","",IF(NOT(ISNUMBER(O22)),"叶轮功率应为数值",IF(O22&lt;=0,"叶轮功率应大于0",""))),IF(P22="","缺少转速",""),IF(P22="","",IF(NOT(ISNUMBER(P22)),"转速应为数值",IF(P22&lt;=0,"转速应大于0",""))),IF(Q22="","缺少机号",""),IF(Q22="","",IF(NOT(ISNUMBER(Q22)),"机号应为数值",IF(Q22&lt;=0,"机号应大于0",""))),IF(R22="","缺少进口滞止密度",""),IF(R22="","",IF(NOT(ISNUMBER(R22)),"进口滞止密度应为数值",IF(R22&lt;=0,"进口滞止密度应大于0",""))),IF(S22="","缺少等熵指数k",""),IF(S22="","",IF(NOT(ISNUMBER(S22)),"等熵指数k应为数值",IF(OR(S22&lt;1,S22&gt;2),"等熵指数k应为1～2",""))),IF(T22="","缺少轮毂比",""),IF(T22="","",IF(NOT(ISNUMBER(T22)),"轮毂比应为数值",IF(OR(T22&lt;0,T22&gt;1),"轮毂比应为0～1",""))),IF(U22="","缺少最高通风机效率ηr",""),IF(U22="","",IF(NOT(ISNUMBER(U22)),"最高通风机效率ηr应为数值",IF(OR(U22&lt;1,U22&gt;100),"最高通风机效率ηr应为1～100的百分数本值",""))),IF(AC22="","缺少铭牌照片",""),IF(AND(ISTEXT(AD22),OR(AD22&lt;&gt;TRIM(AD22),ISNUMBER(SEARCH("　",AD22)))),"填表备注含首尾空格或全角空格",""),IF(AND(ISNUMBER(M22),M22&gt;30000),"风机压力超过30kPa，超出通风机标准范围",""),IF(AND(J22="是",H22="是"),"动叶可调特殊效率规则要求进口无进气箱",""),IF(AND(J22="是",I22="是"),"动叶可调特殊效率规则要求出口无扩散筒","")),"")</f>
        <v/>
      </c>
    </row>
    <row r="23" ht="42" customHeight="1" s="184">
      <c r="A23" s="224">
        <f>IF(COUNTA(B23,C23,D23,E23,F23,G23,H23,I23,J23,K23,L23,M23,N23,O23,P23,Q23,R23,S23,T23,U23,AC23,AD23)&gt;0,ROW()-3,"")</f>
        <v/>
      </c>
      <c r="B23" s="176" t="n"/>
      <c r="C23" s="176" t="n"/>
      <c r="D23" s="228" t="n"/>
      <c r="E23" s="176" t="n"/>
      <c r="F23" s="218" t="n"/>
      <c r="G23" s="218" t="n"/>
      <c r="H23" s="218" t="n"/>
      <c r="I23" s="218" t="n"/>
      <c r="J23" s="218" t="n"/>
      <c r="K23" s="218" t="n"/>
      <c r="L23" s="229" t="n"/>
      <c r="M23" s="229" t="n"/>
      <c r="N23" s="229" t="n"/>
      <c r="O23" s="229" t="n"/>
      <c r="P23" s="229" t="n"/>
      <c r="Q23" s="229" t="n"/>
      <c r="R23" s="229" t="n"/>
      <c r="S23" s="235" t="n"/>
      <c r="T23" s="235" t="n"/>
      <c r="U23" s="229" t="n"/>
      <c r="V23" s="113" t="n"/>
      <c r="W23" s="113" t="n"/>
      <c r="X23" s="113" t="n"/>
      <c r="Y23" s="227" t="n"/>
      <c r="Z23" s="227" t="n"/>
      <c r="AA23" s="227" t="n"/>
      <c r="AB23" s="81" t="n"/>
      <c r="AC23" s="180" t="n"/>
      <c r="AD23" s="180" t="n"/>
      <c r="AE23" s="99">
        <f>IF(COUNTA(B23,C23,D23,E23,F23,G23,H23,I23,J23,K23,L23,M23,N23,O23,P23,Q23,R23,S23,T23,U23,AC23,AD23)&gt;0,TEXTJOIN("；",TRUE,IF(B23="","缺少设备名称",""),IF(AND(ISTEXT(B23),OR(B23&lt;&gt;TRIM(B23),ISNUMBER(SEARCH("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",E23)))),"安装位置含首尾空格或全角空格",""),IF(F23="","缺少设备类别",""),IF(F23="","",IF(COUNTIF(EV_AXIAL_FAN_CATEGORY,F23)=0,"设备类别不在标准枚举中","")),IF(AND(ISTEXT(F23),OR(F23&lt;&gt;TRIM(F23),ISNUMBER(SEARCH("　",F23)))),"设备类别含首尾空格或全角空格",""),IF(G23="","缺少传动方式",""),IF(G23="","",IF(COUNTIF(EV_TRANSMISSION,G23)=0,"传动方式不在标准枚举中","")),IF(AND(ISTEXT(G23),OR(G23&lt;&gt;TRIM(G23),ISNUMBER(SEARCH("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",G23)))),"传动方式含首尾空格或全角空格",""),IF(H23="","缺少是否带进气箱",""),IF(H23="","",IF(COUNTIF(EV_YES_NO,H23)=0,"是否带进气箱不在标准枚举中","")),IF(AND(ISTEXT(H23),OR(H23&lt;&gt;TRIM(H23),ISNUMBER(SEARCH("　",H23)))),"是否带进气箱含首尾空格或全角空格",""),IF(I23="","缺少是否带扩散筒",""),IF(I23="","",IF(COUNTIF(EV_YES_NO,I23)=0,"是否带扩散筒不在标准枚举中","")),IF(AND(ISTEXT(I23),OR(I23&lt;&gt;TRIM(I23),ISNUMBER(SEARCH("　",I23)))),"是否带扩散筒含首尾空格或全角空格",""),IF(J23="","缺少是否动叶可调",""),IF(J23="","",IF(COUNTIF(EV_YES_NO,J23)=0,"是否动叶可调不在标准枚举中","")),IF(AND(ISTEXT(J23),OR(J23&lt;&gt;TRIM(J23),ISNUMBER(SEARCH("　",J23)))),"是否动叶可调含首尾空格或全角空格",""),IF(K23="","缺少是否可逆转",""),IF(K23="","",IF(COUNTIF(EV_YES_NO,K23)=0,"是否可逆转不在标准枚举中","")),IF(AND(ISTEXT(K23),OR(K23&lt;&gt;TRIM(K23),ISNUMBER(SEARCH("　",K23)))),"是否可逆转含首尾空格或全角空格",""),IF(L23="","缺少流量",""),IF(L23="","",IF(NOT(ISNUMBER(L23)),"流量应为数值",IF(L23&lt;=0,"流量应大于0",""))),IF(M23="","缺少风机压力pF",""),IF(M23="","",IF(NOT(ISNUMBER(M23)),"风机压力pF应为数值",IF(M23&lt;=0,"风机压力pF应大于0",""))),IF(N23="","缺少额定功率",""),IF(N23="","",IF(NOT(ISNUMBER(N23)),"额定功率应为数值",IF(N23&lt;=0,"额定功率应大于0",""))),IF(O23="","缺少叶轮功率",""),IF(O23="","",IF(NOT(ISNUMBER(O23)),"叶轮功率应为数值",IF(O23&lt;=0,"叶轮功率应大于0",""))),IF(P23="","缺少转速",""),IF(P23="","",IF(NOT(ISNUMBER(P23)),"转速应为数值",IF(P23&lt;=0,"转速应大于0",""))),IF(Q23="","缺少机号",""),IF(Q23="","",IF(NOT(ISNUMBER(Q23)),"机号应为数值",IF(Q23&lt;=0,"机号应大于0",""))),IF(R23="","缺少进口滞止密度",""),IF(R23="","",IF(NOT(ISNUMBER(R23)),"进口滞止密度应为数值",IF(R23&lt;=0,"进口滞止密度应大于0",""))),IF(S23="","缺少等熵指数k",""),IF(S23="","",IF(NOT(ISNUMBER(S23)),"等熵指数k应为数值",IF(OR(S23&lt;1,S23&gt;2),"等熵指数k应为1～2",""))),IF(T23="","缺少轮毂比",""),IF(T23="","",IF(NOT(ISNUMBER(T23)),"轮毂比应为数值",IF(OR(T23&lt;0,T23&gt;1),"轮毂比应为0～1",""))),IF(U23="","缺少最高通风机效率ηr",""),IF(U23="","",IF(NOT(ISNUMBER(U23)),"最高通风机效率ηr应为数值",IF(OR(U23&lt;1,U23&gt;100),"最高通风机效率ηr应为1～100的百分数本值",""))),IF(AC23="","缺少铭牌照片",""),IF(AND(ISTEXT(AD23),OR(AD23&lt;&gt;TRIM(AD23),ISNUMBER(SEARCH("　",AD23)))),"填表备注含首尾空格或全角空格",""),IF(AND(ISNUMBER(M23),M23&gt;30000),"风机压力超过30kPa，超出通风机标准范围",""),IF(AND(J23="是",H23="是"),"动叶可调特殊效率规则要求进口无进气箱",""),IF(AND(J23="是",I23="是"),"动叶可调特殊效率规则要求出口无扩散筒","")),"")</f>
        <v/>
      </c>
    </row>
    <row r="24" ht="42" customHeight="1" s="184">
      <c r="A24" s="224">
        <f>IF(COUNTA(B24,C24,D24,E24,F24,G24,H24,I24,J24,K24,L24,M24,N24,O24,P24,Q24,R24,S24,T24,U24,AC24,AD24)&gt;0,ROW()-3,"")</f>
        <v/>
      </c>
      <c r="B24" s="176" t="n"/>
      <c r="C24" s="176" t="n"/>
      <c r="D24" s="228" t="n"/>
      <c r="E24" s="176" t="n"/>
      <c r="F24" s="218" t="n"/>
      <c r="G24" s="218" t="n"/>
      <c r="H24" s="218" t="n"/>
      <c r="I24" s="218" t="n"/>
      <c r="J24" s="218" t="n"/>
      <c r="K24" s="218" t="n"/>
      <c r="L24" s="229" t="n"/>
      <c r="M24" s="229" t="n"/>
      <c r="N24" s="229" t="n"/>
      <c r="O24" s="229" t="n"/>
      <c r="P24" s="229" t="n"/>
      <c r="Q24" s="229" t="n"/>
      <c r="R24" s="229" t="n"/>
      <c r="S24" s="235" t="n"/>
      <c r="T24" s="235" t="n"/>
      <c r="U24" s="229" t="n"/>
      <c r="V24" s="113" t="n"/>
      <c r="W24" s="113" t="n"/>
      <c r="X24" s="113" t="n"/>
      <c r="Y24" s="227" t="n"/>
      <c r="Z24" s="227" t="n"/>
      <c r="AA24" s="227" t="n"/>
      <c r="AB24" s="81" t="n"/>
      <c r="AC24" s="180" t="n"/>
      <c r="AD24" s="180" t="n"/>
      <c r="AE24" s="99">
        <f>IF(COUNTA(B24,C24,D24,E24,F24,G24,H24,I24,J24,K24,L24,M24,N24,O24,P24,Q24,R24,S24,T24,U24,AC24,AD24)&gt;0,TEXTJOIN("；",TRUE,IF(B24="","缺少设备名称",""),IF(AND(ISTEXT(B24),OR(B24&lt;&gt;TRIM(B24),ISNUMBER(SEARCH("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",E24)))),"安装位置含首尾空格或全角空格",""),IF(F24="","缺少设备类别",""),IF(F24="","",IF(COUNTIF(EV_AXIAL_FAN_CATEGORY,F24)=0,"设备类别不在标准枚举中","")),IF(AND(ISTEXT(F24),OR(F24&lt;&gt;TRIM(F24),ISNUMBER(SEARCH("　",F24)))),"设备类别含首尾空格或全角空格",""),IF(G24="","缺少传动方式",""),IF(G24="","",IF(COUNTIF(EV_TRANSMISSION,G24)=0,"传动方式不在标准枚举中","")),IF(AND(ISTEXT(G24),OR(G24&lt;&gt;TRIM(G24),ISNUMBER(SEARCH("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",G24)))),"传动方式含首尾空格或全角空格",""),IF(H24="","缺少是否带进气箱",""),IF(H24="","",IF(COUNTIF(EV_YES_NO,H24)=0,"是否带进气箱不在标准枚举中","")),IF(AND(ISTEXT(H24),OR(H24&lt;&gt;TRIM(H24),ISNUMBER(SEARCH("　",H24)))),"是否带进气箱含首尾空格或全角空格",""),IF(I24="","缺少是否带扩散筒",""),IF(I24="","",IF(COUNTIF(EV_YES_NO,I24)=0,"是否带扩散筒不在标准枚举中","")),IF(AND(ISTEXT(I24),OR(I24&lt;&gt;TRIM(I24),ISNUMBER(SEARCH("　",I24)))),"是否带扩散筒含首尾空格或全角空格",""),IF(J24="","缺少是否动叶可调",""),IF(J24="","",IF(COUNTIF(EV_YES_NO,J24)=0,"是否动叶可调不在标准枚举中","")),IF(AND(ISTEXT(J24),OR(J24&lt;&gt;TRIM(J24),ISNUMBER(SEARCH("　",J24)))),"是否动叶可调含首尾空格或全角空格",""),IF(K24="","缺少是否可逆转",""),IF(K24="","",IF(COUNTIF(EV_YES_NO,K24)=0,"是否可逆转不在标准枚举中","")),IF(AND(ISTEXT(K24),OR(K24&lt;&gt;TRIM(K24),ISNUMBER(SEARCH("　",K24)))),"是否可逆转含首尾空格或全角空格",""),IF(L24="","缺少流量",""),IF(L24="","",IF(NOT(ISNUMBER(L24)),"流量应为数值",IF(L24&lt;=0,"流量应大于0",""))),IF(M24="","缺少风机压力pF",""),IF(M24="","",IF(NOT(ISNUMBER(M24)),"风机压力pF应为数值",IF(M24&lt;=0,"风机压力pF应大于0",""))),IF(N24="","缺少额定功率",""),IF(N24="","",IF(NOT(ISNUMBER(N24)),"额定功率应为数值",IF(N24&lt;=0,"额定功率应大于0",""))),IF(O24="","缺少叶轮功率",""),IF(O24="","",IF(NOT(ISNUMBER(O24)),"叶轮功率应为数值",IF(O24&lt;=0,"叶轮功率应大于0",""))),IF(P24="","缺少转速",""),IF(P24="","",IF(NOT(ISNUMBER(P24)),"转速应为数值",IF(P24&lt;=0,"转速应大于0",""))),IF(Q24="","缺少机号",""),IF(Q24="","",IF(NOT(ISNUMBER(Q24)),"机号应为数值",IF(Q24&lt;=0,"机号应大于0",""))),IF(R24="","缺少进口滞止密度",""),IF(R24="","",IF(NOT(ISNUMBER(R24)),"进口滞止密度应为数值",IF(R24&lt;=0,"进口滞止密度应大于0",""))),IF(S24="","缺少等熵指数k",""),IF(S24="","",IF(NOT(ISNUMBER(S24)),"等熵指数k应为数值",IF(OR(S24&lt;1,S24&gt;2),"等熵指数k应为1～2",""))),IF(T24="","缺少轮毂比",""),IF(T24="","",IF(NOT(ISNUMBER(T24)),"轮毂比应为数值",IF(OR(T24&lt;0,T24&gt;1),"轮毂比应为0～1",""))),IF(U24="","缺少最高通风机效率ηr",""),IF(U24="","",IF(NOT(ISNUMBER(U24)),"最高通风机效率ηr应为数值",IF(OR(U24&lt;1,U24&gt;100),"最高通风机效率ηr应为1～100的百分数本值",""))),IF(AC24="","缺少铭牌照片",""),IF(AND(ISTEXT(AD24),OR(AD24&lt;&gt;TRIM(AD24),ISNUMBER(SEARCH("　",AD24)))),"填表备注含首尾空格或全角空格",""),IF(AND(ISNUMBER(M24),M24&gt;30000),"风机压力超过30kPa，超出通风机标准范围",""),IF(AND(J24="是",H24="是"),"动叶可调特殊效率规则要求进口无进气箱",""),IF(AND(J24="是",I24="是"),"动叶可调特殊效率规则要求出口无扩散筒","")),"")</f>
        <v/>
      </c>
    </row>
    <row r="25" ht="42" customHeight="1" s="184">
      <c r="A25" s="224">
        <f>IF(COUNTA(B25,C25,D25,E25,F25,G25,H25,I25,J25,K25,L25,M25,N25,O25,P25,Q25,R25,S25,T25,U25,AC25,AD25)&gt;0,ROW()-3,"")</f>
        <v/>
      </c>
      <c r="B25" s="176" t="n"/>
      <c r="C25" s="176" t="n"/>
      <c r="D25" s="228" t="n"/>
      <c r="E25" s="176" t="n"/>
      <c r="F25" s="218" t="n"/>
      <c r="G25" s="218" t="n"/>
      <c r="H25" s="218" t="n"/>
      <c r="I25" s="218" t="n"/>
      <c r="J25" s="218" t="n"/>
      <c r="K25" s="218" t="n"/>
      <c r="L25" s="229" t="n"/>
      <c r="M25" s="229" t="n"/>
      <c r="N25" s="229" t="n"/>
      <c r="O25" s="229" t="n"/>
      <c r="P25" s="229" t="n"/>
      <c r="Q25" s="229" t="n"/>
      <c r="R25" s="229" t="n"/>
      <c r="S25" s="235" t="n"/>
      <c r="T25" s="235" t="n"/>
      <c r="U25" s="229" t="n"/>
      <c r="V25" s="113" t="n"/>
      <c r="W25" s="113" t="n"/>
      <c r="X25" s="113" t="n"/>
      <c r="Y25" s="227" t="n"/>
      <c r="Z25" s="227" t="n"/>
      <c r="AA25" s="227" t="n"/>
      <c r="AB25" s="81" t="n"/>
      <c r="AC25" s="180" t="n"/>
      <c r="AD25" s="180" t="n"/>
      <c r="AE25" s="99">
        <f>IF(COUNTA(B25,C25,D25,E25,F25,G25,H25,I25,J25,K25,L25,M25,N25,O25,P25,Q25,R25,S25,T25,U25,AC25,AD25)&gt;0,TEXTJOIN("；",TRUE,IF(B25="","缺少设备名称",""),IF(AND(ISTEXT(B25),OR(B25&lt;&gt;TRIM(B25),ISNUMBER(SEARCH("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",E25)))),"安装位置含首尾空格或全角空格",""),IF(F25="","缺少设备类别",""),IF(F25="","",IF(COUNTIF(EV_AXIAL_FAN_CATEGORY,F25)=0,"设备类别不在标准枚举中","")),IF(AND(ISTEXT(F25),OR(F25&lt;&gt;TRIM(F25),ISNUMBER(SEARCH("　",F25)))),"设备类别含首尾空格或全角空格",""),IF(G25="","缺少传动方式",""),IF(G25="","",IF(COUNTIF(EV_TRANSMISSION,G25)=0,"传动方式不在标准枚举中","")),IF(AND(ISTEXT(G25),OR(G25&lt;&gt;TRIM(G25),ISNUMBER(SEARCH("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",G25)))),"传动方式含首尾空格或全角空格",""),IF(H25="","缺少是否带进气箱",""),IF(H25="","",IF(COUNTIF(EV_YES_NO,H25)=0,"是否带进气箱不在标准枚举中","")),IF(AND(ISTEXT(H25),OR(H25&lt;&gt;TRIM(H25),ISNUMBER(SEARCH("　",H25)))),"是否带进气箱含首尾空格或全角空格",""),IF(I25="","缺少是否带扩散筒",""),IF(I25="","",IF(COUNTIF(EV_YES_NO,I25)=0,"是否带扩散筒不在标准枚举中","")),IF(AND(ISTEXT(I25),OR(I25&lt;&gt;TRIM(I25),ISNUMBER(SEARCH("　",I25)))),"是否带扩散筒含首尾空格或全角空格",""),IF(J25="","缺少是否动叶可调",""),IF(J25="","",IF(COUNTIF(EV_YES_NO,J25)=0,"是否动叶可调不在标准枚举中","")),IF(AND(ISTEXT(J25),OR(J25&lt;&gt;TRIM(J25),ISNUMBER(SEARCH("　",J25)))),"是否动叶可调含首尾空格或全角空格",""),IF(K25="","缺少是否可逆转",""),IF(K25="","",IF(COUNTIF(EV_YES_NO,K25)=0,"是否可逆转不在标准枚举中","")),IF(AND(ISTEXT(K25),OR(K25&lt;&gt;TRIM(K25),ISNUMBER(SEARCH("　",K25)))),"是否可逆转含首尾空格或全角空格",""),IF(L25="","缺少流量",""),IF(L25="","",IF(NOT(ISNUMBER(L25)),"流量应为数值",IF(L25&lt;=0,"流量应大于0",""))),IF(M25="","缺少风机压力pF",""),IF(M25="","",IF(NOT(ISNUMBER(M25)),"风机压力pF应为数值",IF(M25&lt;=0,"风机压力pF应大于0",""))),IF(N25="","缺少额定功率",""),IF(N25="","",IF(NOT(ISNUMBER(N25)),"额定功率应为数值",IF(N25&lt;=0,"额定功率应大于0",""))),IF(O25="","缺少叶轮功率",""),IF(O25="","",IF(NOT(ISNUMBER(O25)),"叶轮功率应为数值",IF(O25&lt;=0,"叶轮功率应大于0",""))),IF(P25="","缺少转速",""),IF(P25="","",IF(NOT(ISNUMBER(P25)),"转速应为数值",IF(P25&lt;=0,"转速应大于0",""))),IF(Q25="","缺少机号",""),IF(Q25="","",IF(NOT(ISNUMBER(Q25)),"机号应为数值",IF(Q25&lt;=0,"机号应大于0",""))),IF(R25="","缺少进口滞止密度",""),IF(R25="","",IF(NOT(ISNUMBER(R25)),"进口滞止密度应为数值",IF(R25&lt;=0,"进口滞止密度应大于0",""))),IF(S25="","缺少等熵指数k",""),IF(S25="","",IF(NOT(ISNUMBER(S25)),"等熵指数k应为数值",IF(OR(S25&lt;1,S25&gt;2),"等熵指数k应为1～2",""))),IF(T25="","缺少轮毂比",""),IF(T25="","",IF(NOT(ISNUMBER(T25)),"轮毂比应为数值",IF(OR(T25&lt;0,T25&gt;1),"轮毂比应为0～1",""))),IF(U25="","缺少最高通风机效率ηr",""),IF(U25="","",IF(NOT(ISNUMBER(U25)),"最高通风机效率ηr应为数值",IF(OR(U25&lt;1,U25&gt;100),"最高通风机效率ηr应为1～100的百分数本值",""))),IF(AC25="","缺少铭牌照片",""),IF(AND(ISTEXT(AD25),OR(AD25&lt;&gt;TRIM(AD25),ISNUMBER(SEARCH("　",AD25)))),"填表备注含首尾空格或全角空格",""),IF(AND(ISNUMBER(M25),M25&gt;30000),"风机压力超过30kPa，超出通风机标准范围",""),IF(AND(J25="是",H25="是"),"动叶可调特殊效率规则要求进口无进气箱",""),IF(AND(J25="是",I25="是"),"动叶可调特殊效率规则要求出口无扩散筒","")),"")</f>
        <v/>
      </c>
    </row>
    <row r="26" ht="42" customHeight="1" s="184">
      <c r="A26" s="224">
        <f>IF(COUNTA(B26,C26,D26,E26,F26,G26,H26,I26,J26,K26,L26,M26,N26,O26,P26,Q26,R26,S26,T26,U26,AC26,AD26)&gt;0,ROW()-3,"")</f>
        <v/>
      </c>
      <c r="B26" s="176" t="n"/>
      <c r="C26" s="176" t="n"/>
      <c r="D26" s="228" t="n"/>
      <c r="E26" s="176" t="n"/>
      <c r="F26" s="218" t="n"/>
      <c r="G26" s="218" t="n"/>
      <c r="H26" s="218" t="n"/>
      <c r="I26" s="218" t="n"/>
      <c r="J26" s="218" t="n"/>
      <c r="K26" s="218" t="n"/>
      <c r="L26" s="229" t="n"/>
      <c r="M26" s="229" t="n"/>
      <c r="N26" s="229" t="n"/>
      <c r="O26" s="229" t="n"/>
      <c r="P26" s="229" t="n"/>
      <c r="Q26" s="229" t="n"/>
      <c r="R26" s="229" t="n"/>
      <c r="S26" s="235" t="n"/>
      <c r="T26" s="235" t="n"/>
      <c r="U26" s="229" t="n"/>
      <c r="V26" s="113" t="n"/>
      <c r="W26" s="113" t="n"/>
      <c r="X26" s="113" t="n"/>
      <c r="Y26" s="227" t="n"/>
      <c r="Z26" s="227" t="n"/>
      <c r="AA26" s="227" t="n"/>
      <c r="AB26" s="81" t="n"/>
      <c r="AC26" s="180" t="n"/>
      <c r="AD26" s="180" t="n"/>
      <c r="AE26" s="99">
        <f>IF(COUNTA(B26,C26,D26,E26,F26,G26,H26,I26,J26,K26,L26,M26,N26,O26,P26,Q26,R26,S26,T26,U26,AC26,AD26)&gt;0,TEXTJOIN("；",TRUE,IF(B26="","缺少设备名称",""),IF(AND(ISTEXT(B26),OR(B26&lt;&gt;TRIM(B26),ISNUMBER(SEARCH("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",E26)))),"安装位置含首尾空格或全角空格",""),IF(F26="","缺少设备类别",""),IF(F26="","",IF(COUNTIF(EV_AXIAL_FAN_CATEGORY,F26)=0,"设备类别不在标准枚举中","")),IF(AND(ISTEXT(F26),OR(F26&lt;&gt;TRIM(F26),ISNUMBER(SEARCH("　",F26)))),"设备类别含首尾空格或全角空格",""),IF(G26="","缺少传动方式",""),IF(G26="","",IF(COUNTIF(EV_TRANSMISSION,G26)=0,"传动方式不在标准枚举中","")),IF(AND(ISTEXT(G26),OR(G26&lt;&gt;TRIM(G26),ISNUMBER(SEARCH("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",G26)))),"传动方式含首尾空格或全角空格",""),IF(H26="","缺少是否带进气箱",""),IF(H26="","",IF(COUNTIF(EV_YES_NO,H26)=0,"是否带进气箱不在标准枚举中","")),IF(AND(ISTEXT(H26),OR(H26&lt;&gt;TRIM(H26),ISNUMBER(SEARCH("　",H26)))),"是否带进气箱含首尾空格或全角空格",""),IF(I26="","缺少是否带扩散筒",""),IF(I26="","",IF(COUNTIF(EV_YES_NO,I26)=0,"是否带扩散筒不在标准枚举中","")),IF(AND(ISTEXT(I26),OR(I26&lt;&gt;TRIM(I26),ISNUMBER(SEARCH("　",I26)))),"是否带扩散筒含首尾空格或全角空格",""),IF(J26="","缺少是否动叶可调",""),IF(J26="","",IF(COUNTIF(EV_YES_NO,J26)=0,"是否动叶可调不在标准枚举中","")),IF(AND(ISTEXT(J26),OR(J26&lt;&gt;TRIM(J26),ISNUMBER(SEARCH("　",J26)))),"是否动叶可调含首尾空格或全角空格",""),IF(K26="","缺少是否可逆转",""),IF(K26="","",IF(COUNTIF(EV_YES_NO,K26)=0,"是否可逆转不在标准枚举中","")),IF(AND(ISTEXT(K26),OR(K26&lt;&gt;TRIM(K26),ISNUMBER(SEARCH("　",K26)))),"是否可逆转含首尾空格或全角空格",""),IF(L26="","缺少流量",""),IF(L26="","",IF(NOT(ISNUMBER(L26)),"流量应为数值",IF(L26&lt;=0,"流量应大于0",""))),IF(M26="","缺少风机压力pF",""),IF(M26="","",IF(NOT(ISNUMBER(M26)),"风机压力pF应为数值",IF(M26&lt;=0,"风机压力pF应大于0",""))),IF(N26="","缺少额定功率",""),IF(N26="","",IF(NOT(ISNUMBER(N26)),"额定功率应为数值",IF(N26&lt;=0,"额定功率应大于0",""))),IF(O26="","缺少叶轮功率",""),IF(O26="","",IF(NOT(ISNUMBER(O26)),"叶轮功率应为数值",IF(O26&lt;=0,"叶轮功率应大于0",""))),IF(P26="","缺少转速",""),IF(P26="","",IF(NOT(ISNUMBER(P26)),"转速应为数值",IF(P26&lt;=0,"转速应大于0",""))),IF(Q26="","缺少机号",""),IF(Q26="","",IF(NOT(ISNUMBER(Q26)),"机号应为数值",IF(Q26&lt;=0,"机号应大于0",""))),IF(R26="","缺少进口滞止密度",""),IF(R26="","",IF(NOT(ISNUMBER(R26)),"进口滞止密度应为数值",IF(R26&lt;=0,"进口滞止密度应大于0",""))),IF(S26="","缺少等熵指数k",""),IF(S26="","",IF(NOT(ISNUMBER(S26)),"等熵指数k应为数值",IF(OR(S26&lt;1,S26&gt;2),"等熵指数k应为1～2",""))),IF(T26="","缺少轮毂比",""),IF(T26="","",IF(NOT(ISNUMBER(T26)),"轮毂比应为数值",IF(OR(T26&lt;0,T26&gt;1),"轮毂比应为0～1",""))),IF(U26="","缺少最高通风机效率ηr",""),IF(U26="","",IF(NOT(ISNUMBER(U26)),"最高通风机效率ηr应为数值",IF(OR(U26&lt;1,U26&gt;100),"最高通风机效率ηr应为1～100的百分数本值",""))),IF(AC26="","缺少铭牌照片",""),IF(AND(ISTEXT(AD26),OR(AD26&lt;&gt;TRIM(AD26),ISNUMBER(SEARCH("　",AD26)))),"填表备注含首尾空格或全角空格",""),IF(AND(ISNUMBER(M26),M26&gt;30000),"风机压力超过30kPa，超出通风机标准范围",""),IF(AND(J26="是",H26="是"),"动叶可调特殊效率规则要求进口无进气箱",""),IF(AND(J26="是",I26="是"),"动叶可调特殊效率规则要求出口无扩散筒","")),"")</f>
        <v/>
      </c>
    </row>
    <row r="27" ht="42" customHeight="1" s="184">
      <c r="A27" s="224">
        <f>IF(COUNTA(B27,C27,D27,E27,F27,G27,H27,I27,J27,K27,L27,M27,N27,O27,P27,Q27,R27,S27,T27,U27,AC27,AD27)&gt;0,ROW()-3,"")</f>
        <v/>
      </c>
      <c r="B27" s="176" t="n"/>
      <c r="C27" s="176" t="n"/>
      <c r="D27" s="228" t="n"/>
      <c r="E27" s="176" t="n"/>
      <c r="F27" s="218" t="n"/>
      <c r="G27" s="218" t="n"/>
      <c r="H27" s="218" t="n"/>
      <c r="I27" s="218" t="n"/>
      <c r="J27" s="218" t="n"/>
      <c r="K27" s="218" t="n"/>
      <c r="L27" s="229" t="n"/>
      <c r="M27" s="229" t="n"/>
      <c r="N27" s="229" t="n"/>
      <c r="O27" s="229" t="n"/>
      <c r="P27" s="229" t="n"/>
      <c r="Q27" s="229" t="n"/>
      <c r="R27" s="229" t="n"/>
      <c r="S27" s="235" t="n"/>
      <c r="T27" s="235" t="n"/>
      <c r="U27" s="229" t="n"/>
      <c r="V27" s="113" t="n"/>
      <c r="W27" s="113" t="n"/>
      <c r="X27" s="113" t="n"/>
      <c r="Y27" s="227" t="n"/>
      <c r="Z27" s="227" t="n"/>
      <c r="AA27" s="227" t="n"/>
      <c r="AB27" s="81" t="n"/>
      <c r="AC27" s="180" t="n"/>
      <c r="AD27" s="180" t="n"/>
      <c r="AE27" s="99">
        <f>IF(COUNTA(B27,C27,D27,E27,F27,G27,H27,I27,J27,K27,L27,M27,N27,O27,P27,Q27,R27,S27,T27,U27,AC27,AD27)&gt;0,TEXTJOIN("；",TRUE,IF(B27="","缺少设备名称",""),IF(AND(ISTEXT(B27),OR(B27&lt;&gt;TRIM(B27),ISNUMBER(SEARCH("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",E27)))),"安装位置含首尾空格或全角空格",""),IF(F27="","缺少设备类别",""),IF(F27="","",IF(COUNTIF(EV_AXIAL_FAN_CATEGORY,F27)=0,"设备类别不在标准枚举中","")),IF(AND(ISTEXT(F27),OR(F27&lt;&gt;TRIM(F27),ISNUMBER(SEARCH("　",F27)))),"设备类别含首尾空格或全角空格",""),IF(G27="","缺少传动方式",""),IF(G27="","",IF(COUNTIF(EV_TRANSMISSION,G27)=0,"传动方式不在标准枚举中","")),IF(AND(ISTEXT(G27),OR(G27&lt;&gt;TRIM(G27),ISNUMBER(SEARCH("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",G27)))),"传动方式含首尾空格或全角空格",""),IF(H27="","缺少是否带进气箱",""),IF(H27="","",IF(COUNTIF(EV_YES_NO,H27)=0,"是否带进气箱不在标准枚举中","")),IF(AND(ISTEXT(H27),OR(H27&lt;&gt;TRIM(H27),ISNUMBER(SEARCH("　",H27)))),"是否带进气箱含首尾空格或全角空格",""),IF(I27="","缺少是否带扩散筒",""),IF(I27="","",IF(COUNTIF(EV_YES_NO,I27)=0,"是否带扩散筒不在标准枚举中","")),IF(AND(ISTEXT(I27),OR(I27&lt;&gt;TRIM(I27),ISNUMBER(SEARCH("　",I27)))),"是否带扩散筒含首尾空格或全角空格",""),IF(J27="","缺少是否动叶可调",""),IF(J27="","",IF(COUNTIF(EV_YES_NO,J27)=0,"是否动叶可调不在标准枚举中","")),IF(AND(ISTEXT(J27),OR(J27&lt;&gt;TRIM(J27),ISNUMBER(SEARCH("　",J27)))),"是否动叶可调含首尾空格或全角空格",""),IF(K27="","缺少是否可逆转",""),IF(K27="","",IF(COUNTIF(EV_YES_NO,K27)=0,"是否可逆转不在标准枚举中","")),IF(AND(ISTEXT(K27),OR(K27&lt;&gt;TRIM(K27),ISNUMBER(SEARCH("　",K27)))),"是否可逆转含首尾空格或全角空格",""),IF(L27="","缺少流量",""),IF(L27="","",IF(NOT(ISNUMBER(L27)),"流量应为数值",IF(L27&lt;=0,"流量应大于0",""))),IF(M27="","缺少风机压力pF",""),IF(M27="","",IF(NOT(ISNUMBER(M27)),"风机压力pF应为数值",IF(M27&lt;=0,"风机压力pF应大于0",""))),IF(N27="","缺少额定功率",""),IF(N27="","",IF(NOT(ISNUMBER(N27)),"额定功率应为数值",IF(N27&lt;=0,"额定功率应大于0",""))),IF(O27="","缺少叶轮功率",""),IF(O27="","",IF(NOT(ISNUMBER(O27)),"叶轮功率应为数值",IF(O27&lt;=0,"叶轮功率应大于0",""))),IF(P27="","缺少转速",""),IF(P27="","",IF(NOT(ISNUMBER(P27)),"转速应为数值",IF(P27&lt;=0,"转速应大于0",""))),IF(Q27="","缺少机号",""),IF(Q27="","",IF(NOT(ISNUMBER(Q27)),"机号应为数值",IF(Q27&lt;=0,"机号应大于0",""))),IF(R27="","缺少进口滞止密度",""),IF(R27="","",IF(NOT(ISNUMBER(R27)),"进口滞止密度应为数值",IF(R27&lt;=0,"进口滞止密度应大于0",""))),IF(S27="","缺少等熵指数k",""),IF(S27="","",IF(NOT(ISNUMBER(S27)),"等熵指数k应为数值",IF(OR(S27&lt;1,S27&gt;2),"等熵指数k应为1～2",""))),IF(T27="","缺少轮毂比",""),IF(T27="","",IF(NOT(ISNUMBER(T27)),"轮毂比应为数值",IF(OR(T27&lt;0,T27&gt;1),"轮毂比应为0～1",""))),IF(U27="","缺少最高通风机效率ηr",""),IF(U27="","",IF(NOT(ISNUMBER(U27)),"最高通风机效率ηr应为数值",IF(OR(U27&lt;1,U27&gt;100),"最高通风机效率ηr应为1～100的百分数本值",""))),IF(AC27="","缺少铭牌照片",""),IF(AND(ISTEXT(AD27),OR(AD27&lt;&gt;TRIM(AD27),ISNUMBER(SEARCH("　",AD27)))),"填表备注含首尾空格或全角空格",""),IF(AND(ISNUMBER(M27),M27&gt;30000),"风机压力超过30kPa，超出通风机标准范围",""),IF(AND(J27="是",H27="是"),"动叶可调特殊效率规则要求进口无进气箱",""),IF(AND(J27="是",I27="是"),"动叶可调特殊效率规则要求出口无扩散筒","")),"")</f>
        <v/>
      </c>
    </row>
    <row r="28" ht="42" customHeight="1" s="184">
      <c r="A28" s="224">
        <f>IF(COUNTA(B28,C28,D28,E28,F28,G28,H28,I28,J28,K28,L28,M28,N28,O28,P28,Q28,R28,S28,T28,U28,AC28,AD28)&gt;0,ROW()-3,"")</f>
        <v/>
      </c>
      <c r="B28" s="176" t="n"/>
      <c r="C28" s="176" t="n"/>
      <c r="D28" s="228" t="n"/>
      <c r="E28" s="176" t="n"/>
      <c r="F28" s="218" t="n"/>
      <c r="G28" s="218" t="n"/>
      <c r="H28" s="218" t="n"/>
      <c r="I28" s="218" t="n"/>
      <c r="J28" s="218" t="n"/>
      <c r="K28" s="218" t="n"/>
      <c r="L28" s="229" t="n"/>
      <c r="M28" s="229" t="n"/>
      <c r="N28" s="229" t="n"/>
      <c r="O28" s="229" t="n"/>
      <c r="P28" s="229" t="n"/>
      <c r="Q28" s="229" t="n"/>
      <c r="R28" s="229" t="n"/>
      <c r="S28" s="235" t="n"/>
      <c r="T28" s="235" t="n"/>
      <c r="U28" s="229" t="n"/>
      <c r="V28" s="113" t="n"/>
      <c r="W28" s="113" t="n"/>
      <c r="X28" s="113" t="n"/>
      <c r="Y28" s="227" t="n"/>
      <c r="Z28" s="227" t="n"/>
      <c r="AA28" s="227" t="n"/>
      <c r="AB28" s="81" t="n"/>
      <c r="AC28" s="180" t="n"/>
      <c r="AD28" s="180" t="n"/>
      <c r="AE28" s="99">
        <f>IF(COUNTA(B28,C28,D28,E28,F28,G28,H28,I28,J28,K28,L28,M28,N28,O28,P28,Q28,R28,S28,T28,U28,AC28,AD28)&gt;0,TEXTJOIN("；",TRUE,IF(B28="","缺少设备名称",""),IF(AND(ISTEXT(B28),OR(B28&lt;&gt;TRIM(B28),ISNUMBER(SEARCH("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",E28)))),"安装位置含首尾空格或全角空格",""),IF(F28="","缺少设备类别",""),IF(F28="","",IF(COUNTIF(EV_AXIAL_FAN_CATEGORY,F28)=0,"设备类别不在标准枚举中","")),IF(AND(ISTEXT(F28),OR(F28&lt;&gt;TRIM(F28),ISNUMBER(SEARCH("　",F28)))),"设备类别含首尾空格或全角空格",""),IF(G28="","缺少传动方式",""),IF(G28="","",IF(COUNTIF(EV_TRANSMISSION,G28)=0,"传动方式不在标准枚举中","")),IF(AND(ISTEXT(G28),OR(G28&lt;&gt;TRIM(G28),ISNUMBER(SEARCH("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",G28)))),"传动方式含首尾空格或全角空格",""),IF(H28="","缺少是否带进气箱",""),IF(H28="","",IF(COUNTIF(EV_YES_NO,H28)=0,"是否带进气箱不在标准枚举中","")),IF(AND(ISTEXT(H28),OR(H28&lt;&gt;TRIM(H28),ISNUMBER(SEARCH("　",H28)))),"是否带进气箱含首尾空格或全角空格",""),IF(I28="","缺少是否带扩散筒",""),IF(I28="","",IF(COUNTIF(EV_YES_NO,I28)=0,"是否带扩散筒不在标准枚举中","")),IF(AND(ISTEXT(I28),OR(I28&lt;&gt;TRIM(I28),ISNUMBER(SEARCH("　",I28)))),"是否带扩散筒含首尾空格或全角空格",""),IF(J28="","缺少是否动叶可调",""),IF(J28="","",IF(COUNTIF(EV_YES_NO,J28)=0,"是否动叶可调不在标准枚举中","")),IF(AND(ISTEXT(J28),OR(J28&lt;&gt;TRIM(J28),ISNUMBER(SEARCH("　",J28)))),"是否动叶可调含首尾空格或全角空格",""),IF(K28="","缺少是否可逆转",""),IF(K28="","",IF(COUNTIF(EV_YES_NO,K28)=0,"是否可逆转不在标准枚举中","")),IF(AND(ISTEXT(K28),OR(K28&lt;&gt;TRIM(K28),ISNUMBER(SEARCH("　",K28)))),"是否可逆转含首尾空格或全角空格",""),IF(L28="","缺少流量",""),IF(L28="","",IF(NOT(ISNUMBER(L28)),"流量应为数值",IF(L28&lt;=0,"流量应大于0",""))),IF(M28="","缺少风机压力pF",""),IF(M28="","",IF(NOT(ISNUMBER(M28)),"风机压力pF应为数值",IF(M28&lt;=0,"风机压力pF应大于0",""))),IF(N28="","缺少额定功率",""),IF(N28="","",IF(NOT(ISNUMBER(N28)),"额定功率应为数值",IF(N28&lt;=0,"额定功率应大于0",""))),IF(O28="","缺少叶轮功率",""),IF(O28="","",IF(NOT(ISNUMBER(O28)),"叶轮功率应为数值",IF(O28&lt;=0,"叶轮功率应大于0",""))),IF(P28="","缺少转速",""),IF(P28="","",IF(NOT(ISNUMBER(P28)),"转速应为数值",IF(P28&lt;=0,"转速应大于0",""))),IF(Q28="","缺少机号",""),IF(Q28="","",IF(NOT(ISNUMBER(Q28)),"机号应为数值",IF(Q28&lt;=0,"机号应大于0",""))),IF(R28="","缺少进口滞止密度",""),IF(R28="","",IF(NOT(ISNUMBER(R28)),"进口滞止密度应为数值",IF(R28&lt;=0,"进口滞止密度应大于0",""))),IF(S28="","缺少等熵指数k",""),IF(S28="","",IF(NOT(ISNUMBER(S28)),"等熵指数k应为数值",IF(OR(S28&lt;1,S28&gt;2),"等熵指数k应为1～2",""))),IF(T28="","缺少轮毂比",""),IF(T28="","",IF(NOT(ISNUMBER(T28)),"轮毂比应为数值",IF(OR(T28&lt;0,T28&gt;1),"轮毂比应为0～1",""))),IF(U28="","缺少最高通风机效率ηr",""),IF(U28="","",IF(NOT(ISNUMBER(U28)),"最高通风机效率ηr应为数值",IF(OR(U28&lt;1,U28&gt;100),"最高通风机效率ηr应为1～100的百分数本值",""))),IF(AC28="","缺少铭牌照片",""),IF(AND(ISTEXT(AD28),OR(AD28&lt;&gt;TRIM(AD28),ISNUMBER(SEARCH("　",AD28)))),"填表备注含首尾空格或全角空格",""),IF(AND(ISNUMBER(M28),M28&gt;30000),"风机压力超过30kPa，超出通风机标准范围",""),IF(AND(J28="是",H28="是"),"动叶可调特殊效率规则要求进口无进气箱",""),IF(AND(J28="是",I28="是"),"动叶可调特殊效率规则要求出口无扩散筒","")),"")</f>
        <v/>
      </c>
    </row>
    <row r="29" ht="42" customHeight="1" s="184">
      <c r="A29" s="224">
        <f>IF(COUNTA(B29,C29,D29,E29,F29,G29,H29,I29,J29,K29,L29,M29,N29,O29,P29,Q29,R29,S29,T29,U29,AC29,AD29)&gt;0,ROW()-3,"")</f>
        <v/>
      </c>
      <c r="B29" s="176" t="n"/>
      <c r="C29" s="176" t="n"/>
      <c r="D29" s="228" t="n"/>
      <c r="E29" s="176" t="n"/>
      <c r="F29" s="218" t="n"/>
      <c r="G29" s="218" t="n"/>
      <c r="H29" s="218" t="n"/>
      <c r="I29" s="218" t="n"/>
      <c r="J29" s="218" t="n"/>
      <c r="K29" s="218" t="n"/>
      <c r="L29" s="229" t="n"/>
      <c r="M29" s="229" t="n"/>
      <c r="N29" s="229" t="n"/>
      <c r="O29" s="229" t="n"/>
      <c r="P29" s="229" t="n"/>
      <c r="Q29" s="229" t="n"/>
      <c r="R29" s="229" t="n"/>
      <c r="S29" s="235" t="n"/>
      <c r="T29" s="235" t="n"/>
      <c r="U29" s="229" t="n"/>
      <c r="V29" s="113" t="n"/>
      <c r="W29" s="113" t="n"/>
      <c r="X29" s="113" t="n"/>
      <c r="Y29" s="227" t="n"/>
      <c r="Z29" s="227" t="n"/>
      <c r="AA29" s="227" t="n"/>
      <c r="AB29" s="81" t="n"/>
      <c r="AC29" s="180" t="n"/>
      <c r="AD29" s="180" t="n"/>
      <c r="AE29" s="99">
        <f>IF(COUNTA(B29,C29,D29,E29,F29,G29,H29,I29,J29,K29,L29,M29,N29,O29,P29,Q29,R29,S29,T29,U29,AC29,AD29)&gt;0,TEXTJOIN("；",TRUE,IF(B29="","缺少设备名称",""),IF(AND(ISTEXT(B29),OR(B29&lt;&gt;TRIM(B29),ISNUMBER(SEARCH("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",E29)))),"安装位置含首尾空格或全角空格",""),IF(F29="","缺少设备类别",""),IF(F29="","",IF(COUNTIF(EV_AXIAL_FAN_CATEGORY,F29)=0,"设备类别不在标准枚举中","")),IF(AND(ISTEXT(F29),OR(F29&lt;&gt;TRIM(F29),ISNUMBER(SEARCH("　",F29)))),"设备类别含首尾空格或全角空格",""),IF(G29="","缺少传动方式",""),IF(G29="","",IF(COUNTIF(EV_TRANSMISSION,G29)=0,"传动方式不在标准枚举中","")),IF(AND(ISTEXT(G29),OR(G29&lt;&gt;TRIM(G29),ISNUMBER(SEARCH("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",G29)))),"传动方式含首尾空格或全角空格",""),IF(H29="","缺少是否带进气箱",""),IF(H29="","",IF(COUNTIF(EV_YES_NO,H29)=0,"是否带进气箱不在标准枚举中","")),IF(AND(ISTEXT(H29),OR(H29&lt;&gt;TRIM(H29),ISNUMBER(SEARCH("　",H29)))),"是否带进气箱含首尾空格或全角空格",""),IF(I29="","缺少是否带扩散筒",""),IF(I29="","",IF(COUNTIF(EV_YES_NO,I29)=0,"是否带扩散筒不在标准枚举中","")),IF(AND(ISTEXT(I29),OR(I29&lt;&gt;TRIM(I29),ISNUMBER(SEARCH("　",I29)))),"是否带扩散筒含首尾空格或全角空格",""),IF(J29="","缺少是否动叶可调",""),IF(J29="","",IF(COUNTIF(EV_YES_NO,J29)=0,"是否动叶可调不在标准枚举中","")),IF(AND(ISTEXT(J29),OR(J29&lt;&gt;TRIM(J29),ISNUMBER(SEARCH("　",J29)))),"是否动叶可调含首尾空格或全角空格",""),IF(K29="","缺少是否可逆转",""),IF(K29="","",IF(COUNTIF(EV_YES_NO,K29)=0,"是否可逆转不在标准枚举中","")),IF(AND(ISTEXT(K29),OR(K29&lt;&gt;TRIM(K29),ISNUMBER(SEARCH("　",K29)))),"是否可逆转含首尾空格或全角空格",""),IF(L29="","缺少流量",""),IF(L29="","",IF(NOT(ISNUMBER(L29)),"流量应为数值",IF(L29&lt;=0,"流量应大于0",""))),IF(M29="","缺少风机压力pF",""),IF(M29="","",IF(NOT(ISNUMBER(M29)),"风机压力pF应为数值",IF(M29&lt;=0,"风机压力pF应大于0",""))),IF(N29="","缺少额定功率",""),IF(N29="","",IF(NOT(ISNUMBER(N29)),"额定功率应为数值",IF(N29&lt;=0,"额定功率应大于0",""))),IF(O29="","缺少叶轮功率",""),IF(O29="","",IF(NOT(ISNUMBER(O29)),"叶轮功率应为数值",IF(O29&lt;=0,"叶轮功率应大于0",""))),IF(P29="","缺少转速",""),IF(P29="","",IF(NOT(ISNUMBER(P29)),"转速应为数值",IF(P29&lt;=0,"转速应大于0",""))),IF(Q29="","缺少机号",""),IF(Q29="","",IF(NOT(ISNUMBER(Q29)),"机号应为数值",IF(Q29&lt;=0,"机号应大于0",""))),IF(R29="","缺少进口滞止密度",""),IF(R29="","",IF(NOT(ISNUMBER(R29)),"进口滞止密度应为数值",IF(R29&lt;=0,"进口滞止密度应大于0",""))),IF(S29="","缺少等熵指数k",""),IF(S29="","",IF(NOT(ISNUMBER(S29)),"等熵指数k应为数值",IF(OR(S29&lt;1,S29&gt;2),"等熵指数k应为1～2",""))),IF(T29="","缺少轮毂比",""),IF(T29="","",IF(NOT(ISNUMBER(T29)),"轮毂比应为数值",IF(OR(T29&lt;0,T29&gt;1),"轮毂比应为0～1",""))),IF(U29="","缺少最高通风机效率ηr",""),IF(U29="","",IF(NOT(ISNUMBER(U29)),"最高通风机效率ηr应为数值",IF(OR(U29&lt;1,U29&gt;100),"最高通风机效率ηr应为1～100的百分数本值",""))),IF(AC29="","缺少铭牌照片",""),IF(AND(ISTEXT(AD29),OR(AD29&lt;&gt;TRIM(AD29),ISNUMBER(SEARCH("　",AD29)))),"填表备注含首尾空格或全角空格",""),IF(AND(ISNUMBER(M29),M29&gt;30000),"风机压力超过30kPa，超出通风机标准范围",""),IF(AND(J29="是",H29="是"),"动叶可调特殊效率规则要求进口无进气箱",""),IF(AND(J29="是",I29="是"),"动叶可调特殊效率规则要求出口无扩散筒","")),"")</f>
        <v/>
      </c>
    </row>
    <row r="30" ht="42" customHeight="1" s="184">
      <c r="A30" s="224">
        <f>IF(COUNTA(B30,C30,D30,E30,F30,G30,H30,I30,J30,K30,L30,M30,N30,O30,P30,Q30,R30,S30,T30,U30,AC30,AD30)&gt;0,ROW()-3,"")</f>
        <v/>
      </c>
      <c r="B30" s="176" t="n"/>
      <c r="C30" s="176" t="n"/>
      <c r="D30" s="228" t="n"/>
      <c r="E30" s="176" t="n"/>
      <c r="F30" s="218" t="n"/>
      <c r="G30" s="218" t="n"/>
      <c r="H30" s="218" t="n"/>
      <c r="I30" s="218" t="n"/>
      <c r="J30" s="218" t="n"/>
      <c r="K30" s="218" t="n"/>
      <c r="L30" s="229" t="n"/>
      <c r="M30" s="229" t="n"/>
      <c r="N30" s="229" t="n"/>
      <c r="O30" s="229" t="n"/>
      <c r="P30" s="229" t="n"/>
      <c r="Q30" s="229" t="n"/>
      <c r="R30" s="229" t="n"/>
      <c r="S30" s="235" t="n"/>
      <c r="T30" s="235" t="n"/>
      <c r="U30" s="229" t="n"/>
      <c r="V30" s="113" t="n"/>
      <c r="W30" s="113" t="n"/>
      <c r="X30" s="113" t="n"/>
      <c r="Y30" s="227" t="n"/>
      <c r="Z30" s="227" t="n"/>
      <c r="AA30" s="227" t="n"/>
      <c r="AB30" s="81" t="n"/>
      <c r="AC30" s="180" t="n"/>
      <c r="AD30" s="180" t="n"/>
      <c r="AE30" s="99">
        <f>IF(COUNTA(B30,C30,D30,E30,F30,G30,H30,I30,J30,K30,L30,M30,N30,O30,P30,Q30,R30,S30,T30,U30,AC30,AD30)&gt;0,TEXTJOIN("；",TRUE,IF(B30="","缺少设备名称",""),IF(AND(ISTEXT(B30),OR(B30&lt;&gt;TRIM(B30),ISNUMBER(SEARCH("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",E30)))),"安装位置含首尾空格或全角空格",""),IF(F30="","缺少设备类别",""),IF(F30="","",IF(COUNTIF(EV_AXIAL_FAN_CATEGORY,F30)=0,"设备类别不在标准枚举中","")),IF(AND(ISTEXT(F30),OR(F30&lt;&gt;TRIM(F30),ISNUMBER(SEARCH("　",F30)))),"设备类别含首尾空格或全角空格",""),IF(G30="","缺少传动方式",""),IF(G30="","",IF(COUNTIF(EV_TRANSMISSION,G30)=0,"传动方式不在标准枚举中","")),IF(AND(ISTEXT(G30),OR(G30&lt;&gt;TRIM(G30),ISNUMBER(SEARCH("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",G30)))),"传动方式含首尾空格或全角空格",""),IF(H30="","缺少是否带进气箱",""),IF(H30="","",IF(COUNTIF(EV_YES_NO,H30)=0,"是否带进气箱不在标准枚举中","")),IF(AND(ISTEXT(H30),OR(H30&lt;&gt;TRIM(H30),ISNUMBER(SEARCH("　",H30)))),"是否带进气箱含首尾空格或全角空格",""),IF(I30="","缺少是否带扩散筒",""),IF(I30="","",IF(COUNTIF(EV_YES_NO,I30)=0,"是否带扩散筒不在标准枚举中","")),IF(AND(ISTEXT(I30),OR(I30&lt;&gt;TRIM(I30),ISNUMBER(SEARCH("　",I30)))),"是否带扩散筒含首尾空格或全角空格",""),IF(J30="","缺少是否动叶可调",""),IF(J30="","",IF(COUNTIF(EV_YES_NO,J30)=0,"是否动叶可调不在标准枚举中","")),IF(AND(ISTEXT(J30),OR(J30&lt;&gt;TRIM(J30),ISNUMBER(SEARCH("　",J30)))),"是否动叶可调含首尾空格或全角空格",""),IF(K30="","缺少是否可逆转",""),IF(K30="","",IF(COUNTIF(EV_YES_NO,K30)=0,"是否可逆转不在标准枚举中","")),IF(AND(ISTEXT(K30),OR(K30&lt;&gt;TRIM(K30),ISNUMBER(SEARCH("　",K30)))),"是否可逆转含首尾空格或全角空格",""),IF(L30="","缺少流量",""),IF(L30="","",IF(NOT(ISNUMBER(L30)),"流量应为数值",IF(L30&lt;=0,"流量应大于0",""))),IF(M30="","缺少风机压力pF",""),IF(M30="","",IF(NOT(ISNUMBER(M30)),"风机压力pF应为数值",IF(M30&lt;=0,"风机压力pF应大于0",""))),IF(N30="","缺少额定功率",""),IF(N30="","",IF(NOT(ISNUMBER(N30)),"额定功率应为数值",IF(N30&lt;=0,"额定功率应大于0",""))),IF(O30="","缺少叶轮功率",""),IF(O30="","",IF(NOT(ISNUMBER(O30)),"叶轮功率应为数值",IF(O30&lt;=0,"叶轮功率应大于0",""))),IF(P30="","缺少转速",""),IF(P30="","",IF(NOT(ISNUMBER(P30)),"转速应为数值",IF(P30&lt;=0,"转速应大于0",""))),IF(Q30="","缺少机号",""),IF(Q30="","",IF(NOT(ISNUMBER(Q30)),"机号应为数值",IF(Q30&lt;=0,"机号应大于0",""))),IF(R30="","缺少进口滞止密度",""),IF(R30="","",IF(NOT(ISNUMBER(R30)),"进口滞止密度应为数值",IF(R30&lt;=0,"进口滞止密度应大于0",""))),IF(S30="","缺少等熵指数k",""),IF(S30="","",IF(NOT(ISNUMBER(S30)),"等熵指数k应为数值",IF(OR(S30&lt;1,S30&gt;2),"等熵指数k应为1～2",""))),IF(T30="","缺少轮毂比",""),IF(T30="","",IF(NOT(ISNUMBER(T30)),"轮毂比应为数值",IF(OR(T30&lt;0,T30&gt;1),"轮毂比应为0～1",""))),IF(U30="","缺少最高通风机效率ηr",""),IF(U30="","",IF(NOT(ISNUMBER(U30)),"最高通风机效率ηr应为数值",IF(OR(U30&lt;1,U30&gt;100),"最高通风机效率ηr应为1～100的百分数本值",""))),IF(AC30="","缺少铭牌照片",""),IF(AND(ISTEXT(AD30),OR(AD30&lt;&gt;TRIM(AD30),ISNUMBER(SEARCH("　",AD30)))),"填表备注含首尾空格或全角空格",""),IF(AND(ISNUMBER(M30),M30&gt;30000),"风机压力超过30kPa，超出通风机标准范围",""),IF(AND(J30="是",H30="是"),"动叶可调特殊效率规则要求进口无进气箱",""),IF(AND(J30="是",I30="是"),"动叶可调特殊效率规则要求出口无扩散筒","")),"")</f>
        <v/>
      </c>
    </row>
    <row r="31" ht="42" customHeight="1" s="184">
      <c r="A31" s="224">
        <f>IF(COUNTA(B31,C31,D31,E31,F31,G31,H31,I31,J31,K31,L31,M31,N31,O31,P31,Q31,R31,S31,T31,U31,AC31,AD31)&gt;0,ROW()-3,"")</f>
        <v/>
      </c>
      <c r="B31" s="176" t="n"/>
      <c r="C31" s="176" t="n"/>
      <c r="D31" s="228" t="n"/>
      <c r="E31" s="176" t="n"/>
      <c r="F31" s="218" t="n"/>
      <c r="G31" s="218" t="n"/>
      <c r="H31" s="218" t="n"/>
      <c r="I31" s="218" t="n"/>
      <c r="J31" s="218" t="n"/>
      <c r="K31" s="218" t="n"/>
      <c r="L31" s="229" t="n"/>
      <c r="M31" s="229" t="n"/>
      <c r="N31" s="229" t="n"/>
      <c r="O31" s="229" t="n"/>
      <c r="P31" s="229" t="n"/>
      <c r="Q31" s="229" t="n"/>
      <c r="R31" s="229" t="n"/>
      <c r="S31" s="235" t="n"/>
      <c r="T31" s="235" t="n"/>
      <c r="U31" s="229" t="n"/>
      <c r="V31" s="113" t="n"/>
      <c r="W31" s="113" t="n"/>
      <c r="X31" s="113" t="n"/>
      <c r="Y31" s="227" t="n"/>
      <c r="Z31" s="227" t="n"/>
      <c r="AA31" s="227" t="n"/>
      <c r="AB31" s="81" t="n"/>
      <c r="AC31" s="180" t="n"/>
      <c r="AD31" s="180" t="n"/>
      <c r="AE31" s="99">
        <f>IF(COUNTA(B31,C31,D31,E31,F31,G31,H31,I31,J31,K31,L31,M31,N31,O31,P31,Q31,R31,S31,T31,U31,AC31,AD31)&gt;0,TEXTJOIN("；",TRUE,IF(B31="","缺少设备名称",""),IF(AND(ISTEXT(B31),OR(B31&lt;&gt;TRIM(B31),ISNUMBER(SEARCH("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",E31)))),"安装位置含首尾空格或全角空格",""),IF(F31="","缺少设备类别",""),IF(F31="","",IF(COUNTIF(EV_AXIAL_FAN_CATEGORY,F31)=0,"设备类别不在标准枚举中","")),IF(AND(ISTEXT(F31),OR(F31&lt;&gt;TRIM(F31),ISNUMBER(SEARCH("　",F31)))),"设备类别含首尾空格或全角空格",""),IF(G31="","缺少传动方式",""),IF(G31="","",IF(COUNTIF(EV_TRANSMISSION,G31)=0,"传动方式不在标准枚举中","")),IF(AND(ISTEXT(G31),OR(G31&lt;&gt;TRIM(G31),ISNUMBER(SEARCH("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",G31)))),"传动方式含首尾空格或全角空格",""),IF(H31="","缺少是否带进气箱",""),IF(H31="","",IF(COUNTIF(EV_YES_NO,H31)=0,"是否带进气箱不在标准枚举中","")),IF(AND(ISTEXT(H31),OR(H31&lt;&gt;TRIM(H31),ISNUMBER(SEARCH("　",H31)))),"是否带进气箱含首尾空格或全角空格",""),IF(I31="","缺少是否带扩散筒",""),IF(I31="","",IF(COUNTIF(EV_YES_NO,I31)=0,"是否带扩散筒不在标准枚举中","")),IF(AND(ISTEXT(I31),OR(I31&lt;&gt;TRIM(I31),ISNUMBER(SEARCH("　",I31)))),"是否带扩散筒含首尾空格或全角空格",""),IF(J31="","缺少是否动叶可调",""),IF(J31="","",IF(COUNTIF(EV_YES_NO,J31)=0,"是否动叶可调不在标准枚举中","")),IF(AND(ISTEXT(J31),OR(J31&lt;&gt;TRIM(J31),ISNUMBER(SEARCH("　",J31)))),"是否动叶可调含首尾空格或全角空格",""),IF(K31="","缺少是否可逆转",""),IF(K31="","",IF(COUNTIF(EV_YES_NO,K31)=0,"是否可逆转不在标准枚举中","")),IF(AND(ISTEXT(K31),OR(K31&lt;&gt;TRIM(K31),ISNUMBER(SEARCH("　",K31)))),"是否可逆转含首尾空格或全角空格",""),IF(L31="","缺少流量",""),IF(L31="","",IF(NOT(ISNUMBER(L31)),"流量应为数值",IF(L31&lt;=0,"流量应大于0",""))),IF(M31="","缺少风机压力pF",""),IF(M31="","",IF(NOT(ISNUMBER(M31)),"风机压力pF应为数值",IF(M31&lt;=0,"风机压力pF应大于0",""))),IF(N31="","缺少额定功率",""),IF(N31="","",IF(NOT(ISNUMBER(N31)),"额定功率应为数值",IF(N31&lt;=0,"额定功率应大于0",""))),IF(O31="","缺少叶轮功率",""),IF(O31="","",IF(NOT(ISNUMBER(O31)),"叶轮功率应为数值",IF(O31&lt;=0,"叶轮功率应大于0",""))),IF(P31="","缺少转速",""),IF(P31="","",IF(NOT(ISNUMBER(P31)),"转速应为数值",IF(P31&lt;=0,"转速应大于0",""))),IF(Q31="","缺少机号",""),IF(Q31="","",IF(NOT(ISNUMBER(Q31)),"机号应为数值",IF(Q31&lt;=0,"机号应大于0",""))),IF(R31="","缺少进口滞止密度",""),IF(R31="","",IF(NOT(ISNUMBER(R31)),"进口滞止密度应为数值",IF(R31&lt;=0,"进口滞止密度应大于0",""))),IF(S31="","缺少等熵指数k",""),IF(S31="","",IF(NOT(ISNUMBER(S31)),"等熵指数k应为数值",IF(OR(S31&lt;1,S31&gt;2),"等熵指数k应为1～2",""))),IF(T31="","缺少轮毂比",""),IF(T31="","",IF(NOT(ISNUMBER(T31)),"轮毂比应为数值",IF(OR(T31&lt;0,T31&gt;1),"轮毂比应为0～1",""))),IF(U31="","缺少最高通风机效率ηr",""),IF(U31="","",IF(NOT(ISNUMBER(U31)),"最高通风机效率ηr应为数值",IF(OR(U31&lt;1,U31&gt;100),"最高通风机效率ηr应为1～100的百分数本值",""))),IF(AC31="","缺少铭牌照片",""),IF(AND(ISTEXT(AD31),OR(AD31&lt;&gt;TRIM(AD31),ISNUMBER(SEARCH("　",AD31)))),"填表备注含首尾空格或全角空格",""),IF(AND(ISNUMBER(M31),M31&gt;30000),"风机压力超过30kPa，超出通风机标准范围",""),IF(AND(J31="是",H31="是"),"动叶可调特殊效率规则要求进口无进气箱",""),IF(AND(J31="是",I31="是"),"动叶可调特殊效率规则要求出口无扩散筒","")),"")</f>
        <v/>
      </c>
    </row>
    <row r="32" ht="42" customHeight="1" s="184">
      <c r="A32" s="224">
        <f>IF(COUNTA(B32,C32,D32,E32,F32,G32,H32,I32,J32,K32,L32,M32,N32,O32,P32,Q32,R32,S32,T32,U32,AC32,AD32)&gt;0,ROW()-3,"")</f>
        <v/>
      </c>
      <c r="B32" s="176" t="n"/>
      <c r="C32" s="176" t="n"/>
      <c r="D32" s="228" t="n"/>
      <c r="E32" s="176" t="n"/>
      <c r="F32" s="218" t="n"/>
      <c r="G32" s="218" t="n"/>
      <c r="H32" s="218" t="n"/>
      <c r="I32" s="218" t="n"/>
      <c r="J32" s="218" t="n"/>
      <c r="K32" s="218" t="n"/>
      <c r="L32" s="229" t="n"/>
      <c r="M32" s="229" t="n"/>
      <c r="N32" s="229" t="n"/>
      <c r="O32" s="229" t="n"/>
      <c r="P32" s="229" t="n"/>
      <c r="Q32" s="229" t="n"/>
      <c r="R32" s="229" t="n"/>
      <c r="S32" s="235" t="n"/>
      <c r="T32" s="235" t="n"/>
      <c r="U32" s="229" t="n"/>
      <c r="V32" s="113" t="n"/>
      <c r="W32" s="113" t="n"/>
      <c r="X32" s="113" t="n"/>
      <c r="Y32" s="227" t="n"/>
      <c r="Z32" s="227" t="n"/>
      <c r="AA32" s="227" t="n"/>
      <c r="AB32" s="81" t="n"/>
      <c r="AC32" s="180" t="n"/>
      <c r="AD32" s="180" t="n"/>
      <c r="AE32" s="99">
        <f>IF(COUNTA(B32,C32,D32,E32,F32,G32,H32,I32,J32,K32,L32,M32,N32,O32,P32,Q32,R32,S32,T32,U32,AC32,AD32)&gt;0,TEXTJOIN("；",TRUE,IF(B32="","缺少设备名称",""),IF(AND(ISTEXT(B32),OR(B32&lt;&gt;TRIM(B32),ISNUMBER(SEARCH("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",E32)))),"安装位置含首尾空格或全角空格",""),IF(F32="","缺少设备类别",""),IF(F32="","",IF(COUNTIF(EV_AXIAL_FAN_CATEGORY,F32)=0,"设备类别不在标准枚举中","")),IF(AND(ISTEXT(F32),OR(F32&lt;&gt;TRIM(F32),ISNUMBER(SEARCH("　",F32)))),"设备类别含首尾空格或全角空格",""),IF(G32="","缺少传动方式",""),IF(G32="","",IF(COUNTIF(EV_TRANSMISSION,G32)=0,"传动方式不在标准枚举中","")),IF(AND(ISTEXT(G32),OR(G32&lt;&gt;TRIM(G32),ISNUMBER(SEARCH("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",G32)))),"传动方式含首尾空格或全角空格",""),IF(H32="","缺少是否带进气箱",""),IF(H32="","",IF(COUNTIF(EV_YES_NO,H32)=0,"是否带进气箱不在标准枚举中","")),IF(AND(ISTEXT(H32),OR(H32&lt;&gt;TRIM(H32),ISNUMBER(SEARCH("　",H32)))),"是否带进气箱含首尾空格或全角空格",""),IF(I32="","缺少是否带扩散筒",""),IF(I32="","",IF(COUNTIF(EV_YES_NO,I32)=0,"是否带扩散筒不在标准枚举中","")),IF(AND(ISTEXT(I32),OR(I32&lt;&gt;TRIM(I32),ISNUMBER(SEARCH("　",I32)))),"是否带扩散筒含首尾空格或全角空格",""),IF(J32="","缺少是否动叶可调",""),IF(J32="","",IF(COUNTIF(EV_YES_NO,J32)=0,"是否动叶可调不在标准枚举中","")),IF(AND(ISTEXT(J32),OR(J32&lt;&gt;TRIM(J32),ISNUMBER(SEARCH("　",J32)))),"是否动叶可调含首尾空格或全角空格",""),IF(K32="","缺少是否可逆转",""),IF(K32="","",IF(COUNTIF(EV_YES_NO,K32)=0,"是否可逆转不在标准枚举中","")),IF(AND(ISTEXT(K32),OR(K32&lt;&gt;TRIM(K32),ISNUMBER(SEARCH("　",K32)))),"是否可逆转含首尾空格或全角空格",""),IF(L32="","缺少流量",""),IF(L32="","",IF(NOT(ISNUMBER(L32)),"流量应为数值",IF(L32&lt;=0,"流量应大于0",""))),IF(M32="","缺少风机压力pF",""),IF(M32="","",IF(NOT(ISNUMBER(M32)),"风机压力pF应为数值",IF(M32&lt;=0,"风机压力pF应大于0",""))),IF(N32="","缺少额定功率",""),IF(N32="","",IF(NOT(ISNUMBER(N32)),"额定功率应为数值",IF(N32&lt;=0,"额定功率应大于0",""))),IF(O32="","缺少叶轮功率",""),IF(O32="","",IF(NOT(ISNUMBER(O32)),"叶轮功率应为数值",IF(O32&lt;=0,"叶轮功率应大于0",""))),IF(P32="","缺少转速",""),IF(P32="","",IF(NOT(ISNUMBER(P32)),"转速应为数值",IF(P32&lt;=0,"转速应大于0",""))),IF(Q32="","缺少机号",""),IF(Q32="","",IF(NOT(ISNUMBER(Q32)),"机号应为数值",IF(Q32&lt;=0,"机号应大于0",""))),IF(R32="","缺少进口滞止密度",""),IF(R32="","",IF(NOT(ISNUMBER(R32)),"进口滞止密度应为数值",IF(R32&lt;=0,"进口滞止密度应大于0",""))),IF(S32="","缺少等熵指数k",""),IF(S32="","",IF(NOT(ISNUMBER(S32)),"等熵指数k应为数值",IF(OR(S32&lt;1,S32&gt;2),"等熵指数k应为1～2",""))),IF(T32="","缺少轮毂比",""),IF(T32="","",IF(NOT(ISNUMBER(T32)),"轮毂比应为数值",IF(OR(T32&lt;0,T32&gt;1),"轮毂比应为0～1",""))),IF(U32="","缺少最高通风机效率ηr",""),IF(U32="","",IF(NOT(ISNUMBER(U32)),"最高通风机效率ηr应为数值",IF(OR(U32&lt;1,U32&gt;100),"最高通风机效率ηr应为1～100的百分数本值",""))),IF(AC32="","缺少铭牌照片",""),IF(AND(ISTEXT(AD32),OR(AD32&lt;&gt;TRIM(AD32),ISNUMBER(SEARCH("　",AD32)))),"填表备注含首尾空格或全角空格",""),IF(AND(ISNUMBER(M32),M32&gt;30000),"风机压力超过30kPa，超出通风机标准范围",""),IF(AND(J32="是",H32="是"),"动叶可调特殊效率规则要求进口无进气箱",""),IF(AND(J32="是",I32="是"),"动叶可调特殊效率规则要求出口无扩散筒","")),"")</f>
        <v/>
      </c>
    </row>
    <row r="33" ht="42" customHeight="1" s="184">
      <c r="A33" s="224">
        <f>IF(COUNTA(B33,C33,D33,E33,F33,G33,H33,I33,J33,K33,L33,M33,N33,O33,P33,Q33,R33,S33,T33,U33,AC33,AD33)&gt;0,ROW()-3,"")</f>
        <v/>
      </c>
      <c r="B33" s="176" t="n"/>
      <c r="C33" s="176" t="n"/>
      <c r="D33" s="228" t="n"/>
      <c r="E33" s="176" t="n"/>
      <c r="F33" s="218" t="n"/>
      <c r="G33" s="218" t="n"/>
      <c r="H33" s="218" t="n"/>
      <c r="I33" s="218" t="n"/>
      <c r="J33" s="218" t="n"/>
      <c r="K33" s="218" t="n"/>
      <c r="L33" s="229" t="n"/>
      <c r="M33" s="229" t="n"/>
      <c r="N33" s="229" t="n"/>
      <c r="O33" s="229" t="n"/>
      <c r="P33" s="229" t="n"/>
      <c r="Q33" s="229" t="n"/>
      <c r="R33" s="229" t="n"/>
      <c r="S33" s="235" t="n"/>
      <c r="T33" s="235" t="n"/>
      <c r="U33" s="229" t="n"/>
      <c r="V33" s="113" t="n"/>
      <c r="W33" s="113" t="n"/>
      <c r="X33" s="113" t="n"/>
      <c r="Y33" s="227" t="n"/>
      <c r="Z33" s="227" t="n"/>
      <c r="AA33" s="227" t="n"/>
      <c r="AB33" s="81" t="n"/>
      <c r="AC33" s="180" t="n"/>
      <c r="AD33" s="180" t="n"/>
      <c r="AE33" s="99">
        <f>IF(COUNTA(B33,C33,D33,E33,F33,G33,H33,I33,J33,K33,L33,M33,N33,O33,P33,Q33,R33,S33,T33,U33,AC33,AD33)&gt;0,TEXTJOIN("；",TRUE,IF(B33="","缺少设备名称",""),IF(AND(ISTEXT(B33),OR(B33&lt;&gt;TRIM(B33),ISNUMBER(SEARCH("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",E33)))),"安装位置含首尾空格或全角空格",""),IF(F33="","缺少设备类别",""),IF(F33="","",IF(COUNTIF(EV_AXIAL_FAN_CATEGORY,F33)=0,"设备类别不在标准枚举中","")),IF(AND(ISTEXT(F33),OR(F33&lt;&gt;TRIM(F33),ISNUMBER(SEARCH("　",F33)))),"设备类别含首尾空格或全角空格",""),IF(G33="","缺少传动方式",""),IF(G33="","",IF(COUNTIF(EV_TRANSMISSION,G33)=0,"传动方式不在标准枚举中","")),IF(AND(ISTEXT(G33),OR(G33&lt;&gt;TRIM(G33),ISNUMBER(SEARCH("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",G33)))),"传动方式含首尾空格或全角空格",""),IF(H33="","缺少是否带进气箱",""),IF(H33="","",IF(COUNTIF(EV_YES_NO,H33)=0,"是否带进气箱不在标准枚举中","")),IF(AND(ISTEXT(H33),OR(H33&lt;&gt;TRIM(H33),ISNUMBER(SEARCH("　",H33)))),"是否带进气箱含首尾空格或全角空格",""),IF(I33="","缺少是否带扩散筒",""),IF(I33="","",IF(COUNTIF(EV_YES_NO,I33)=0,"是否带扩散筒不在标准枚举中","")),IF(AND(ISTEXT(I33),OR(I33&lt;&gt;TRIM(I33),ISNUMBER(SEARCH("　",I33)))),"是否带扩散筒含首尾空格或全角空格",""),IF(J33="","缺少是否动叶可调",""),IF(J33="","",IF(COUNTIF(EV_YES_NO,J33)=0,"是否动叶可调不在标准枚举中","")),IF(AND(ISTEXT(J33),OR(J33&lt;&gt;TRIM(J33),ISNUMBER(SEARCH("　",J33)))),"是否动叶可调含首尾空格或全角空格",""),IF(K33="","缺少是否可逆转",""),IF(K33="","",IF(COUNTIF(EV_YES_NO,K33)=0,"是否可逆转不在标准枚举中","")),IF(AND(ISTEXT(K33),OR(K33&lt;&gt;TRIM(K33),ISNUMBER(SEARCH("　",K33)))),"是否可逆转含首尾空格或全角空格",""),IF(L33="","缺少流量",""),IF(L33="","",IF(NOT(ISNUMBER(L33)),"流量应为数值",IF(L33&lt;=0,"流量应大于0",""))),IF(M33="","缺少风机压力pF",""),IF(M33="","",IF(NOT(ISNUMBER(M33)),"风机压力pF应为数值",IF(M33&lt;=0,"风机压力pF应大于0",""))),IF(N33="","缺少额定功率",""),IF(N33="","",IF(NOT(ISNUMBER(N33)),"额定功率应为数值",IF(N33&lt;=0,"额定功率应大于0",""))),IF(O33="","缺少叶轮功率",""),IF(O33="","",IF(NOT(ISNUMBER(O33)),"叶轮功率应为数值",IF(O33&lt;=0,"叶轮功率应大于0",""))),IF(P33="","缺少转速",""),IF(P33="","",IF(NOT(ISNUMBER(P33)),"转速应为数值",IF(P33&lt;=0,"转速应大于0",""))),IF(Q33="","缺少机号",""),IF(Q33="","",IF(NOT(ISNUMBER(Q33)),"机号应为数值",IF(Q33&lt;=0,"机号应大于0",""))),IF(R33="","缺少进口滞止密度",""),IF(R33="","",IF(NOT(ISNUMBER(R33)),"进口滞止密度应为数值",IF(R33&lt;=0,"进口滞止密度应大于0",""))),IF(S33="","缺少等熵指数k",""),IF(S33="","",IF(NOT(ISNUMBER(S33)),"等熵指数k应为数值",IF(OR(S33&lt;1,S33&gt;2),"等熵指数k应为1～2",""))),IF(T33="","缺少轮毂比",""),IF(T33="","",IF(NOT(ISNUMBER(T33)),"轮毂比应为数值",IF(OR(T33&lt;0,T33&gt;1),"轮毂比应为0～1",""))),IF(U33="","缺少最高通风机效率ηr",""),IF(U33="","",IF(NOT(ISNUMBER(U33)),"最高通风机效率ηr应为数值",IF(OR(U33&lt;1,U33&gt;100),"最高通风机效率ηr应为1～100的百分数本值",""))),IF(AC33="","缺少铭牌照片",""),IF(AND(ISTEXT(AD33),OR(AD33&lt;&gt;TRIM(AD33),ISNUMBER(SEARCH("　",AD33)))),"填表备注含首尾空格或全角空格",""),IF(AND(ISNUMBER(M33),M33&gt;30000),"风机压力超过30kPa，超出通风机标准范围",""),IF(AND(J33="是",H33="是"),"动叶可调特殊效率规则要求进口无进气箱",""),IF(AND(J33="是",I33="是"),"动叶可调特殊效率规则要求出口无扩散筒","")),"")</f>
        <v/>
      </c>
    </row>
    <row r="34" ht="42" customHeight="1" s="184">
      <c r="A34" s="224">
        <f>IF(COUNTA(B34,C34,D34,E34,F34,G34,H34,I34,J34,K34,L34,M34,N34,O34,P34,Q34,R34,S34,T34,U34,AC34,AD34)&gt;0,ROW()-3,"")</f>
        <v/>
      </c>
      <c r="B34" s="176" t="n"/>
      <c r="C34" s="176" t="n"/>
      <c r="D34" s="228" t="n"/>
      <c r="E34" s="176" t="n"/>
      <c r="F34" s="218" t="n"/>
      <c r="G34" s="218" t="n"/>
      <c r="H34" s="218" t="n"/>
      <c r="I34" s="218" t="n"/>
      <c r="J34" s="218" t="n"/>
      <c r="K34" s="218" t="n"/>
      <c r="L34" s="229" t="n"/>
      <c r="M34" s="229" t="n"/>
      <c r="N34" s="229" t="n"/>
      <c r="O34" s="229" t="n"/>
      <c r="P34" s="229" t="n"/>
      <c r="Q34" s="229" t="n"/>
      <c r="R34" s="229" t="n"/>
      <c r="S34" s="235" t="n"/>
      <c r="T34" s="235" t="n"/>
      <c r="U34" s="229" t="n"/>
      <c r="V34" s="113" t="n"/>
      <c r="W34" s="113" t="n"/>
      <c r="X34" s="113" t="n"/>
      <c r="Y34" s="227" t="n"/>
      <c r="Z34" s="227" t="n"/>
      <c r="AA34" s="227" t="n"/>
      <c r="AB34" s="81" t="n"/>
      <c r="AC34" s="180" t="n"/>
      <c r="AD34" s="180" t="n"/>
      <c r="AE34" s="99">
        <f>IF(COUNTA(B34,C34,D34,E34,F34,G34,H34,I34,J34,K34,L34,M34,N34,O34,P34,Q34,R34,S34,T34,U34,AC34,AD34)&gt;0,TEXTJOIN("；",TRUE,IF(B34="","缺少设备名称",""),IF(AND(ISTEXT(B34),OR(B34&lt;&gt;TRIM(B34),ISNUMBER(SEARCH("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",E34)))),"安装位置含首尾空格或全角空格",""),IF(F34="","缺少设备类别",""),IF(F34="","",IF(COUNTIF(EV_AXIAL_FAN_CATEGORY,F34)=0,"设备类别不在标准枚举中","")),IF(AND(ISTEXT(F34),OR(F34&lt;&gt;TRIM(F34),ISNUMBER(SEARCH("　",F34)))),"设备类别含首尾空格或全角空格",""),IF(G34="","缺少传动方式",""),IF(G34="","",IF(COUNTIF(EV_TRANSMISSION,G34)=0,"传动方式不在标准枚举中","")),IF(AND(ISTEXT(G34),OR(G34&lt;&gt;TRIM(G34),ISNUMBER(SEARCH("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",G34)))),"传动方式含首尾空格或全角空格",""),IF(H34="","缺少是否带进气箱",""),IF(H34="","",IF(COUNTIF(EV_YES_NO,H34)=0,"是否带进气箱不在标准枚举中","")),IF(AND(ISTEXT(H34),OR(H34&lt;&gt;TRIM(H34),ISNUMBER(SEARCH("　",H34)))),"是否带进气箱含首尾空格或全角空格",""),IF(I34="","缺少是否带扩散筒",""),IF(I34="","",IF(COUNTIF(EV_YES_NO,I34)=0,"是否带扩散筒不在标准枚举中","")),IF(AND(ISTEXT(I34),OR(I34&lt;&gt;TRIM(I34),ISNUMBER(SEARCH("　",I34)))),"是否带扩散筒含首尾空格或全角空格",""),IF(J34="","缺少是否动叶可调",""),IF(J34="","",IF(COUNTIF(EV_YES_NO,J34)=0,"是否动叶可调不在标准枚举中","")),IF(AND(ISTEXT(J34),OR(J34&lt;&gt;TRIM(J34),ISNUMBER(SEARCH("　",J34)))),"是否动叶可调含首尾空格或全角空格",""),IF(K34="","缺少是否可逆转",""),IF(K34="","",IF(COUNTIF(EV_YES_NO,K34)=0,"是否可逆转不在标准枚举中","")),IF(AND(ISTEXT(K34),OR(K34&lt;&gt;TRIM(K34),ISNUMBER(SEARCH("　",K34)))),"是否可逆转含首尾空格或全角空格",""),IF(L34="","缺少流量",""),IF(L34="","",IF(NOT(ISNUMBER(L34)),"流量应为数值",IF(L34&lt;=0,"流量应大于0",""))),IF(M34="","缺少风机压力pF",""),IF(M34="","",IF(NOT(ISNUMBER(M34)),"风机压力pF应为数值",IF(M34&lt;=0,"风机压力pF应大于0",""))),IF(N34="","缺少额定功率",""),IF(N34="","",IF(NOT(ISNUMBER(N34)),"额定功率应为数值",IF(N34&lt;=0,"额定功率应大于0",""))),IF(O34="","缺少叶轮功率",""),IF(O34="","",IF(NOT(ISNUMBER(O34)),"叶轮功率应为数值",IF(O34&lt;=0,"叶轮功率应大于0",""))),IF(P34="","缺少转速",""),IF(P34="","",IF(NOT(ISNUMBER(P34)),"转速应为数值",IF(P34&lt;=0,"转速应大于0",""))),IF(Q34="","缺少机号",""),IF(Q34="","",IF(NOT(ISNUMBER(Q34)),"机号应为数值",IF(Q34&lt;=0,"机号应大于0",""))),IF(R34="","缺少进口滞止密度",""),IF(R34="","",IF(NOT(ISNUMBER(R34)),"进口滞止密度应为数值",IF(R34&lt;=0,"进口滞止密度应大于0",""))),IF(S34="","缺少等熵指数k",""),IF(S34="","",IF(NOT(ISNUMBER(S34)),"等熵指数k应为数值",IF(OR(S34&lt;1,S34&gt;2),"等熵指数k应为1～2",""))),IF(T34="","缺少轮毂比",""),IF(T34="","",IF(NOT(ISNUMBER(T34)),"轮毂比应为数值",IF(OR(T34&lt;0,T34&gt;1),"轮毂比应为0～1",""))),IF(U34="","缺少最高通风机效率ηr",""),IF(U34="","",IF(NOT(ISNUMBER(U34)),"最高通风机效率ηr应为数值",IF(OR(U34&lt;1,U34&gt;100),"最高通风机效率ηr应为1～100的百分数本值",""))),IF(AC34="","缺少铭牌照片",""),IF(AND(ISTEXT(AD34),OR(AD34&lt;&gt;TRIM(AD34),ISNUMBER(SEARCH("　",AD34)))),"填表备注含首尾空格或全角空格",""),IF(AND(ISNUMBER(M34),M34&gt;30000),"风机压力超过30kPa，超出通风机标准范围",""),IF(AND(J34="是",H34="是"),"动叶可调特殊效率规则要求进口无进气箱",""),IF(AND(J34="是",I34="是"),"动叶可调特殊效率规则要求出口无扩散筒","")),"")</f>
        <v/>
      </c>
    </row>
    <row r="35" ht="42" customHeight="1" s="184">
      <c r="A35" s="224">
        <f>IF(COUNTA(B35,C35,D35,E35,F35,G35,H35,I35,J35,K35,L35,M35,N35,O35,P35,Q35,R35,S35,T35,U35,AC35,AD35)&gt;0,ROW()-3,"")</f>
        <v/>
      </c>
      <c r="B35" s="176" t="n"/>
      <c r="C35" s="176" t="n"/>
      <c r="D35" s="228" t="n"/>
      <c r="E35" s="176" t="n"/>
      <c r="F35" s="218" t="n"/>
      <c r="G35" s="218" t="n"/>
      <c r="H35" s="218" t="n"/>
      <c r="I35" s="218" t="n"/>
      <c r="J35" s="218" t="n"/>
      <c r="K35" s="218" t="n"/>
      <c r="L35" s="229" t="n"/>
      <c r="M35" s="229" t="n"/>
      <c r="N35" s="229" t="n"/>
      <c r="O35" s="229" t="n"/>
      <c r="P35" s="229" t="n"/>
      <c r="Q35" s="229" t="n"/>
      <c r="R35" s="229" t="n"/>
      <c r="S35" s="235" t="n"/>
      <c r="T35" s="235" t="n"/>
      <c r="U35" s="229" t="n"/>
      <c r="V35" s="113" t="n"/>
      <c r="W35" s="113" t="n"/>
      <c r="X35" s="113" t="n"/>
      <c r="Y35" s="227" t="n"/>
      <c r="Z35" s="227" t="n"/>
      <c r="AA35" s="227" t="n"/>
      <c r="AB35" s="81" t="n"/>
      <c r="AC35" s="180" t="n"/>
      <c r="AD35" s="180" t="n"/>
      <c r="AE35" s="99">
        <f>IF(COUNTA(B35,C35,D35,E35,F35,G35,H35,I35,J35,K35,L35,M35,N35,O35,P35,Q35,R35,S35,T35,U35,AC35,AD35)&gt;0,TEXTJOIN("；",TRUE,IF(B35="","缺少设备名称",""),IF(AND(ISTEXT(B35),OR(B35&lt;&gt;TRIM(B35),ISNUMBER(SEARCH("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",E35)))),"安装位置含首尾空格或全角空格",""),IF(F35="","缺少设备类别",""),IF(F35="","",IF(COUNTIF(EV_AXIAL_FAN_CATEGORY,F35)=0,"设备类别不在标准枚举中","")),IF(AND(ISTEXT(F35),OR(F35&lt;&gt;TRIM(F35),ISNUMBER(SEARCH("　",F35)))),"设备类别含首尾空格或全角空格",""),IF(G35="","缺少传动方式",""),IF(G35="","",IF(COUNTIF(EV_TRANSMISSION,G35)=0,"传动方式不在标准枚举中","")),IF(AND(ISTEXT(G35),OR(G35&lt;&gt;TRIM(G35),ISNUMBER(SEARCH("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",G35)))),"传动方式含首尾空格或全角空格",""),IF(H35="","缺少是否带进气箱",""),IF(H35="","",IF(COUNTIF(EV_YES_NO,H35)=0,"是否带进气箱不在标准枚举中","")),IF(AND(ISTEXT(H35),OR(H35&lt;&gt;TRIM(H35),ISNUMBER(SEARCH("　",H35)))),"是否带进气箱含首尾空格或全角空格",""),IF(I35="","缺少是否带扩散筒",""),IF(I35="","",IF(COUNTIF(EV_YES_NO,I35)=0,"是否带扩散筒不在标准枚举中","")),IF(AND(ISTEXT(I35),OR(I35&lt;&gt;TRIM(I35),ISNUMBER(SEARCH("　",I35)))),"是否带扩散筒含首尾空格或全角空格",""),IF(J35="","缺少是否动叶可调",""),IF(J35="","",IF(COUNTIF(EV_YES_NO,J35)=0,"是否动叶可调不在标准枚举中","")),IF(AND(ISTEXT(J35),OR(J35&lt;&gt;TRIM(J35),ISNUMBER(SEARCH("　",J35)))),"是否动叶可调含首尾空格或全角空格",""),IF(K35="","缺少是否可逆转",""),IF(K35="","",IF(COUNTIF(EV_YES_NO,K35)=0,"是否可逆转不在标准枚举中","")),IF(AND(ISTEXT(K35),OR(K35&lt;&gt;TRIM(K35),ISNUMBER(SEARCH("　",K35)))),"是否可逆转含首尾空格或全角空格",""),IF(L35="","缺少流量",""),IF(L35="","",IF(NOT(ISNUMBER(L35)),"流量应为数值",IF(L35&lt;=0,"流量应大于0",""))),IF(M35="","缺少风机压力pF",""),IF(M35="","",IF(NOT(ISNUMBER(M35)),"风机压力pF应为数值",IF(M35&lt;=0,"风机压力pF应大于0",""))),IF(N35="","缺少额定功率",""),IF(N35="","",IF(NOT(ISNUMBER(N35)),"额定功率应为数值",IF(N35&lt;=0,"额定功率应大于0",""))),IF(O35="","缺少叶轮功率",""),IF(O35="","",IF(NOT(ISNUMBER(O35)),"叶轮功率应为数值",IF(O35&lt;=0,"叶轮功率应大于0",""))),IF(P35="","缺少转速",""),IF(P35="","",IF(NOT(ISNUMBER(P35)),"转速应为数值",IF(P35&lt;=0,"转速应大于0",""))),IF(Q35="","缺少机号",""),IF(Q35="","",IF(NOT(ISNUMBER(Q35)),"机号应为数值",IF(Q35&lt;=0,"机号应大于0",""))),IF(R35="","缺少进口滞止密度",""),IF(R35="","",IF(NOT(ISNUMBER(R35)),"进口滞止密度应为数值",IF(R35&lt;=0,"进口滞止密度应大于0",""))),IF(S35="","缺少等熵指数k",""),IF(S35="","",IF(NOT(ISNUMBER(S35)),"等熵指数k应为数值",IF(OR(S35&lt;1,S35&gt;2),"等熵指数k应为1～2",""))),IF(T35="","缺少轮毂比",""),IF(T35="","",IF(NOT(ISNUMBER(T35)),"轮毂比应为数值",IF(OR(T35&lt;0,T35&gt;1),"轮毂比应为0～1",""))),IF(U35="","缺少最高通风机效率ηr",""),IF(U35="","",IF(NOT(ISNUMBER(U35)),"最高通风机效率ηr应为数值",IF(OR(U35&lt;1,U35&gt;100),"最高通风机效率ηr应为1～100的百分数本值",""))),IF(AC35="","缺少铭牌照片",""),IF(AND(ISTEXT(AD35),OR(AD35&lt;&gt;TRIM(AD35),ISNUMBER(SEARCH("　",AD35)))),"填表备注含首尾空格或全角空格",""),IF(AND(ISNUMBER(M35),M35&gt;30000),"风机压力超过30kPa，超出通风机标准范围",""),IF(AND(J35="是",H35="是"),"动叶可调特殊效率规则要求进口无进气箱",""),IF(AND(J35="是",I35="是"),"动叶可调特殊效率规则要求出口无扩散筒","")),"")</f>
        <v/>
      </c>
    </row>
    <row r="36" ht="42" customHeight="1" s="184">
      <c r="A36" s="224">
        <f>IF(COUNTA(B36,C36,D36,E36,F36,G36,H36,I36,J36,K36,L36,M36,N36,O36,P36,Q36,R36,S36,T36,U36,AC36,AD36)&gt;0,ROW()-3,"")</f>
        <v/>
      </c>
      <c r="B36" s="176" t="n"/>
      <c r="C36" s="176" t="n"/>
      <c r="D36" s="228" t="n"/>
      <c r="E36" s="176" t="n"/>
      <c r="F36" s="218" t="n"/>
      <c r="G36" s="218" t="n"/>
      <c r="H36" s="218" t="n"/>
      <c r="I36" s="218" t="n"/>
      <c r="J36" s="218" t="n"/>
      <c r="K36" s="218" t="n"/>
      <c r="L36" s="229" t="n"/>
      <c r="M36" s="229" t="n"/>
      <c r="N36" s="229" t="n"/>
      <c r="O36" s="229" t="n"/>
      <c r="P36" s="229" t="n"/>
      <c r="Q36" s="229" t="n"/>
      <c r="R36" s="229" t="n"/>
      <c r="S36" s="235" t="n"/>
      <c r="T36" s="235" t="n"/>
      <c r="U36" s="229" t="n"/>
      <c r="V36" s="113" t="n"/>
      <c r="W36" s="113" t="n"/>
      <c r="X36" s="113" t="n"/>
      <c r="Y36" s="227" t="n"/>
      <c r="Z36" s="227" t="n"/>
      <c r="AA36" s="227" t="n"/>
      <c r="AB36" s="81" t="n"/>
      <c r="AC36" s="180" t="n"/>
      <c r="AD36" s="180" t="n"/>
      <c r="AE36" s="99">
        <f>IF(COUNTA(B36,C36,D36,E36,F36,G36,H36,I36,J36,K36,L36,M36,N36,O36,P36,Q36,R36,S36,T36,U36,AC36,AD36)&gt;0,TEXTJOIN("；",TRUE,IF(B36="","缺少设备名称",""),IF(AND(ISTEXT(B36),OR(B36&lt;&gt;TRIM(B36),ISNUMBER(SEARCH("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",E36)))),"安装位置含首尾空格或全角空格",""),IF(F36="","缺少设备类别",""),IF(F36="","",IF(COUNTIF(EV_AXIAL_FAN_CATEGORY,F36)=0,"设备类别不在标准枚举中","")),IF(AND(ISTEXT(F36),OR(F36&lt;&gt;TRIM(F36),ISNUMBER(SEARCH("　",F36)))),"设备类别含首尾空格或全角空格",""),IF(G36="","缺少传动方式",""),IF(G36="","",IF(COUNTIF(EV_TRANSMISSION,G36)=0,"传动方式不在标准枚举中","")),IF(AND(ISTEXT(G36),OR(G36&lt;&gt;TRIM(G36),ISNUMBER(SEARCH("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",G36)))),"传动方式含首尾空格或全角空格",""),IF(H36="","缺少是否带进气箱",""),IF(H36="","",IF(COUNTIF(EV_YES_NO,H36)=0,"是否带进气箱不在标准枚举中","")),IF(AND(ISTEXT(H36),OR(H36&lt;&gt;TRIM(H36),ISNUMBER(SEARCH("　",H36)))),"是否带进气箱含首尾空格或全角空格",""),IF(I36="","缺少是否带扩散筒",""),IF(I36="","",IF(COUNTIF(EV_YES_NO,I36)=0,"是否带扩散筒不在标准枚举中","")),IF(AND(ISTEXT(I36),OR(I36&lt;&gt;TRIM(I36),ISNUMBER(SEARCH("　",I36)))),"是否带扩散筒含首尾空格或全角空格",""),IF(J36="","缺少是否动叶可调",""),IF(J36="","",IF(COUNTIF(EV_YES_NO,J36)=0,"是否动叶可调不在标准枚举中","")),IF(AND(ISTEXT(J36),OR(J36&lt;&gt;TRIM(J36),ISNUMBER(SEARCH("　",J36)))),"是否动叶可调含首尾空格或全角空格",""),IF(K36="","缺少是否可逆转",""),IF(K36="","",IF(COUNTIF(EV_YES_NO,K36)=0,"是否可逆转不在标准枚举中","")),IF(AND(ISTEXT(K36),OR(K36&lt;&gt;TRIM(K36),ISNUMBER(SEARCH("　",K36)))),"是否可逆转含首尾空格或全角空格",""),IF(L36="","缺少流量",""),IF(L36="","",IF(NOT(ISNUMBER(L36)),"流量应为数值",IF(L36&lt;=0,"流量应大于0",""))),IF(M36="","缺少风机压力pF",""),IF(M36="","",IF(NOT(ISNUMBER(M36)),"风机压力pF应为数值",IF(M36&lt;=0,"风机压力pF应大于0",""))),IF(N36="","缺少额定功率",""),IF(N36="","",IF(NOT(ISNUMBER(N36)),"额定功率应为数值",IF(N36&lt;=0,"额定功率应大于0",""))),IF(O36="","缺少叶轮功率",""),IF(O36="","",IF(NOT(ISNUMBER(O36)),"叶轮功率应为数值",IF(O36&lt;=0,"叶轮功率应大于0",""))),IF(P36="","缺少转速",""),IF(P36="","",IF(NOT(ISNUMBER(P36)),"转速应为数值",IF(P36&lt;=0,"转速应大于0",""))),IF(Q36="","缺少机号",""),IF(Q36="","",IF(NOT(ISNUMBER(Q36)),"机号应为数值",IF(Q36&lt;=0,"机号应大于0",""))),IF(R36="","缺少进口滞止密度",""),IF(R36="","",IF(NOT(ISNUMBER(R36)),"进口滞止密度应为数值",IF(R36&lt;=0,"进口滞止密度应大于0",""))),IF(S36="","缺少等熵指数k",""),IF(S36="","",IF(NOT(ISNUMBER(S36)),"等熵指数k应为数值",IF(OR(S36&lt;1,S36&gt;2),"等熵指数k应为1～2",""))),IF(T36="","缺少轮毂比",""),IF(T36="","",IF(NOT(ISNUMBER(T36)),"轮毂比应为数值",IF(OR(T36&lt;0,T36&gt;1),"轮毂比应为0～1",""))),IF(U36="","缺少最高通风机效率ηr",""),IF(U36="","",IF(NOT(ISNUMBER(U36)),"最高通风机效率ηr应为数值",IF(OR(U36&lt;1,U36&gt;100),"最高通风机效率ηr应为1～100的百分数本值",""))),IF(AC36="","缺少铭牌照片",""),IF(AND(ISTEXT(AD36),OR(AD36&lt;&gt;TRIM(AD36),ISNUMBER(SEARCH("　",AD36)))),"填表备注含首尾空格或全角空格",""),IF(AND(ISNUMBER(M36),M36&gt;30000),"风机压力超过30kPa，超出通风机标准范围",""),IF(AND(J36="是",H36="是"),"动叶可调特殊效率规则要求进口无进气箱",""),IF(AND(J36="是",I36="是"),"动叶可调特殊效率规则要求出口无扩散筒","")),"")</f>
        <v/>
      </c>
    </row>
    <row r="37" ht="42" customHeight="1" s="184">
      <c r="A37" s="224">
        <f>IF(COUNTA(B37,C37,D37,E37,F37,G37,H37,I37,J37,K37,L37,M37,N37,O37,P37,Q37,R37,S37,T37,U37,AC37,AD37)&gt;0,ROW()-3,"")</f>
        <v/>
      </c>
      <c r="B37" s="176" t="n"/>
      <c r="C37" s="176" t="n"/>
      <c r="D37" s="228" t="n"/>
      <c r="E37" s="176" t="n"/>
      <c r="F37" s="218" t="n"/>
      <c r="G37" s="218" t="n"/>
      <c r="H37" s="218" t="n"/>
      <c r="I37" s="218" t="n"/>
      <c r="J37" s="218" t="n"/>
      <c r="K37" s="218" t="n"/>
      <c r="L37" s="229" t="n"/>
      <c r="M37" s="229" t="n"/>
      <c r="N37" s="229" t="n"/>
      <c r="O37" s="229" t="n"/>
      <c r="P37" s="229" t="n"/>
      <c r="Q37" s="229" t="n"/>
      <c r="R37" s="229" t="n"/>
      <c r="S37" s="235" t="n"/>
      <c r="T37" s="235" t="n"/>
      <c r="U37" s="229" t="n"/>
      <c r="V37" s="113" t="n"/>
      <c r="W37" s="113" t="n"/>
      <c r="X37" s="113" t="n"/>
      <c r="Y37" s="227" t="n"/>
      <c r="Z37" s="227" t="n"/>
      <c r="AA37" s="227" t="n"/>
      <c r="AB37" s="81" t="n"/>
      <c r="AC37" s="180" t="n"/>
      <c r="AD37" s="180" t="n"/>
      <c r="AE37" s="99">
        <f>IF(COUNTA(B37,C37,D37,E37,F37,G37,H37,I37,J37,K37,L37,M37,N37,O37,P37,Q37,R37,S37,T37,U37,AC37,AD37)&gt;0,TEXTJOIN("；",TRUE,IF(B37="","缺少设备名称",""),IF(AND(ISTEXT(B37),OR(B37&lt;&gt;TRIM(B37),ISNUMBER(SEARCH("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",E37)))),"安装位置含首尾空格或全角空格",""),IF(F37="","缺少设备类别",""),IF(F37="","",IF(COUNTIF(EV_AXIAL_FAN_CATEGORY,F37)=0,"设备类别不在标准枚举中","")),IF(AND(ISTEXT(F37),OR(F37&lt;&gt;TRIM(F37),ISNUMBER(SEARCH("　",F37)))),"设备类别含首尾空格或全角空格",""),IF(G37="","缺少传动方式",""),IF(G37="","",IF(COUNTIF(EV_TRANSMISSION,G37)=0,"传动方式不在标准枚举中","")),IF(AND(ISTEXT(G37),OR(G37&lt;&gt;TRIM(G37),ISNUMBER(SEARCH("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",G37)))),"传动方式含首尾空格或全角空格",""),IF(H37="","缺少是否带进气箱",""),IF(H37="","",IF(COUNTIF(EV_YES_NO,H37)=0,"是否带进气箱不在标准枚举中","")),IF(AND(ISTEXT(H37),OR(H37&lt;&gt;TRIM(H37),ISNUMBER(SEARCH("　",H37)))),"是否带进气箱含首尾空格或全角空格",""),IF(I37="","缺少是否带扩散筒",""),IF(I37="","",IF(COUNTIF(EV_YES_NO,I37)=0,"是否带扩散筒不在标准枚举中","")),IF(AND(ISTEXT(I37),OR(I37&lt;&gt;TRIM(I37),ISNUMBER(SEARCH("　",I37)))),"是否带扩散筒含首尾空格或全角空格",""),IF(J37="","缺少是否动叶可调",""),IF(J37="","",IF(COUNTIF(EV_YES_NO,J37)=0,"是否动叶可调不在标准枚举中","")),IF(AND(ISTEXT(J37),OR(J37&lt;&gt;TRIM(J37),ISNUMBER(SEARCH("　",J37)))),"是否动叶可调含首尾空格或全角空格",""),IF(K37="","缺少是否可逆转",""),IF(K37="","",IF(COUNTIF(EV_YES_NO,K37)=0,"是否可逆转不在标准枚举中","")),IF(AND(ISTEXT(K37),OR(K37&lt;&gt;TRIM(K37),ISNUMBER(SEARCH("　",K37)))),"是否可逆转含首尾空格或全角空格",""),IF(L37="","缺少流量",""),IF(L37="","",IF(NOT(ISNUMBER(L37)),"流量应为数值",IF(L37&lt;=0,"流量应大于0",""))),IF(M37="","缺少风机压力pF",""),IF(M37="","",IF(NOT(ISNUMBER(M37)),"风机压力pF应为数值",IF(M37&lt;=0,"风机压力pF应大于0",""))),IF(N37="","缺少额定功率",""),IF(N37="","",IF(NOT(ISNUMBER(N37)),"额定功率应为数值",IF(N37&lt;=0,"额定功率应大于0",""))),IF(O37="","缺少叶轮功率",""),IF(O37="","",IF(NOT(ISNUMBER(O37)),"叶轮功率应为数值",IF(O37&lt;=0,"叶轮功率应大于0",""))),IF(P37="","缺少转速",""),IF(P37="","",IF(NOT(ISNUMBER(P37)),"转速应为数值",IF(P37&lt;=0,"转速应大于0",""))),IF(Q37="","缺少机号",""),IF(Q37="","",IF(NOT(ISNUMBER(Q37)),"机号应为数值",IF(Q37&lt;=0,"机号应大于0",""))),IF(R37="","缺少进口滞止密度",""),IF(R37="","",IF(NOT(ISNUMBER(R37)),"进口滞止密度应为数值",IF(R37&lt;=0,"进口滞止密度应大于0",""))),IF(S37="","缺少等熵指数k",""),IF(S37="","",IF(NOT(ISNUMBER(S37)),"等熵指数k应为数值",IF(OR(S37&lt;1,S37&gt;2),"等熵指数k应为1～2",""))),IF(T37="","缺少轮毂比",""),IF(T37="","",IF(NOT(ISNUMBER(T37)),"轮毂比应为数值",IF(OR(T37&lt;0,T37&gt;1),"轮毂比应为0～1",""))),IF(U37="","缺少最高通风机效率ηr",""),IF(U37="","",IF(NOT(ISNUMBER(U37)),"最高通风机效率ηr应为数值",IF(OR(U37&lt;1,U37&gt;100),"最高通风机效率ηr应为1～100的百分数本值",""))),IF(AC37="","缺少铭牌照片",""),IF(AND(ISTEXT(AD37),OR(AD37&lt;&gt;TRIM(AD37),ISNUMBER(SEARCH("　",AD37)))),"填表备注含首尾空格或全角空格",""),IF(AND(ISNUMBER(M37),M37&gt;30000),"风机压力超过30kPa，超出通风机标准范围",""),IF(AND(J37="是",H37="是"),"动叶可调特殊效率规则要求进口无进气箱",""),IF(AND(J37="是",I37="是"),"动叶可调特殊效率规则要求出口无扩散筒","")),"")</f>
        <v/>
      </c>
    </row>
    <row r="38" ht="42" customHeight="1" s="184">
      <c r="A38" s="224">
        <f>IF(COUNTA(B38,C38,D38,E38,F38,G38,H38,I38,J38,K38,L38,M38,N38,O38,P38,Q38,R38,S38,T38,U38,AC38,AD38)&gt;0,ROW()-3,"")</f>
        <v/>
      </c>
      <c r="B38" s="176" t="n"/>
      <c r="C38" s="176" t="n"/>
      <c r="D38" s="228" t="n"/>
      <c r="E38" s="176" t="n"/>
      <c r="F38" s="218" t="n"/>
      <c r="G38" s="218" t="n"/>
      <c r="H38" s="218" t="n"/>
      <c r="I38" s="218" t="n"/>
      <c r="J38" s="218" t="n"/>
      <c r="K38" s="218" t="n"/>
      <c r="L38" s="229" t="n"/>
      <c r="M38" s="229" t="n"/>
      <c r="N38" s="229" t="n"/>
      <c r="O38" s="229" t="n"/>
      <c r="P38" s="229" t="n"/>
      <c r="Q38" s="229" t="n"/>
      <c r="R38" s="229" t="n"/>
      <c r="S38" s="235" t="n"/>
      <c r="T38" s="235" t="n"/>
      <c r="U38" s="229" t="n"/>
      <c r="V38" s="113" t="n"/>
      <c r="W38" s="113" t="n"/>
      <c r="X38" s="113" t="n"/>
      <c r="Y38" s="227" t="n"/>
      <c r="Z38" s="227" t="n"/>
      <c r="AA38" s="227" t="n"/>
      <c r="AB38" s="81" t="n"/>
      <c r="AC38" s="180" t="n"/>
      <c r="AD38" s="180" t="n"/>
      <c r="AE38" s="99">
        <f>IF(COUNTA(B38,C38,D38,E38,F38,G38,H38,I38,J38,K38,L38,M38,N38,O38,P38,Q38,R38,S38,T38,U38,AC38,AD38)&gt;0,TEXTJOIN("；",TRUE,IF(B38="","缺少设备名称",""),IF(AND(ISTEXT(B38),OR(B38&lt;&gt;TRIM(B38),ISNUMBER(SEARCH("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",E38)))),"安装位置含首尾空格或全角空格",""),IF(F38="","缺少设备类别",""),IF(F38="","",IF(COUNTIF(EV_AXIAL_FAN_CATEGORY,F38)=0,"设备类别不在标准枚举中","")),IF(AND(ISTEXT(F38),OR(F38&lt;&gt;TRIM(F38),ISNUMBER(SEARCH("　",F38)))),"设备类别含首尾空格或全角空格",""),IF(G38="","缺少传动方式",""),IF(G38="","",IF(COUNTIF(EV_TRANSMISSION,G38)=0,"传动方式不在标准枚举中","")),IF(AND(ISTEXT(G38),OR(G38&lt;&gt;TRIM(G38),ISNUMBER(SEARCH("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",G38)))),"传动方式含首尾空格或全角空格",""),IF(H38="","缺少是否带进气箱",""),IF(H38="","",IF(COUNTIF(EV_YES_NO,H38)=0,"是否带进气箱不在标准枚举中","")),IF(AND(ISTEXT(H38),OR(H38&lt;&gt;TRIM(H38),ISNUMBER(SEARCH("　",H38)))),"是否带进气箱含首尾空格或全角空格",""),IF(I38="","缺少是否带扩散筒",""),IF(I38="","",IF(COUNTIF(EV_YES_NO,I38)=0,"是否带扩散筒不在标准枚举中","")),IF(AND(ISTEXT(I38),OR(I38&lt;&gt;TRIM(I38),ISNUMBER(SEARCH("　",I38)))),"是否带扩散筒含首尾空格或全角空格",""),IF(J38="","缺少是否动叶可调",""),IF(J38="","",IF(COUNTIF(EV_YES_NO,J38)=0,"是否动叶可调不在标准枚举中","")),IF(AND(ISTEXT(J38),OR(J38&lt;&gt;TRIM(J38),ISNUMBER(SEARCH("　",J38)))),"是否动叶可调含首尾空格或全角空格",""),IF(K38="","缺少是否可逆转",""),IF(K38="","",IF(COUNTIF(EV_YES_NO,K38)=0,"是否可逆转不在标准枚举中","")),IF(AND(ISTEXT(K38),OR(K38&lt;&gt;TRIM(K38),ISNUMBER(SEARCH("　",K38)))),"是否可逆转含首尾空格或全角空格",""),IF(L38="","缺少流量",""),IF(L38="","",IF(NOT(ISNUMBER(L38)),"流量应为数值",IF(L38&lt;=0,"流量应大于0",""))),IF(M38="","缺少风机压力pF",""),IF(M38="","",IF(NOT(ISNUMBER(M38)),"风机压力pF应为数值",IF(M38&lt;=0,"风机压力pF应大于0",""))),IF(N38="","缺少额定功率",""),IF(N38="","",IF(NOT(ISNUMBER(N38)),"额定功率应为数值",IF(N38&lt;=0,"额定功率应大于0",""))),IF(O38="","缺少叶轮功率",""),IF(O38="","",IF(NOT(ISNUMBER(O38)),"叶轮功率应为数值",IF(O38&lt;=0,"叶轮功率应大于0",""))),IF(P38="","缺少转速",""),IF(P38="","",IF(NOT(ISNUMBER(P38)),"转速应为数值",IF(P38&lt;=0,"转速应大于0",""))),IF(Q38="","缺少机号",""),IF(Q38="","",IF(NOT(ISNUMBER(Q38)),"机号应为数值",IF(Q38&lt;=0,"机号应大于0",""))),IF(R38="","缺少进口滞止密度",""),IF(R38="","",IF(NOT(ISNUMBER(R38)),"进口滞止密度应为数值",IF(R38&lt;=0,"进口滞止密度应大于0",""))),IF(S38="","缺少等熵指数k",""),IF(S38="","",IF(NOT(ISNUMBER(S38)),"等熵指数k应为数值",IF(OR(S38&lt;1,S38&gt;2),"等熵指数k应为1～2",""))),IF(T38="","缺少轮毂比",""),IF(T38="","",IF(NOT(ISNUMBER(T38)),"轮毂比应为数值",IF(OR(T38&lt;0,T38&gt;1),"轮毂比应为0～1",""))),IF(U38="","缺少最高通风机效率ηr",""),IF(U38="","",IF(NOT(ISNUMBER(U38)),"最高通风机效率ηr应为数值",IF(OR(U38&lt;1,U38&gt;100),"最高通风机效率ηr应为1～100的百分数本值",""))),IF(AC38="","缺少铭牌照片",""),IF(AND(ISTEXT(AD38),OR(AD38&lt;&gt;TRIM(AD38),ISNUMBER(SEARCH("　",AD38)))),"填表备注含首尾空格或全角空格",""),IF(AND(ISNUMBER(M38),M38&gt;30000),"风机压力超过30kPa，超出通风机标准范围",""),IF(AND(J38="是",H38="是"),"动叶可调特殊效率规则要求进口无进气箱",""),IF(AND(J38="是",I38="是"),"动叶可调特殊效率规则要求出口无扩散筒","")),"")</f>
        <v/>
      </c>
    </row>
    <row r="39" ht="42" customHeight="1" s="184">
      <c r="A39" s="224">
        <f>IF(COUNTA(B39,C39,D39,E39,F39,G39,H39,I39,J39,K39,L39,M39,N39,O39,P39,Q39,R39,S39,T39,U39,AC39,AD39)&gt;0,ROW()-3,"")</f>
        <v/>
      </c>
      <c r="B39" s="176" t="n"/>
      <c r="C39" s="176" t="n"/>
      <c r="D39" s="228" t="n"/>
      <c r="E39" s="176" t="n"/>
      <c r="F39" s="218" t="n"/>
      <c r="G39" s="218" t="n"/>
      <c r="H39" s="218" t="n"/>
      <c r="I39" s="218" t="n"/>
      <c r="J39" s="218" t="n"/>
      <c r="K39" s="218" t="n"/>
      <c r="L39" s="229" t="n"/>
      <c r="M39" s="229" t="n"/>
      <c r="N39" s="229" t="n"/>
      <c r="O39" s="229" t="n"/>
      <c r="P39" s="229" t="n"/>
      <c r="Q39" s="229" t="n"/>
      <c r="R39" s="229" t="n"/>
      <c r="S39" s="235" t="n"/>
      <c r="T39" s="235" t="n"/>
      <c r="U39" s="229" t="n"/>
      <c r="V39" s="113" t="n"/>
      <c r="W39" s="113" t="n"/>
      <c r="X39" s="113" t="n"/>
      <c r="Y39" s="227" t="n"/>
      <c r="Z39" s="227" t="n"/>
      <c r="AA39" s="227" t="n"/>
      <c r="AB39" s="81" t="n"/>
      <c r="AC39" s="180" t="n"/>
      <c r="AD39" s="180" t="n"/>
      <c r="AE39" s="99">
        <f>IF(COUNTA(B39,C39,D39,E39,F39,G39,H39,I39,J39,K39,L39,M39,N39,O39,P39,Q39,R39,S39,T39,U39,AC39,AD39)&gt;0,TEXTJOIN("；",TRUE,IF(B39="","缺少设备名称",""),IF(AND(ISTEXT(B39),OR(B39&lt;&gt;TRIM(B39),ISNUMBER(SEARCH("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",E39)))),"安装位置含首尾空格或全角空格",""),IF(F39="","缺少设备类别",""),IF(F39="","",IF(COUNTIF(EV_AXIAL_FAN_CATEGORY,F39)=0,"设备类别不在标准枚举中","")),IF(AND(ISTEXT(F39),OR(F39&lt;&gt;TRIM(F39),ISNUMBER(SEARCH("　",F39)))),"设备类别含首尾空格或全角空格",""),IF(G39="","缺少传动方式",""),IF(G39="","",IF(COUNTIF(EV_TRANSMISSION,G39)=0,"传动方式不在标准枚举中","")),IF(AND(ISTEXT(G39),OR(G39&lt;&gt;TRIM(G39),ISNUMBER(SEARCH("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",G39)))),"传动方式含首尾空格或全角空格",""),IF(H39="","缺少是否带进气箱",""),IF(H39="","",IF(COUNTIF(EV_YES_NO,H39)=0,"是否带进气箱不在标准枚举中","")),IF(AND(ISTEXT(H39),OR(H39&lt;&gt;TRIM(H39),ISNUMBER(SEARCH("　",H39)))),"是否带进气箱含首尾空格或全角空格",""),IF(I39="","缺少是否带扩散筒",""),IF(I39="","",IF(COUNTIF(EV_YES_NO,I39)=0,"是否带扩散筒不在标准枚举中","")),IF(AND(ISTEXT(I39),OR(I39&lt;&gt;TRIM(I39),ISNUMBER(SEARCH("　",I39)))),"是否带扩散筒含首尾空格或全角空格",""),IF(J39="","缺少是否动叶可调",""),IF(J39="","",IF(COUNTIF(EV_YES_NO,J39)=0,"是否动叶可调不在标准枚举中","")),IF(AND(ISTEXT(J39),OR(J39&lt;&gt;TRIM(J39),ISNUMBER(SEARCH("　",J39)))),"是否动叶可调含首尾空格或全角空格",""),IF(K39="","缺少是否可逆转",""),IF(K39="","",IF(COUNTIF(EV_YES_NO,K39)=0,"是否可逆转不在标准枚举中","")),IF(AND(ISTEXT(K39),OR(K39&lt;&gt;TRIM(K39),ISNUMBER(SEARCH("　",K39)))),"是否可逆转含首尾空格或全角空格",""),IF(L39="","缺少流量",""),IF(L39="","",IF(NOT(ISNUMBER(L39)),"流量应为数值",IF(L39&lt;=0,"流量应大于0",""))),IF(M39="","缺少风机压力pF",""),IF(M39="","",IF(NOT(ISNUMBER(M39)),"风机压力pF应为数值",IF(M39&lt;=0,"风机压力pF应大于0",""))),IF(N39="","缺少额定功率",""),IF(N39="","",IF(NOT(ISNUMBER(N39)),"额定功率应为数值",IF(N39&lt;=0,"额定功率应大于0",""))),IF(O39="","缺少叶轮功率",""),IF(O39="","",IF(NOT(ISNUMBER(O39)),"叶轮功率应为数值",IF(O39&lt;=0,"叶轮功率应大于0",""))),IF(P39="","缺少转速",""),IF(P39="","",IF(NOT(ISNUMBER(P39)),"转速应为数值",IF(P39&lt;=0,"转速应大于0",""))),IF(Q39="","缺少机号",""),IF(Q39="","",IF(NOT(ISNUMBER(Q39)),"机号应为数值",IF(Q39&lt;=0,"机号应大于0",""))),IF(R39="","缺少进口滞止密度",""),IF(R39="","",IF(NOT(ISNUMBER(R39)),"进口滞止密度应为数值",IF(R39&lt;=0,"进口滞止密度应大于0",""))),IF(S39="","缺少等熵指数k",""),IF(S39="","",IF(NOT(ISNUMBER(S39)),"等熵指数k应为数值",IF(OR(S39&lt;1,S39&gt;2),"等熵指数k应为1～2",""))),IF(T39="","缺少轮毂比",""),IF(T39="","",IF(NOT(ISNUMBER(T39)),"轮毂比应为数值",IF(OR(T39&lt;0,T39&gt;1),"轮毂比应为0～1",""))),IF(U39="","缺少最高通风机效率ηr",""),IF(U39="","",IF(NOT(ISNUMBER(U39)),"最高通风机效率ηr应为数值",IF(OR(U39&lt;1,U39&gt;100),"最高通风机效率ηr应为1～100的百分数本值",""))),IF(AC39="","缺少铭牌照片",""),IF(AND(ISTEXT(AD39),OR(AD39&lt;&gt;TRIM(AD39),ISNUMBER(SEARCH("　",AD39)))),"填表备注含首尾空格或全角空格",""),IF(AND(ISNUMBER(M39),M39&gt;30000),"风机压力超过30kPa，超出通风机标准范围",""),IF(AND(J39="是",H39="是"),"动叶可调特殊效率规则要求进口无进气箱",""),IF(AND(J39="是",I39="是"),"动叶可调特殊效率规则要求出口无扩散筒","")),"")</f>
        <v/>
      </c>
    </row>
    <row r="40" ht="42" customHeight="1" s="184">
      <c r="A40" s="224">
        <f>IF(COUNTA(B40,C40,D40,E40,F40,G40,H40,I40,J40,K40,L40,M40,N40,O40,P40,Q40,R40,S40,T40,U40,AC40,AD40)&gt;0,ROW()-3,"")</f>
        <v/>
      </c>
      <c r="B40" s="176" t="n"/>
      <c r="C40" s="176" t="n"/>
      <c r="D40" s="228" t="n"/>
      <c r="E40" s="176" t="n"/>
      <c r="F40" s="218" t="n"/>
      <c r="G40" s="218" t="n"/>
      <c r="H40" s="218" t="n"/>
      <c r="I40" s="218" t="n"/>
      <c r="J40" s="218" t="n"/>
      <c r="K40" s="218" t="n"/>
      <c r="L40" s="229" t="n"/>
      <c r="M40" s="229" t="n"/>
      <c r="N40" s="229" t="n"/>
      <c r="O40" s="229" t="n"/>
      <c r="P40" s="229" t="n"/>
      <c r="Q40" s="229" t="n"/>
      <c r="R40" s="229" t="n"/>
      <c r="S40" s="235" t="n"/>
      <c r="T40" s="235" t="n"/>
      <c r="U40" s="229" t="n"/>
      <c r="V40" s="113" t="n"/>
      <c r="W40" s="113" t="n"/>
      <c r="X40" s="113" t="n"/>
      <c r="Y40" s="227" t="n"/>
      <c r="Z40" s="227" t="n"/>
      <c r="AA40" s="227" t="n"/>
      <c r="AB40" s="81" t="n"/>
      <c r="AC40" s="180" t="n"/>
      <c r="AD40" s="180" t="n"/>
      <c r="AE40" s="99">
        <f>IF(COUNTA(B40,C40,D40,E40,F40,G40,H40,I40,J40,K40,L40,M40,N40,O40,P40,Q40,R40,S40,T40,U40,AC40,AD40)&gt;0,TEXTJOIN("；",TRUE,IF(B40="","缺少设备名称",""),IF(AND(ISTEXT(B40),OR(B40&lt;&gt;TRIM(B40),ISNUMBER(SEARCH("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",E40)))),"安装位置含首尾空格或全角空格",""),IF(F40="","缺少设备类别",""),IF(F40="","",IF(COUNTIF(EV_AXIAL_FAN_CATEGORY,F40)=0,"设备类别不在标准枚举中","")),IF(AND(ISTEXT(F40),OR(F40&lt;&gt;TRIM(F40),ISNUMBER(SEARCH("　",F40)))),"设备类别含首尾空格或全角空格",""),IF(G40="","缺少传动方式",""),IF(G40="","",IF(COUNTIF(EV_TRANSMISSION,G40)=0,"传动方式不在标准枚举中","")),IF(AND(ISTEXT(G40),OR(G40&lt;&gt;TRIM(G40),ISNUMBER(SEARCH("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",G40)))),"传动方式含首尾空格或全角空格",""),IF(H40="","缺少是否带进气箱",""),IF(H40="","",IF(COUNTIF(EV_YES_NO,H40)=0,"是否带进气箱不在标准枚举中","")),IF(AND(ISTEXT(H40),OR(H40&lt;&gt;TRIM(H40),ISNUMBER(SEARCH("　",H40)))),"是否带进气箱含首尾空格或全角空格",""),IF(I40="","缺少是否带扩散筒",""),IF(I40="","",IF(COUNTIF(EV_YES_NO,I40)=0,"是否带扩散筒不在标准枚举中","")),IF(AND(ISTEXT(I40),OR(I40&lt;&gt;TRIM(I40),ISNUMBER(SEARCH("　",I40)))),"是否带扩散筒含首尾空格或全角空格",""),IF(J40="","缺少是否动叶可调",""),IF(J40="","",IF(COUNTIF(EV_YES_NO,J40)=0,"是否动叶可调不在标准枚举中","")),IF(AND(ISTEXT(J40),OR(J40&lt;&gt;TRIM(J40),ISNUMBER(SEARCH("　",J40)))),"是否动叶可调含首尾空格或全角空格",""),IF(K40="","缺少是否可逆转",""),IF(K40="","",IF(COUNTIF(EV_YES_NO,K40)=0,"是否可逆转不在标准枚举中","")),IF(AND(ISTEXT(K40),OR(K40&lt;&gt;TRIM(K40),ISNUMBER(SEARCH("　",K40)))),"是否可逆转含首尾空格或全角空格",""),IF(L40="","缺少流量",""),IF(L40="","",IF(NOT(ISNUMBER(L40)),"流量应为数值",IF(L40&lt;=0,"流量应大于0",""))),IF(M40="","缺少风机压力pF",""),IF(M40="","",IF(NOT(ISNUMBER(M40)),"风机压力pF应为数值",IF(M40&lt;=0,"风机压力pF应大于0",""))),IF(N40="","缺少额定功率",""),IF(N40="","",IF(NOT(ISNUMBER(N40)),"额定功率应为数值",IF(N40&lt;=0,"额定功率应大于0",""))),IF(O40="","缺少叶轮功率",""),IF(O40="","",IF(NOT(ISNUMBER(O40)),"叶轮功率应为数值",IF(O40&lt;=0,"叶轮功率应大于0",""))),IF(P40="","缺少转速",""),IF(P40="","",IF(NOT(ISNUMBER(P40)),"转速应为数值",IF(P40&lt;=0,"转速应大于0",""))),IF(Q40="","缺少机号",""),IF(Q40="","",IF(NOT(ISNUMBER(Q40)),"机号应为数值",IF(Q40&lt;=0,"机号应大于0",""))),IF(R40="","缺少进口滞止密度",""),IF(R40="","",IF(NOT(ISNUMBER(R40)),"进口滞止密度应为数值",IF(R40&lt;=0,"进口滞止密度应大于0",""))),IF(S40="","缺少等熵指数k",""),IF(S40="","",IF(NOT(ISNUMBER(S40)),"等熵指数k应为数值",IF(OR(S40&lt;1,S40&gt;2),"等熵指数k应为1～2",""))),IF(T40="","缺少轮毂比",""),IF(T40="","",IF(NOT(ISNUMBER(T40)),"轮毂比应为数值",IF(OR(T40&lt;0,T40&gt;1),"轮毂比应为0～1",""))),IF(U40="","缺少最高通风机效率ηr",""),IF(U40="","",IF(NOT(ISNUMBER(U40)),"最高通风机效率ηr应为数值",IF(OR(U40&lt;1,U40&gt;100),"最高通风机效率ηr应为1～100的百分数本值",""))),IF(AC40="","缺少铭牌照片",""),IF(AND(ISTEXT(AD40),OR(AD40&lt;&gt;TRIM(AD40),ISNUMBER(SEARCH("　",AD40)))),"填表备注含首尾空格或全角空格",""),IF(AND(ISNUMBER(M40),M40&gt;30000),"风机压力超过30kPa，超出通风机标准范围",""),IF(AND(J40="是",H40="是"),"动叶可调特殊效率规则要求进口无进气箱",""),IF(AND(J40="是",I40="是"),"动叶可调特殊效率规则要求出口无扩散筒","")),"")</f>
        <v/>
      </c>
    </row>
    <row r="41" ht="42" customHeight="1" s="184">
      <c r="A41" s="224">
        <f>IF(COUNTA(B41,C41,D41,E41,F41,G41,H41,I41,J41,K41,L41,M41,N41,O41,P41,Q41,R41,S41,T41,U41,AC41,AD41)&gt;0,ROW()-3,"")</f>
        <v/>
      </c>
      <c r="B41" s="176" t="n"/>
      <c r="C41" s="176" t="n"/>
      <c r="D41" s="228" t="n"/>
      <c r="E41" s="176" t="n"/>
      <c r="F41" s="218" t="n"/>
      <c r="G41" s="218" t="n"/>
      <c r="H41" s="218" t="n"/>
      <c r="I41" s="218" t="n"/>
      <c r="J41" s="218" t="n"/>
      <c r="K41" s="218" t="n"/>
      <c r="L41" s="229" t="n"/>
      <c r="M41" s="229" t="n"/>
      <c r="N41" s="229" t="n"/>
      <c r="O41" s="229" t="n"/>
      <c r="P41" s="229" t="n"/>
      <c r="Q41" s="229" t="n"/>
      <c r="R41" s="229" t="n"/>
      <c r="S41" s="235" t="n"/>
      <c r="T41" s="235" t="n"/>
      <c r="U41" s="229" t="n"/>
      <c r="V41" s="113" t="n"/>
      <c r="W41" s="113" t="n"/>
      <c r="X41" s="113" t="n"/>
      <c r="Y41" s="227" t="n"/>
      <c r="Z41" s="227" t="n"/>
      <c r="AA41" s="227" t="n"/>
      <c r="AB41" s="81" t="n"/>
      <c r="AC41" s="180" t="n"/>
      <c r="AD41" s="180" t="n"/>
      <c r="AE41" s="99">
        <f>IF(COUNTA(B41,C41,D41,E41,F41,G41,H41,I41,J41,K41,L41,M41,N41,O41,P41,Q41,R41,S41,T41,U41,AC41,AD41)&gt;0,TEXTJOIN("；",TRUE,IF(B41="","缺少设备名称",""),IF(AND(ISTEXT(B41),OR(B41&lt;&gt;TRIM(B41),ISNUMBER(SEARCH("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",E41)))),"安装位置含首尾空格或全角空格",""),IF(F41="","缺少设备类别",""),IF(F41="","",IF(COUNTIF(EV_AXIAL_FAN_CATEGORY,F41)=0,"设备类别不在标准枚举中","")),IF(AND(ISTEXT(F41),OR(F41&lt;&gt;TRIM(F41),ISNUMBER(SEARCH("　",F41)))),"设备类别含首尾空格或全角空格",""),IF(G41="","缺少传动方式",""),IF(G41="","",IF(COUNTIF(EV_TRANSMISSION,G41)=0,"传动方式不在标准枚举中","")),IF(AND(ISTEXT(G41),OR(G41&lt;&gt;TRIM(G41),ISNUMBER(SEARCH("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",G41)))),"传动方式含首尾空格或全角空格",""),IF(H41="","缺少是否带进气箱",""),IF(H41="","",IF(COUNTIF(EV_YES_NO,H41)=0,"是否带进气箱不在标准枚举中","")),IF(AND(ISTEXT(H41),OR(H41&lt;&gt;TRIM(H41),ISNUMBER(SEARCH("　",H41)))),"是否带进气箱含首尾空格或全角空格",""),IF(I41="","缺少是否带扩散筒",""),IF(I41="","",IF(COUNTIF(EV_YES_NO,I41)=0,"是否带扩散筒不在标准枚举中","")),IF(AND(ISTEXT(I41),OR(I41&lt;&gt;TRIM(I41),ISNUMBER(SEARCH("　",I41)))),"是否带扩散筒含首尾空格或全角空格",""),IF(J41="","缺少是否动叶可调",""),IF(J41="","",IF(COUNTIF(EV_YES_NO,J41)=0,"是否动叶可调不在标准枚举中","")),IF(AND(ISTEXT(J41),OR(J41&lt;&gt;TRIM(J41),ISNUMBER(SEARCH("　",J41)))),"是否动叶可调含首尾空格或全角空格",""),IF(K41="","缺少是否可逆转",""),IF(K41="","",IF(COUNTIF(EV_YES_NO,K41)=0,"是否可逆转不在标准枚举中","")),IF(AND(ISTEXT(K41),OR(K41&lt;&gt;TRIM(K41),ISNUMBER(SEARCH("　",K41)))),"是否可逆转含首尾空格或全角空格",""),IF(L41="","缺少流量",""),IF(L41="","",IF(NOT(ISNUMBER(L41)),"流量应为数值",IF(L41&lt;=0,"流量应大于0",""))),IF(M41="","缺少风机压力pF",""),IF(M41="","",IF(NOT(ISNUMBER(M41)),"风机压力pF应为数值",IF(M41&lt;=0,"风机压力pF应大于0",""))),IF(N41="","缺少额定功率",""),IF(N41="","",IF(NOT(ISNUMBER(N41)),"额定功率应为数值",IF(N41&lt;=0,"额定功率应大于0",""))),IF(O41="","缺少叶轮功率",""),IF(O41="","",IF(NOT(ISNUMBER(O41)),"叶轮功率应为数值",IF(O41&lt;=0,"叶轮功率应大于0",""))),IF(P41="","缺少转速",""),IF(P41="","",IF(NOT(ISNUMBER(P41)),"转速应为数值",IF(P41&lt;=0,"转速应大于0",""))),IF(Q41="","缺少机号",""),IF(Q41="","",IF(NOT(ISNUMBER(Q41)),"机号应为数值",IF(Q41&lt;=0,"机号应大于0",""))),IF(R41="","缺少进口滞止密度",""),IF(R41="","",IF(NOT(ISNUMBER(R41)),"进口滞止密度应为数值",IF(R41&lt;=0,"进口滞止密度应大于0",""))),IF(S41="","缺少等熵指数k",""),IF(S41="","",IF(NOT(ISNUMBER(S41)),"等熵指数k应为数值",IF(OR(S41&lt;1,S41&gt;2),"等熵指数k应为1～2",""))),IF(T41="","缺少轮毂比",""),IF(T41="","",IF(NOT(ISNUMBER(T41)),"轮毂比应为数值",IF(OR(T41&lt;0,T41&gt;1),"轮毂比应为0～1",""))),IF(U41="","缺少最高通风机效率ηr",""),IF(U41="","",IF(NOT(ISNUMBER(U41)),"最高通风机效率ηr应为数值",IF(OR(U41&lt;1,U41&gt;100),"最高通风机效率ηr应为1～100的百分数本值",""))),IF(AC41="","缺少铭牌照片",""),IF(AND(ISTEXT(AD41),OR(AD41&lt;&gt;TRIM(AD41),ISNUMBER(SEARCH("　",AD41)))),"填表备注含首尾空格或全角空格",""),IF(AND(ISNUMBER(M41),M41&gt;30000),"风机压力超过30kPa，超出通风机标准范围",""),IF(AND(J41="是",H41="是"),"动叶可调特殊效率规则要求进口无进气箱",""),IF(AND(J41="是",I41="是"),"动叶可调特殊效率规则要求出口无扩散筒","")),"")</f>
        <v/>
      </c>
    </row>
    <row r="42" ht="42" customHeight="1" s="184">
      <c r="A42" s="224">
        <f>IF(COUNTA(B42,C42,D42,E42,F42,G42,H42,I42,J42,K42,L42,M42,N42,O42,P42,Q42,R42,S42,T42,U42,AC42,AD42)&gt;0,ROW()-3,"")</f>
        <v/>
      </c>
      <c r="B42" s="176" t="n"/>
      <c r="C42" s="176" t="n"/>
      <c r="D42" s="228" t="n"/>
      <c r="E42" s="176" t="n"/>
      <c r="F42" s="218" t="n"/>
      <c r="G42" s="218" t="n"/>
      <c r="H42" s="218" t="n"/>
      <c r="I42" s="218" t="n"/>
      <c r="J42" s="218" t="n"/>
      <c r="K42" s="218" t="n"/>
      <c r="L42" s="229" t="n"/>
      <c r="M42" s="229" t="n"/>
      <c r="N42" s="229" t="n"/>
      <c r="O42" s="229" t="n"/>
      <c r="P42" s="229" t="n"/>
      <c r="Q42" s="229" t="n"/>
      <c r="R42" s="229" t="n"/>
      <c r="S42" s="235" t="n"/>
      <c r="T42" s="235" t="n"/>
      <c r="U42" s="229" t="n"/>
      <c r="V42" s="113" t="n"/>
      <c r="W42" s="113" t="n"/>
      <c r="X42" s="113" t="n"/>
      <c r="Y42" s="227" t="n"/>
      <c r="Z42" s="227" t="n"/>
      <c r="AA42" s="227" t="n"/>
      <c r="AB42" s="81" t="n"/>
      <c r="AC42" s="180" t="n"/>
      <c r="AD42" s="180" t="n"/>
      <c r="AE42" s="99">
        <f>IF(COUNTA(B42,C42,D42,E42,F42,G42,H42,I42,J42,K42,L42,M42,N42,O42,P42,Q42,R42,S42,T42,U42,AC42,AD42)&gt;0,TEXTJOIN("；",TRUE,IF(B42="","缺少设备名称",""),IF(AND(ISTEXT(B42),OR(B42&lt;&gt;TRIM(B42),ISNUMBER(SEARCH("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",E42)))),"安装位置含首尾空格或全角空格",""),IF(F42="","缺少设备类别",""),IF(F42="","",IF(COUNTIF(EV_AXIAL_FAN_CATEGORY,F42)=0,"设备类别不在标准枚举中","")),IF(AND(ISTEXT(F42),OR(F42&lt;&gt;TRIM(F42),ISNUMBER(SEARCH("　",F42)))),"设备类别含首尾空格或全角空格",""),IF(G42="","缺少传动方式",""),IF(G42="","",IF(COUNTIF(EV_TRANSMISSION,G42)=0,"传动方式不在标准枚举中","")),IF(AND(ISTEXT(G42),OR(G42&lt;&gt;TRIM(G42),ISNUMBER(SEARCH("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",G42)))),"传动方式含首尾空格或全角空格",""),IF(H42="","缺少是否带进气箱",""),IF(H42="","",IF(COUNTIF(EV_YES_NO,H42)=0,"是否带进气箱不在标准枚举中","")),IF(AND(ISTEXT(H42),OR(H42&lt;&gt;TRIM(H42),ISNUMBER(SEARCH("　",H42)))),"是否带进气箱含首尾空格或全角空格",""),IF(I42="","缺少是否带扩散筒",""),IF(I42="","",IF(COUNTIF(EV_YES_NO,I42)=0,"是否带扩散筒不在标准枚举中","")),IF(AND(ISTEXT(I42),OR(I42&lt;&gt;TRIM(I42),ISNUMBER(SEARCH("　",I42)))),"是否带扩散筒含首尾空格或全角空格",""),IF(J42="","缺少是否动叶可调",""),IF(J42="","",IF(COUNTIF(EV_YES_NO,J42)=0,"是否动叶可调不在标准枚举中","")),IF(AND(ISTEXT(J42),OR(J42&lt;&gt;TRIM(J42),ISNUMBER(SEARCH("　",J42)))),"是否动叶可调含首尾空格或全角空格",""),IF(K42="","缺少是否可逆转",""),IF(K42="","",IF(COUNTIF(EV_YES_NO,K42)=0,"是否可逆转不在标准枚举中","")),IF(AND(ISTEXT(K42),OR(K42&lt;&gt;TRIM(K42),ISNUMBER(SEARCH("　",K42)))),"是否可逆转含首尾空格或全角空格",""),IF(L42="","缺少流量",""),IF(L42="","",IF(NOT(ISNUMBER(L42)),"流量应为数值",IF(L42&lt;=0,"流量应大于0",""))),IF(M42="","缺少风机压力pF",""),IF(M42="","",IF(NOT(ISNUMBER(M42)),"风机压力pF应为数值",IF(M42&lt;=0,"风机压力pF应大于0",""))),IF(N42="","缺少额定功率",""),IF(N42="","",IF(NOT(ISNUMBER(N42)),"额定功率应为数值",IF(N42&lt;=0,"额定功率应大于0",""))),IF(O42="","缺少叶轮功率",""),IF(O42="","",IF(NOT(ISNUMBER(O42)),"叶轮功率应为数值",IF(O42&lt;=0,"叶轮功率应大于0",""))),IF(P42="","缺少转速",""),IF(P42="","",IF(NOT(ISNUMBER(P42)),"转速应为数值",IF(P42&lt;=0,"转速应大于0",""))),IF(Q42="","缺少机号",""),IF(Q42="","",IF(NOT(ISNUMBER(Q42)),"机号应为数值",IF(Q42&lt;=0,"机号应大于0",""))),IF(R42="","缺少进口滞止密度",""),IF(R42="","",IF(NOT(ISNUMBER(R42)),"进口滞止密度应为数值",IF(R42&lt;=0,"进口滞止密度应大于0",""))),IF(S42="","缺少等熵指数k",""),IF(S42="","",IF(NOT(ISNUMBER(S42)),"等熵指数k应为数值",IF(OR(S42&lt;1,S42&gt;2),"等熵指数k应为1～2",""))),IF(T42="","缺少轮毂比",""),IF(T42="","",IF(NOT(ISNUMBER(T42)),"轮毂比应为数值",IF(OR(T42&lt;0,T42&gt;1),"轮毂比应为0～1",""))),IF(U42="","缺少最高通风机效率ηr",""),IF(U42="","",IF(NOT(ISNUMBER(U42)),"最高通风机效率ηr应为数值",IF(OR(U42&lt;1,U42&gt;100),"最高通风机效率ηr应为1～100的百分数本值",""))),IF(AC42="","缺少铭牌照片",""),IF(AND(ISTEXT(AD42),OR(AD42&lt;&gt;TRIM(AD42),ISNUMBER(SEARCH("　",AD42)))),"填表备注含首尾空格或全角空格",""),IF(AND(ISNUMBER(M42),M42&gt;30000),"风机压力超过30kPa，超出通风机标准范围",""),IF(AND(J42="是",H42="是"),"动叶可调特殊效率规则要求进口无进气箱",""),IF(AND(J42="是",I42="是"),"动叶可调特殊效率规则要求出口无扩散筒","")),"")</f>
        <v/>
      </c>
    </row>
    <row r="43" ht="42" customHeight="1" s="184">
      <c r="A43" s="224">
        <f>IF(COUNTA(B43,C43,D43,E43,F43,G43,H43,I43,J43,K43,L43,M43,N43,O43,P43,Q43,R43,S43,T43,U43,AC43,AD43)&gt;0,ROW()-3,"")</f>
        <v/>
      </c>
      <c r="B43" s="176" t="n"/>
      <c r="C43" s="176" t="n"/>
      <c r="D43" s="228" t="n"/>
      <c r="E43" s="176" t="n"/>
      <c r="F43" s="218" t="n"/>
      <c r="G43" s="218" t="n"/>
      <c r="H43" s="218" t="n"/>
      <c r="I43" s="218" t="n"/>
      <c r="J43" s="218" t="n"/>
      <c r="K43" s="218" t="n"/>
      <c r="L43" s="229" t="n"/>
      <c r="M43" s="229" t="n"/>
      <c r="N43" s="229" t="n"/>
      <c r="O43" s="229" t="n"/>
      <c r="P43" s="229" t="n"/>
      <c r="Q43" s="229" t="n"/>
      <c r="R43" s="229" t="n"/>
      <c r="S43" s="235" t="n"/>
      <c r="T43" s="235" t="n"/>
      <c r="U43" s="229" t="n"/>
      <c r="V43" s="113" t="n"/>
      <c r="W43" s="113" t="n"/>
      <c r="X43" s="113" t="n"/>
      <c r="Y43" s="227" t="n"/>
      <c r="Z43" s="227" t="n"/>
      <c r="AA43" s="227" t="n"/>
      <c r="AB43" s="81" t="n"/>
      <c r="AC43" s="180" t="n"/>
      <c r="AD43" s="180" t="n"/>
      <c r="AE43" s="99">
        <f>IF(COUNTA(B43,C43,D43,E43,F43,G43,H43,I43,J43,K43,L43,M43,N43,O43,P43,Q43,R43,S43,T43,U43,AC43,AD43)&gt;0,TEXTJOIN("；",TRUE,IF(B43="","缺少设备名称",""),IF(AND(ISTEXT(B43),OR(B43&lt;&gt;TRIM(B43),ISNUMBER(SEARCH("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",E43)))),"安装位置含首尾空格或全角空格",""),IF(F43="","缺少设备类别",""),IF(F43="","",IF(COUNTIF(EV_AXIAL_FAN_CATEGORY,F43)=0,"设备类别不在标准枚举中","")),IF(AND(ISTEXT(F43),OR(F43&lt;&gt;TRIM(F43),ISNUMBER(SEARCH("　",F43)))),"设备类别含首尾空格或全角空格",""),IF(G43="","缺少传动方式",""),IF(G43="","",IF(COUNTIF(EV_TRANSMISSION,G43)=0,"传动方式不在标准枚举中","")),IF(AND(ISTEXT(G43),OR(G43&lt;&gt;TRIM(G43),ISNUMBER(SEARCH("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",G43)))),"传动方式含首尾空格或全角空格",""),IF(H43="","缺少是否带进气箱",""),IF(H43="","",IF(COUNTIF(EV_YES_NO,H43)=0,"是否带进气箱不在标准枚举中","")),IF(AND(ISTEXT(H43),OR(H43&lt;&gt;TRIM(H43),ISNUMBER(SEARCH("　",H43)))),"是否带进气箱含首尾空格或全角空格",""),IF(I43="","缺少是否带扩散筒",""),IF(I43="","",IF(COUNTIF(EV_YES_NO,I43)=0,"是否带扩散筒不在标准枚举中","")),IF(AND(ISTEXT(I43),OR(I43&lt;&gt;TRIM(I43),ISNUMBER(SEARCH("　",I43)))),"是否带扩散筒含首尾空格或全角空格",""),IF(J43="","缺少是否动叶可调",""),IF(J43="","",IF(COUNTIF(EV_YES_NO,J43)=0,"是否动叶可调不在标准枚举中","")),IF(AND(ISTEXT(J43),OR(J43&lt;&gt;TRIM(J43),ISNUMBER(SEARCH("　",J43)))),"是否动叶可调含首尾空格或全角空格",""),IF(K43="","缺少是否可逆转",""),IF(K43="","",IF(COUNTIF(EV_YES_NO,K43)=0,"是否可逆转不在标准枚举中","")),IF(AND(ISTEXT(K43),OR(K43&lt;&gt;TRIM(K43),ISNUMBER(SEARCH("　",K43)))),"是否可逆转含首尾空格或全角空格",""),IF(L43="","缺少流量",""),IF(L43="","",IF(NOT(ISNUMBER(L43)),"流量应为数值",IF(L43&lt;=0,"流量应大于0",""))),IF(M43="","缺少风机压力pF",""),IF(M43="","",IF(NOT(ISNUMBER(M43)),"风机压力pF应为数值",IF(M43&lt;=0,"风机压力pF应大于0",""))),IF(N43="","缺少额定功率",""),IF(N43="","",IF(NOT(ISNUMBER(N43)),"额定功率应为数值",IF(N43&lt;=0,"额定功率应大于0",""))),IF(O43="","缺少叶轮功率",""),IF(O43="","",IF(NOT(ISNUMBER(O43)),"叶轮功率应为数值",IF(O43&lt;=0,"叶轮功率应大于0",""))),IF(P43="","缺少转速",""),IF(P43="","",IF(NOT(ISNUMBER(P43)),"转速应为数值",IF(P43&lt;=0,"转速应大于0",""))),IF(Q43="","缺少机号",""),IF(Q43="","",IF(NOT(ISNUMBER(Q43)),"机号应为数值",IF(Q43&lt;=0,"机号应大于0",""))),IF(R43="","缺少进口滞止密度",""),IF(R43="","",IF(NOT(ISNUMBER(R43)),"进口滞止密度应为数值",IF(R43&lt;=0,"进口滞止密度应大于0",""))),IF(S43="","缺少等熵指数k",""),IF(S43="","",IF(NOT(ISNUMBER(S43)),"等熵指数k应为数值",IF(OR(S43&lt;1,S43&gt;2),"等熵指数k应为1～2",""))),IF(T43="","缺少轮毂比",""),IF(T43="","",IF(NOT(ISNUMBER(T43)),"轮毂比应为数值",IF(OR(T43&lt;0,T43&gt;1),"轮毂比应为0～1",""))),IF(U43="","缺少最高通风机效率ηr",""),IF(U43="","",IF(NOT(ISNUMBER(U43)),"最高通风机效率ηr应为数值",IF(OR(U43&lt;1,U43&gt;100),"最高通风机效率ηr应为1～100的百分数本值",""))),IF(AC43="","缺少铭牌照片",""),IF(AND(ISTEXT(AD43),OR(AD43&lt;&gt;TRIM(AD43),ISNUMBER(SEARCH("　",AD43)))),"填表备注含首尾空格或全角空格",""),IF(AND(ISNUMBER(M43),M43&gt;30000),"风机压力超过30kPa，超出通风机标准范围",""),IF(AND(J43="是",H43="是"),"动叶可调特殊效率规则要求进口无进气箱",""),IF(AND(J43="是",I43="是"),"动叶可调特殊效率规则要求出口无扩散筒","")),"")</f>
        <v/>
      </c>
    </row>
    <row r="44" ht="42" customHeight="1" s="184">
      <c r="A44" s="224">
        <f>IF(COUNTA(B44,C44,D44,E44,F44,G44,H44,I44,J44,K44,L44,M44,N44,O44,P44,Q44,R44,S44,T44,U44,AC44,AD44)&gt;0,ROW()-3,"")</f>
        <v/>
      </c>
      <c r="B44" s="176" t="n"/>
      <c r="C44" s="176" t="n"/>
      <c r="D44" s="228" t="n"/>
      <c r="E44" s="176" t="n"/>
      <c r="F44" s="218" t="n"/>
      <c r="G44" s="218" t="n"/>
      <c r="H44" s="218" t="n"/>
      <c r="I44" s="218" t="n"/>
      <c r="J44" s="218" t="n"/>
      <c r="K44" s="218" t="n"/>
      <c r="L44" s="229" t="n"/>
      <c r="M44" s="229" t="n"/>
      <c r="N44" s="229" t="n"/>
      <c r="O44" s="229" t="n"/>
      <c r="P44" s="229" t="n"/>
      <c r="Q44" s="229" t="n"/>
      <c r="R44" s="229" t="n"/>
      <c r="S44" s="235" t="n"/>
      <c r="T44" s="235" t="n"/>
      <c r="U44" s="229" t="n"/>
      <c r="V44" s="113" t="n"/>
      <c r="W44" s="113" t="n"/>
      <c r="X44" s="113" t="n"/>
      <c r="Y44" s="227" t="n"/>
      <c r="Z44" s="227" t="n"/>
      <c r="AA44" s="227" t="n"/>
      <c r="AB44" s="81" t="n"/>
      <c r="AC44" s="180" t="n"/>
      <c r="AD44" s="180" t="n"/>
      <c r="AE44" s="99">
        <f>IF(COUNTA(B44,C44,D44,E44,F44,G44,H44,I44,J44,K44,L44,M44,N44,O44,P44,Q44,R44,S44,T44,U44,AC44,AD44)&gt;0,TEXTJOIN("；",TRUE,IF(B44="","缺少设备名称",""),IF(AND(ISTEXT(B44),OR(B44&lt;&gt;TRIM(B44),ISNUMBER(SEARCH("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",E44)))),"安装位置含首尾空格或全角空格",""),IF(F44="","缺少设备类别",""),IF(F44="","",IF(COUNTIF(EV_AXIAL_FAN_CATEGORY,F44)=0,"设备类别不在标准枚举中","")),IF(AND(ISTEXT(F44),OR(F44&lt;&gt;TRIM(F44),ISNUMBER(SEARCH("　",F44)))),"设备类别含首尾空格或全角空格",""),IF(G44="","缺少传动方式",""),IF(G44="","",IF(COUNTIF(EV_TRANSMISSION,G44)=0,"传动方式不在标准枚举中","")),IF(AND(ISTEXT(G44),OR(G44&lt;&gt;TRIM(G44),ISNUMBER(SEARCH("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",G44)))),"传动方式含首尾空格或全角空格",""),IF(H44="","缺少是否带进气箱",""),IF(H44="","",IF(COUNTIF(EV_YES_NO,H44)=0,"是否带进气箱不在标准枚举中","")),IF(AND(ISTEXT(H44),OR(H44&lt;&gt;TRIM(H44),ISNUMBER(SEARCH("　",H44)))),"是否带进气箱含首尾空格或全角空格",""),IF(I44="","缺少是否带扩散筒",""),IF(I44="","",IF(COUNTIF(EV_YES_NO,I44)=0,"是否带扩散筒不在标准枚举中","")),IF(AND(ISTEXT(I44),OR(I44&lt;&gt;TRIM(I44),ISNUMBER(SEARCH("　",I44)))),"是否带扩散筒含首尾空格或全角空格",""),IF(J44="","缺少是否动叶可调",""),IF(J44="","",IF(COUNTIF(EV_YES_NO,J44)=0,"是否动叶可调不在标准枚举中","")),IF(AND(ISTEXT(J44),OR(J44&lt;&gt;TRIM(J44),ISNUMBER(SEARCH("　",J44)))),"是否动叶可调含首尾空格或全角空格",""),IF(K44="","缺少是否可逆转",""),IF(K44="","",IF(COUNTIF(EV_YES_NO,K44)=0,"是否可逆转不在标准枚举中","")),IF(AND(ISTEXT(K44),OR(K44&lt;&gt;TRIM(K44),ISNUMBER(SEARCH("　",K44)))),"是否可逆转含首尾空格或全角空格",""),IF(L44="","缺少流量",""),IF(L44="","",IF(NOT(ISNUMBER(L44)),"流量应为数值",IF(L44&lt;=0,"流量应大于0",""))),IF(M44="","缺少风机压力pF",""),IF(M44="","",IF(NOT(ISNUMBER(M44)),"风机压力pF应为数值",IF(M44&lt;=0,"风机压力pF应大于0",""))),IF(N44="","缺少额定功率",""),IF(N44="","",IF(NOT(ISNUMBER(N44)),"额定功率应为数值",IF(N44&lt;=0,"额定功率应大于0",""))),IF(O44="","缺少叶轮功率",""),IF(O44="","",IF(NOT(ISNUMBER(O44)),"叶轮功率应为数值",IF(O44&lt;=0,"叶轮功率应大于0",""))),IF(P44="","缺少转速",""),IF(P44="","",IF(NOT(ISNUMBER(P44)),"转速应为数值",IF(P44&lt;=0,"转速应大于0",""))),IF(Q44="","缺少机号",""),IF(Q44="","",IF(NOT(ISNUMBER(Q44)),"机号应为数值",IF(Q44&lt;=0,"机号应大于0",""))),IF(R44="","缺少进口滞止密度",""),IF(R44="","",IF(NOT(ISNUMBER(R44)),"进口滞止密度应为数值",IF(R44&lt;=0,"进口滞止密度应大于0",""))),IF(S44="","缺少等熵指数k",""),IF(S44="","",IF(NOT(ISNUMBER(S44)),"等熵指数k应为数值",IF(OR(S44&lt;1,S44&gt;2),"等熵指数k应为1～2",""))),IF(T44="","缺少轮毂比",""),IF(T44="","",IF(NOT(ISNUMBER(T44)),"轮毂比应为数值",IF(OR(T44&lt;0,T44&gt;1),"轮毂比应为0～1",""))),IF(U44="","缺少最高通风机效率ηr",""),IF(U44="","",IF(NOT(ISNUMBER(U44)),"最高通风机效率ηr应为数值",IF(OR(U44&lt;1,U44&gt;100),"最高通风机效率ηr应为1～100的百分数本值",""))),IF(AC44="","缺少铭牌照片",""),IF(AND(ISTEXT(AD44),OR(AD44&lt;&gt;TRIM(AD44),ISNUMBER(SEARCH("　",AD44)))),"填表备注含首尾空格或全角空格",""),IF(AND(ISNUMBER(M44),M44&gt;30000),"风机压力超过30kPa，超出通风机标准范围",""),IF(AND(J44="是",H44="是"),"动叶可调特殊效率规则要求进口无进气箱",""),IF(AND(J44="是",I44="是"),"动叶可调特殊效率规则要求出口无扩散筒","")),"")</f>
        <v/>
      </c>
    </row>
    <row r="45" ht="42" customHeight="1" s="184">
      <c r="A45" s="224">
        <f>IF(COUNTA(B45,C45,D45,E45,F45,G45,H45,I45,J45,K45,L45,M45,N45,O45,P45,Q45,R45,S45,T45,U45,AC45,AD45)&gt;0,ROW()-3,"")</f>
        <v/>
      </c>
      <c r="B45" s="176" t="n"/>
      <c r="C45" s="176" t="n"/>
      <c r="D45" s="228" t="n"/>
      <c r="E45" s="176" t="n"/>
      <c r="F45" s="218" t="n"/>
      <c r="G45" s="218" t="n"/>
      <c r="H45" s="218" t="n"/>
      <c r="I45" s="218" t="n"/>
      <c r="J45" s="218" t="n"/>
      <c r="K45" s="218" t="n"/>
      <c r="L45" s="229" t="n"/>
      <c r="M45" s="229" t="n"/>
      <c r="N45" s="229" t="n"/>
      <c r="O45" s="229" t="n"/>
      <c r="P45" s="229" t="n"/>
      <c r="Q45" s="229" t="n"/>
      <c r="R45" s="229" t="n"/>
      <c r="S45" s="235" t="n"/>
      <c r="T45" s="235" t="n"/>
      <c r="U45" s="229" t="n"/>
      <c r="V45" s="113" t="n"/>
      <c r="W45" s="113" t="n"/>
      <c r="X45" s="113" t="n"/>
      <c r="Y45" s="227" t="n"/>
      <c r="Z45" s="227" t="n"/>
      <c r="AA45" s="227" t="n"/>
      <c r="AB45" s="81" t="n"/>
      <c r="AC45" s="180" t="n"/>
      <c r="AD45" s="180" t="n"/>
      <c r="AE45" s="99">
        <f>IF(COUNTA(B45,C45,D45,E45,F45,G45,H45,I45,J45,K45,L45,M45,N45,O45,P45,Q45,R45,S45,T45,U45,AC45,AD45)&gt;0,TEXTJOIN("；",TRUE,IF(B45="","缺少设备名称",""),IF(AND(ISTEXT(B45),OR(B45&lt;&gt;TRIM(B45),ISNUMBER(SEARCH("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",E45)))),"安装位置含首尾空格或全角空格",""),IF(F45="","缺少设备类别",""),IF(F45="","",IF(COUNTIF(EV_AXIAL_FAN_CATEGORY,F45)=0,"设备类别不在标准枚举中","")),IF(AND(ISTEXT(F45),OR(F45&lt;&gt;TRIM(F45),ISNUMBER(SEARCH("　",F45)))),"设备类别含首尾空格或全角空格",""),IF(G45="","缺少传动方式",""),IF(G45="","",IF(COUNTIF(EV_TRANSMISSION,G45)=0,"传动方式不在标准枚举中","")),IF(AND(ISTEXT(G45),OR(G45&lt;&gt;TRIM(G45),ISNUMBER(SEARCH("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",G45)))),"传动方式含首尾空格或全角空格",""),IF(H45="","缺少是否带进气箱",""),IF(H45="","",IF(COUNTIF(EV_YES_NO,H45)=0,"是否带进气箱不在标准枚举中","")),IF(AND(ISTEXT(H45),OR(H45&lt;&gt;TRIM(H45),ISNUMBER(SEARCH("　",H45)))),"是否带进气箱含首尾空格或全角空格",""),IF(I45="","缺少是否带扩散筒",""),IF(I45="","",IF(COUNTIF(EV_YES_NO,I45)=0,"是否带扩散筒不在标准枚举中","")),IF(AND(ISTEXT(I45),OR(I45&lt;&gt;TRIM(I45),ISNUMBER(SEARCH("　",I45)))),"是否带扩散筒含首尾空格或全角空格",""),IF(J45="","缺少是否动叶可调",""),IF(J45="","",IF(COUNTIF(EV_YES_NO,J45)=0,"是否动叶可调不在标准枚举中","")),IF(AND(ISTEXT(J45),OR(J45&lt;&gt;TRIM(J45),ISNUMBER(SEARCH("　",J45)))),"是否动叶可调含首尾空格或全角空格",""),IF(K45="","缺少是否可逆转",""),IF(K45="","",IF(COUNTIF(EV_YES_NO,K45)=0,"是否可逆转不在标准枚举中","")),IF(AND(ISTEXT(K45),OR(K45&lt;&gt;TRIM(K45),ISNUMBER(SEARCH("　",K45)))),"是否可逆转含首尾空格或全角空格",""),IF(L45="","缺少流量",""),IF(L45="","",IF(NOT(ISNUMBER(L45)),"流量应为数值",IF(L45&lt;=0,"流量应大于0",""))),IF(M45="","缺少风机压力pF",""),IF(M45="","",IF(NOT(ISNUMBER(M45)),"风机压力pF应为数值",IF(M45&lt;=0,"风机压力pF应大于0",""))),IF(N45="","缺少额定功率",""),IF(N45="","",IF(NOT(ISNUMBER(N45)),"额定功率应为数值",IF(N45&lt;=0,"额定功率应大于0",""))),IF(O45="","缺少叶轮功率",""),IF(O45="","",IF(NOT(ISNUMBER(O45)),"叶轮功率应为数值",IF(O45&lt;=0,"叶轮功率应大于0",""))),IF(P45="","缺少转速",""),IF(P45="","",IF(NOT(ISNUMBER(P45)),"转速应为数值",IF(P45&lt;=0,"转速应大于0",""))),IF(Q45="","缺少机号",""),IF(Q45="","",IF(NOT(ISNUMBER(Q45)),"机号应为数值",IF(Q45&lt;=0,"机号应大于0",""))),IF(R45="","缺少进口滞止密度",""),IF(R45="","",IF(NOT(ISNUMBER(R45)),"进口滞止密度应为数值",IF(R45&lt;=0,"进口滞止密度应大于0",""))),IF(S45="","缺少等熵指数k",""),IF(S45="","",IF(NOT(ISNUMBER(S45)),"等熵指数k应为数值",IF(OR(S45&lt;1,S45&gt;2),"等熵指数k应为1～2",""))),IF(T45="","缺少轮毂比",""),IF(T45="","",IF(NOT(ISNUMBER(T45)),"轮毂比应为数值",IF(OR(T45&lt;0,T45&gt;1),"轮毂比应为0～1",""))),IF(U45="","缺少最高通风机效率ηr",""),IF(U45="","",IF(NOT(ISNUMBER(U45)),"最高通风机效率ηr应为数值",IF(OR(U45&lt;1,U45&gt;100),"最高通风机效率ηr应为1～100的百分数本值",""))),IF(AC45="","缺少铭牌照片",""),IF(AND(ISTEXT(AD45),OR(AD45&lt;&gt;TRIM(AD45),ISNUMBER(SEARCH("　",AD45)))),"填表备注含首尾空格或全角空格",""),IF(AND(ISNUMBER(M45),M45&gt;30000),"风机压力超过30kPa，超出通风机标准范围",""),IF(AND(J45="是",H45="是"),"动叶可调特殊效率规则要求进口无进气箱",""),IF(AND(J45="是",I45="是"),"动叶可调特殊效率规则要求出口无扩散筒","")),"")</f>
        <v/>
      </c>
    </row>
    <row r="46" ht="42" customHeight="1" s="184">
      <c r="A46" s="224">
        <f>IF(COUNTA(B46,C46,D46,E46,F46,G46,H46,I46,J46,K46,L46,M46,N46,O46,P46,Q46,R46,S46,T46,U46,AC46,AD46)&gt;0,ROW()-3,"")</f>
        <v/>
      </c>
      <c r="B46" s="176" t="n"/>
      <c r="C46" s="176" t="n"/>
      <c r="D46" s="228" t="n"/>
      <c r="E46" s="176" t="n"/>
      <c r="F46" s="218" t="n"/>
      <c r="G46" s="218" t="n"/>
      <c r="H46" s="218" t="n"/>
      <c r="I46" s="218" t="n"/>
      <c r="J46" s="218" t="n"/>
      <c r="K46" s="218" t="n"/>
      <c r="L46" s="229" t="n"/>
      <c r="M46" s="229" t="n"/>
      <c r="N46" s="229" t="n"/>
      <c r="O46" s="229" t="n"/>
      <c r="P46" s="229" t="n"/>
      <c r="Q46" s="229" t="n"/>
      <c r="R46" s="229" t="n"/>
      <c r="S46" s="235" t="n"/>
      <c r="T46" s="235" t="n"/>
      <c r="U46" s="229" t="n"/>
      <c r="V46" s="113" t="n"/>
      <c r="W46" s="113" t="n"/>
      <c r="X46" s="113" t="n"/>
      <c r="Y46" s="227" t="n"/>
      <c r="Z46" s="227" t="n"/>
      <c r="AA46" s="227" t="n"/>
      <c r="AB46" s="81" t="n"/>
      <c r="AC46" s="180" t="n"/>
      <c r="AD46" s="180" t="n"/>
      <c r="AE46" s="99">
        <f>IF(COUNTA(B46,C46,D46,E46,F46,G46,H46,I46,J46,K46,L46,M46,N46,O46,P46,Q46,R46,S46,T46,U46,AC46,AD46)&gt;0,TEXTJOIN("；",TRUE,IF(B46="","缺少设备名称",""),IF(AND(ISTEXT(B46),OR(B46&lt;&gt;TRIM(B46),ISNUMBER(SEARCH("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",E46)))),"安装位置含首尾空格或全角空格",""),IF(F46="","缺少设备类别",""),IF(F46="","",IF(COUNTIF(EV_AXIAL_FAN_CATEGORY,F46)=0,"设备类别不在标准枚举中","")),IF(AND(ISTEXT(F46),OR(F46&lt;&gt;TRIM(F46),ISNUMBER(SEARCH("　",F46)))),"设备类别含首尾空格或全角空格",""),IF(G46="","缺少传动方式",""),IF(G46="","",IF(COUNTIF(EV_TRANSMISSION,G46)=0,"传动方式不在标准枚举中","")),IF(AND(ISTEXT(G46),OR(G46&lt;&gt;TRIM(G46),ISNUMBER(SEARCH("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",G46)))),"传动方式含首尾空格或全角空格",""),IF(H46="","缺少是否带进气箱",""),IF(H46="","",IF(COUNTIF(EV_YES_NO,H46)=0,"是否带进气箱不在标准枚举中","")),IF(AND(ISTEXT(H46),OR(H46&lt;&gt;TRIM(H46),ISNUMBER(SEARCH("　",H46)))),"是否带进气箱含首尾空格或全角空格",""),IF(I46="","缺少是否带扩散筒",""),IF(I46="","",IF(COUNTIF(EV_YES_NO,I46)=0,"是否带扩散筒不在标准枚举中","")),IF(AND(ISTEXT(I46),OR(I46&lt;&gt;TRIM(I46),ISNUMBER(SEARCH("　",I46)))),"是否带扩散筒含首尾空格或全角空格",""),IF(J46="","缺少是否动叶可调",""),IF(J46="","",IF(COUNTIF(EV_YES_NO,J46)=0,"是否动叶可调不在标准枚举中","")),IF(AND(ISTEXT(J46),OR(J46&lt;&gt;TRIM(J46),ISNUMBER(SEARCH("　",J46)))),"是否动叶可调含首尾空格或全角空格",""),IF(K46="","缺少是否可逆转",""),IF(K46="","",IF(COUNTIF(EV_YES_NO,K46)=0,"是否可逆转不在标准枚举中","")),IF(AND(ISTEXT(K46),OR(K46&lt;&gt;TRIM(K46),ISNUMBER(SEARCH("　",K46)))),"是否可逆转含首尾空格或全角空格",""),IF(L46="","缺少流量",""),IF(L46="","",IF(NOT(ISNUMBER(L46)),"流量应为数值",IF(L46&lt;=0,"流量应大于0",""))),IF(M46="","缺少风机压力pF",""),IF(M46="","",IF(NOT(ISNUMBER(M46)),"风机压力pF应为数值",IF(M46&lt;=0,"风机压力pF应大于0",""))),IF(N46="","缺少额定功率",""),IF(N46="","",IF(NOT(ISNUMBER(N46)),"额定功率应为数值",IF(N46&lt;=0,"额定功率应大于0",""))),IF(O46="","缺少叶轮功率",""),IF(O46="","",IF(NOT(ISNUMBER(O46)),"叶轮功率应为数值",IF(O46&lt;=0,"叶轮功率应大于0",""))),IF(P46="","缺少转速",""),IF(P46="","",IF(NOT(ISNUMBER(P46)),"转速应为数值",IF(P46&lt;=0,"转速应大于0",""))),IF(Q46="","缺少机号",""),IF(Q46="","",IF(NOT(ISNUMBER(Q46)),"机号应为数值",IF(Q46&lt;=0,"机号应大于0",""))),IF(R46="","缺少进口滞止密度",""),IF(R46="","",IF(NOT(ISNUMBER(R46)),"进口滞止密度应为数值",IF(R46&lt;=0,"进口滞止密度应大于0",""))),IF(S46="","缺少等熵指数k",""),IF(S46="","",IF(NOT(ISNUMBER(S46)),"等熵指数k应为数值",IF(OR(S46&lt;1,S46&gt;2),"等熵指数k应为1～2",""))),IF(T46="","缺少轮毂比",""),IF(T46="","",IF(NOT(ISNUMBER(T46)),"轮毂比应为数值",IF(OR(T46&lt;0,T46&gt;1),"轮毂比应为0～1",""))),IF(U46="","缺少最高通风机效率ηr",""),IF(U46="","",IF(NOT(ISNUMBER(U46)),"最高通风机效率ηr应为数值",IF(OR(U46&lt;1,U46&gt;100),"最高通风机效率ηr应为1～100的百分数本值",""))),IF(AC46="","缺少铭牌照片",""),IF(AND(ISTEXT(AD46),OR(AD46&lt;&gt;TRIM(AD46),ISNUMBER(SEARCH("　",AD46)))),"填表备注含首尾空格或全角空格",""),IF(AND(ISNUMBER(M46),M46&gt;30000),"风机压力超过30kPa，超出通风机标准范围",""),IF(AND(J46="是",H46="是"),"动叶可调特殊效率规则要求进口无进气箱",""),IF(AND(J46="是",I46="是"),"动叶可调特殊效率规则要求出口无扩散筒","")),"")</f>
        <v/>
      </c>
    </row>
    <row r="47" ht="42" customHeight="1" s="184">
      <c r="A47" s="224">
        <f>IF(COUNTA(B47,C47,D47,E47,F47,G47,H47,I47,J47,K47,L47,M47,N47,O47,P47,Q47,R47,S47,T47,U47,AC47,AD47)&gt;0,ROW()-3,"")</f>
        <v/>
      </c>
      <c r="B47" s="176" t="n"/>
      <c r="C47" s="176" t="n"/>
      <c r="D47" s="228" t="n"/>
      <c r="E47" s="176" t="n"/>
      <c r="F47" s="218" t="n"/>
      <c r="G47" s="218" t="n"/>
      <c r="H47" s="218" t="n"/>
      <c r="I47" s="218" t="n"/>
      <c r="J47" s="218" t="n"/>
      <c r="K47" s="218" t="n"/>
      <c r="L47" s="229" t="n"/>
      <c r="M47" s="229" t="n"/>
      <c r="N47" s="229" t="n"/>
      <c r="O47" s="229" t="n"/>
      <c r="P47" s="229" t="n"/>
      <c r="Q47" s="229" t="n"/>
      <c r="R47" s="229" t="n"/>
      <c r="S47" s="235" t="n"/>
      <c r="T47" s="235" t="n"/>
      <c r="U47" s="229" t="n"/>
      <c r="V47" s="113" t="n"/>
      <c r="W47" s="113" t="n"/>
      <c r="X47" s="113" t="n"/>
      <c r="Y47" s="227" t="n"/>
      <c r="Z47" s="227" t="n"/>
      <c r="AA47" s="227" t="n"/>
      <c r="AB47" s="81" t="n"/>
      <c r="AC47" s="180" t="n"/>
      <c r="AD47" s="180" t="n"/>
      <c r="AE47" s="99">
        <f>IF(COUNTA(B47,C47,D47,E47,F47,G47,H47,I47,J47,K47,L47,M47,N47,O47,P47,Q47,R47,S47,T47,U47,AC47,AD47)&gt;0,TEXTJOIN("；",TRUE,IF(B47="","缺少设备名称",""),IF(AND(ISTEXT(B47),OR(B47&lt;&gt;TRIM(B47),ISNUMBER(SEARCH("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",E47)))),"安装位置含首尾空格或全角空格",""),IF(F47="","缺少设备类别",""),IF(F47="","",IF(COUNTIF(EV_AXIAL_FAN_CATEGORY,F47)=0,"设备类别不在标准枚举中","")),IF(AND(ISTEXT(F47),OR(F47&lt;&gt;TRIM(F47),ISNUMBER(SEARCH("　",F47)))),"设备类别含首尾空格或全角空格",""),IF(G47="","缺少传动方式",""),IF(G47="","",IF(COUNTIF(EV_TRANSMISSION,G47)=0,"传动方式不在标准枚举中","")),IF(AND(ISTEXT(G47),OR(G47&lt;&gt;TRIM(G47),ISNUMBER(SEARCH("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",G47)))),"传动方式含首尾空格或全角空格",""),IF(H47="","缺少是否带进气箱",""),IF(H47="","",IF(COUNTIF(EV_YES_NO,H47)=0,"是否带进气箱不在标准枚举中","")),IF(AND(ISTEXT(H47),OR(H47&lt;&gt;TRIM(H47),ISNUMBER(SEARCH("　",H47)))),"是否带进气箱含首尾空格或全角空格",""),IF(I47="","缺少是否带扩散筒",""),IF(I47="","",IF(COUNTIF(EV_YES_NO,I47)=0,"是否带扩散筒不在标准枚举中","")),IF(AND(ISTEXT(I47),OR(I47&lt;&gt;TRIM(I47),ISNUMBER(SEARCH("　",I47)))),"是否带扩散筒含首尾空格或全角空格",""),IF(J47="","缺少是否动叶可调",""),IF(J47="","",IF(COUNTIF(EV_YES_NO,J47)=0,"是否动叶可调不在标准枚举中","")),IF(AND(ISTEXT(J47),OR(J47&lt;&gt;TRIM(J47),ISNUMBER(SEARCH("　",J47)))),"是否动叶可调含首尾空格或全角空格",""),IF(K47="","缺少是否可逆转",""),IF(K47="","",IF(COUNTIF(EV_YES_NO,K47)=0,"是否可逆转不在标准枚举中","")),IF(AND(ISTEXT(K47),OR(K47&lt;&gt;TRIM(K47),ISNUMBER(SEARCH("　",K47)))),"是否可逆转含首尾空格或全角空格",""),IF(L47="","缺少流量",""),IF(L47="","",IF(NOT(ISNUMBER(L47)),"流量应为数值",IF(L47&lt;=0,"流量应大于0",""))),IF(M47="","缺少风机压力pF",""),IF(M47="","",IF(NOT(ISNUMBER(M47)),"风机压力pF应为数值",IF(M47&lt;=0,"风机压力pF应大于0",""))),IF(N47="","缺少额定功率",""),IF(N47="","",IF(NOT(ISNUMBER(N47)),"额定功率应为数值",IF(N47&lt;=0,"额定功率应大于0",""))),IF(O47="","缺少叶轮功率",""),IF(O47="","",IF(NOT(ISNUMBER(O47)),"叶轮功率应为数值",IF(O47&lt;=0,"叶轮功率应大于0",""))),IF(P47="","缺少转速",""),IF(P47="","",IF(NOT(ISNUMBER(P47)),"转速应为数值",IF(P47&lt;=0,"转速应大于0",""))),IF(Q47="","缺少机号",""),IF(Q47="","",IF(NOT(ISNUMBER(Q47)),"机号应为数值",IF(Q47&lt;=0,"机号应大于0",""))),IF(R47="","缺少进口滞止密度",""),IF(R47="","",IF(NOT(ISNUMBER(R47)),"进口滞止密度应为数值",IF(R47&lt;=0,"进口滞止密度应大于0",""))),IF(S47="","缺少等熵指数k",""),IF(S47="","",IF(NOT(ISNUMBER(S47)),"等熵指数k应为数值",IF(OR(S47&lt;1,S47&gt;2),"等熵指数k应为1～2",""))),IF(T47="","缺少轮毂比",""),IF(T47="","",IF(NOT(ISNUMBER(T47)),"轮毂比应为数值",IF(OR(T47&lt;0,T47&gt;1),"轮毂比应为0～1",""))),IF(U47="","缺少最高通风机效率ηr",""),IF(U47="","",IF(NOT(ISNUMBER(U47)),"最高通风机效率ηr应为数值",IF(OR(U47&lt;1,U47&gt;100),"最高通风机效率ηr应为1～100的百分数本值",""))),IF(AC47="","缺少铭牌照片",""),IF(AND(ISTEXT(AD47),OR(AD47&lt;&gt;TRIM(AD47),ISNUMBER(SEARCH("　",AD47)))),"填表备注含首尾空格或全角空格",""),IF(AND(ISNUMBER(M47),M47&gt;30000),"风机压力超过30kPa，超出通风机标准范围",""),IF(AND(J47="是",H47="是"),"动叶可调特殊效率规则要求进口无进气箱",""),IF(AND(J47="是",I47="是"),"动叶可调特殊效率规则要求出口无扩散筒","")),"")</f>
        <v/>
      </c>
    </row>
    <row r="48" ht="42" customHeight="1" s="184">
      <c r="A48" s="224">
        <f>IF(COUNTA(B48,C48,D48,E48,F48,G48,H48,I48,J48,K48,L48,M48,N48,O48,P48,Q48,R48,S48,T48,U48,AC48,AD48)&gt;0,ROW()-3,"")</f>
        <v/>
      </c>
      <c r="B48" s="176" t="n"/>
      <c r="C48" s="176" t="n"/>
      <c r="D48" s="228" t="n"/>
      <c r="E48" s="176" t="n"/>
      <c r="F48" s="218" t="n"/>
      <c r="G48" s="218" t="n"/>
      <c r="H48" s="218" t="n"/>
      <c r="I48" s="218" t="n"/>
      <c r="J48" s="218" t="n"/>
      <c r="K48" s="218" t="n"/>
      <c r="L48" s="229" t="n"/>
      <c r="M48" s="229" t="n"/>
      <c r="N48" s="229" t="n"/>
      <c r="O48" s="229" t="n"/>
      <c r="P48" s="229" t="n"/>
      <c r="Q48" s="229" t="n"/>
      <c r="R48" s="229" t="n"/>
      <c r="S48" s="235" t="n"/>
      <c r="T48" s="235" t="n"/>
      <c r="U48" s="229" t="n"/>
      <c r="V48" s="113" t="n"/>
      <c r="W48" s="113" t="n"/>
      <c r="X48" s="113" t="n"/>
      <c r="Y48" s="227" t="n"/>
      <c r="Z48" s="227" t="n"/>
      <c r="AA48" s="227" t="n"/>
      <c r="AB48" s="81" t="n"/>
      <c r="AC48" s="180" t="n"/>
      <c r="AD48" s="180" t="n"/>
      <c r="AE48" s="99">
        <f>IF(COUNTA(B48,C48,D48,E48,F48,G48,H48,I48,J48,K48,L48,M48,N48,O48,P48,Q48,R48,S48,T48,U48,AC48,AD48)&gt;0,TEXTJOIN("；",TRUE,IF(B48="","缺少设备名称",""),IF(AND(ISTEXT(B48),OR(B48&lt;&gt;TRIM(B48),ISNUMBER(SEARCH("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",E48)))),"安装位置含首尾空格或全角空格",""),IF(F48="","缺少设备类别",""),IF(F48="","",IF(COUNTIF(EV_AXIAL_FAN_CATEGORY,F48)=0,"设备类别不在标准枚举中","")),IF(AND(ISTEXT(F48),OR(F48&lt;&gt;TRIM(F48),ISNUMBER(SEARCH("　",F48)))),"设备类别含首尾空格或全角空格",""),IF(G48="","缺少传动方式",""),IF(G48="","",IF(COUNTIF(EV_TRANSMISSION,G48)=0,"传动方式不在标准枚举中","")),IF(AND(ISTEXT(G48),OR(G48&lt;&gt;TRIM(G48),ISNUMBER(SEARCH("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",G48)))),"传动方式含首尾空格或全角空格",""),IF(H48="","缺少是否带进气箱",""),IF(H48="","",IF(COUNTIF(EV_YES_NO,H48)=0,"是否带进气箱不在标准枚举中","")),IF(AND(ISTEXT(H48),OR(H48&lt;&gt;TRIM(H48),ISNUMBER(SEARCH("　",H48)))),"是否带进气箱含首尾空格或全角空格",""),IF(I48="","缺少是否带扩散筒",""),IF(I48="","",IF(COUNTIF(EV_YES_NO,I48)=0,"是否带扩散筒不在标准枚举中","")),IF(AND(ISTEXT(I48),OR(I48&lt;&gt;TRIM(I48),ISNUMBER(SEARCH("　",I48)))),"是否带扩散筒含首尾空格或全角空格",""),IF(J48="","缺少是否动叶可调",""),IF(J48="","",IF(COUNTIF(EV_YES_NO,J48)=0,"是否动叶可调不在标准枚举中","")),IF(AND(ISTEXT(J48),OR(J48&lt;&gt;TRIM(J48),ISNUMBER(SEARCH("　",J48)))),"是否动叶可调含首尾空格或全角空格",""),IF(K48="","缺少是否可逆转",""),IF(K48="","",IF(COUNTIF(EV_YES_NO,K48)=0,"是否可逆转不在标准枚举中","")),IF(AND(ISTEXT(K48),OR(K48&lt;&gt;TRIM(K48),ISNUMBER(SEARCH("　",K48)))),"是否可逆转含首尾空格或全角空格",""),IF(L48="","缺少流量",""),IF(L48="","",IF(NOT(ISNUMBER(L48)),"流量应为数值",IF(L48&lt;=0,"流量应大于0",""))),IF(M48="","缺少风机压力pF",""),IF(M48="","",IF(NOT(ISNUMBER(M48)),"风机压力pF应为数值",IF(M48&lt;=0,"风机压力pF应大于0",""))),IF(N48="","缺少额定功率",""),IF(N48="","",IF(NOT(ISNUMBER(N48)),"额定功率应为数值",IF(N48&lt;=0,"额定功率应大于0",""))),IF(O48="","缺少叶轮功率",""),IF(O48="","",IF(NOT(ISNUMBER(O48)),"叶轮功率应为数值",IF(O48&lt;=0,"叶轮功率应大于0",""))),IF(P48="","缺少转速",""),IF(P48="","",IF(NOT(ISNUMBER(P48)),"转速应为数值",IF(P48&lt;=0,"转速应大于0",""))),IF(Q48="","缺少机号",""),IF(Q48="","",IF(NOT(ISNUMBER(Q48)),"机号应为数值",IF(Q48&lt;=0,"机号应大于0",""))),IF(R48="","缺少进口滞止密度",""),IF(R48="","",IF(NOT(ISNUMBER(R48)),"进口滞止密度应为数值",IF(R48&lt;=0,"进口滞止密度应大于0",""))),IF(S48="","缺少等熵指数k",""),IF(S48="","",IF(NOT(ISNUMBER(S48)),"等熵指数k应为数值",IF(OR(S48&lt;1,S48&gt;2),"等熵指数k应为1～2",""))),IF(T48="","缺少轮毂比",""),IF(T48="","",IF(NOT(ISNUMBER(T48)),"轮毂比应为数值",IF(OR(T48&lt;0,T48&gt;1),"轮毂比应为0～1",""))),IF(U48="","缺少最高通风机效率ηr",""),IF(U48="","",IF(NOT(ISNUMBER(U48)),"最高通风机效率ηr应为数值",IF(OR(U48&lt;1,U48&gt;100),"最高通风机效率ηr应为1～100的百分数本值",""))),IF(AC48="","缺少铭牌照片",""),IF(AND(ISTEXT(AD48),OR(AD48&lt;&gt;TRIM(AD48),ISNUMBER(SEARCH("　",AD48)))),"填表备注含首尾空格或全角空格",""),IF(AND(ISNUMBER(M48),M48&gt;30000),"风机压力超过30kPa，超出通风机标准范围",""),IF(AND(J48="是",H48="是"),"动叶可调特殊效率规则要求进口无进气箱",""),IF(AND(J48="是",I48="是"),"动叶可调特殊效率规则要求出口无扩散筒","")),"")</f>
        <v/>
      </c>
    </row>
    <row r="49" ht="42" customHeight="1" s="184">
      <c r="A49" s="224">
        <f>IF(COUNTA(B49,C49,D49,E49,F49,G49,H49,I49,J49,K49,L49,M49,N49,O49,P49,Q49,R49,S49,T49,U49,AC49,AD49)&gt;0,ROW()-3,"")</f>
        <v/>
      </c>
      <c r="B49" s="176" t="n"/>
      <c r="C49" s="176" t="n"/>
      <c r="D49" s="228" t="n"/>
      <c r="E49" s="176" t="n"/>
      <c r="F49" s="218" t="n"/>
      <c r="G49" s="218" t="n"/>
      <c r="H49" s="218" t="n"/>
      <c r="I49" s="218" t="n"/>
      <c r="J49" s="218" t="n"/>
      <c r="K49" s="218" t="n"/>
      <c r="L49" s="229" t="n"/>
      <c r="M49" s="229" t="n"/>
      <c r="N49" s="229" t="n"/>
      <c r="O49" s="229" t="n"/>
      <c r="P49" s="229" t="n"/>
      <c r="Q49" s="229" t="n"/>
      <c r="R49" s="229" t="n"/>
      <c r="S49" s="235" t="n"/>
      <c r="T49" s="235" t="n"/>
      <c r="U49" s="229" t="n"/>
      <c r="V49" s="113" t="n"/>
      <c r="W49" s="113" t="n"/>
      <c r="X49" s="113" t="n"/>
      <c r="Y49" s="227" t="n"/>
      <c r="Z49" s="227" t="n"/>
      <c r="AA49" s="227" t="n"/>
      <c r="AB49" s="81" t="n"/>
      <c r="AC49" s="180" t="n"/>
      <c r="AD49" s="180" t="n"/>
      <c r="AE49" s="99">
        <f>IF(COUNTA(B49,C49,D49,E49,F49,G49,H49,I49,J49,K49,L49,M49,N49,O49,P49,Q49,R49,S49,T49,U49,AC49,AD49)&gt;0,TEXTJOIN("；",TRUE,IF(B49="","缺少设备名称",""),IF(AND(ISTEXT(B49),OR(B49&lt;&gt;TRIM(B49),ISNUMBER(SEARCH("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",E49)))),"安装位置含首尾空格或全角空格",""),IF(F49="","缺少设备类别",""),IF(F49="","",IF(COUNTIF(EV_AXIAL_FAN_CATEGORY,F49)=0,"设备类别不在标准枚举中","")),IF(AND(ISTEXT(F49),OR(F49&lt;&gt;TRIM(F49),ISNUMBER(SEARCH("　",F49)))),"设备类别含首尾空格或全角空格",""),IF(G49="","缺少传动方式",""),IF(G49="","",IF(COUNTIF(EV_TRANSMISSION,G49)=0,"传动方式不在标准枚举中","")),IF(AND(ISTEXT(G49),OR(G49&lt;&gt;TRIM(G49),ISNUMBER(SEARCH("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",G49)))),"传动方式含首尾空格或全角空格",""),IF(H49="","缺少是否带进气箱",""),IF(H49="","",IF(COUNTIF(EV_YES_NO,H49)=0,"是否带进气箱不在标准枚举中","")),IF(AND(ISTEXT(H49),OR(H49&lt;&gt;TRIM(H49),ISNUMBER(SEARCH("　",H49)))),"是否带进气箱含首尾空格或全角空格",""),IF(I49="","缺少是否带扩散筒",""),IF(I49="","",IF(COUNTIF(EV_YES_NO,I49)=0,"是否带扩散筒不在标准枚举中","")),IF(AND(ISTEXT(I49),OR(I49&lt;&gt;TRIM(I49),ISNUMBER(SEARCH("　",I49)))),"是否带扩散筒含首尾空格或全角空格",""),IF(J49="","缺少是否动叶可调",""),IF(J49="","",IF(COUNTIF(EV_YES_NO,J49)=0,"是否动叶可调不在标准枚举中","")),IF(AND(ISTEXT(J49),OR(J49&lt;&gt;TRIM(J49),ISNUMBER(SEARCH("　",J49)))),"是否动叶可调含首尾空格或全角空格",""),IF(K49="","缺少是否可逆转",""),IF(K49="","",IF(COUNTIF(EV_YES_NO,K49)=0,"是否可逆转不在标准枚举中","")),IF(AND(ISTEXT(K49),OR(K49&lt;&gt;TRIM(K49),ISNUMBER(SEARCH("　",K49)))),"是否可逆转含首尾空格或全角空格",""),IF(L49="","缺少流量",""),IF(L49="","",IF(NOT(ISNUMBER(L49)),"流量应为数值",IF(L49&lt;=0,"流量应大于0",""))),IF(M49="","缺少风机压力pF",""),IF(M49="","",IF(NOT(ISNUMBER(M49)),"风机压力pF应为数值",IF(M49&lt;=0,"风机压力pF应大于0",""))),IF(N49="","缺少额定功率",""),IF(N49="","",IF(NOT(ISNUMBER(N49)),"额定功率应为数值",IF(N49&lt;=0,"额定功率应大于0",""))),IF(O49="","缺少叶轮功率",""),IF(O49="","",IF(NOT(ISNUMBER(O49)),"叶轮功率应为数值",IF(O49&lt;=0,"叶轮功率应大于0",""))),IF(P49="","缺少转速",""),IF(P49="","",IF(NOT(ISNUMBER(P49)),"转速应为数值",IF(P49&lt;=0,"转速应大于0",""))),IF(Q49="","缺少机号",""),IF(Q49="","",IF(NOT(ISNUMBER(Q49)),"机号应为数值",IF(Q49&lt;=0,"机号应大于0",""))),IF(R49="","缺少进口滞止密度",""),IF(R49="","",IF(NOT(ISNUMBER(R49)),"进口滞止密度应为数值",IF(R49&lt;=0,"进口滞止密度应大于0",""))),IF(S49="","缺少等熵指数k",""),IF(S49="","",IF(NOT(ISNUMBER(S49)),"等熵指数k应为数值",IF(OR(S49&lt;1,S49&gt;2),"等熵指数k应为1～2",""))),IF(T49="","缺少轮毂比",""),IF(T49="","",IF(NOT(ISNUMBER(T49)),"轮毂比应为数值",IF(OR(T49&lt;0,T49&gt;1),"轮毂比应为0～1",""))),IF(U49="","缺少最高通风机效率ηr",""),IF(U49="","",IF(NOT(ISNUMBER(U49)),"最高通风机效率ηr应为数值",IF(OR(U49&lt;1,U49&gt;100),"最高通风机效率ηr应为1～100的百分数本值",""))),IF(AC49="","缺少铭牌照片",""),IF(AND(ISTEXT(AD49),OR(AD49&lt;&gt;TRIM(AD49),ISNUMBER(SEARCH("　",AD49)))),"填表备注含首尾空格或全角空格",""),IF(AND(ISNUMBER(M49),M49&gt;30000),"风机压力超过30kPa，超出通风机标准范围",""),IF(AND(J49="是",H49="是"),"动叶可调特殊效率规则要求进口无进气箱",""),IF(AND(J49="是",I49="是"),"动叶可调特殊效率规则要求出口无扩散筒","")),"")</f>
        <v/>
      </c>
    </row>
    <row r="50" ht="42" customHeight="1" s="184">
      <c r="A50" s="224">
        <f>IF(COUNTA(B50,C50,D50,E50,F50,G50,H50,I50,J50,K50,L50,M50,N50,O50,P50,Q50,R50,S50,T50,U50,AC50,AD50)&gt;0,ROW()-3,"")</f>
        <v/>
      </c>
      <c r="B50" s="176" t="n"/>
      <c r="C50" s="176" t="n"/>
      <c r="D50" s="228" t="n"/>
      <c r="E50" s="176" t="n"/>
      <c r="F50" s="218" t="n"/>
      <c r="G50" s="218" t="n"/>
      <c r="H50" s="218" t="n"/>
      <c r="I50" s="218" t="n"/>
      <c r="J50" s="218" t="n"/>
      <c r="K50" s="218" t="n"/>
      <c r="L50" s="229" t="n"/>
      <c r="M50" s="229" t="n"/>
      <c r="N50" s="229" t="n"/>
      <c r="O50" s="229" t="n"/>
      <c r="P50" s="229" t="n"/>
      <c r="Q50" s="229" t="n"/>
      <c r="R50" s="229" t="n"/>
      <c r="S50" s="235" t="n"/>
      <c r="T50" s="235" t="n"/>
      <c r="U50" s="229" t="n"/>
      <c r="V50" s="113" t="n"/>
      <c r="W50" s="113" t="n"/>
      <c r="X50" s="113" t="n"/>
      <c r="Y50" s="227" t="n"/>
      <c r="Z50" s="227" t="n"/>
      <c r="AA50" s="227" t="n"/>
      <c r="AB50" s="81" t="n"/>
      <c r="AC50" s="180" t="n"/>
      <c r="AD50" s="180" t="n"/>
      <c r="AE50" s="99">
        <f>IF(COUNTA(B50,C50,D50,E50,F50,G50,H50,I50,J50,K50,L50,M50,N50,O50,P50,Q50,R50,S50,T50,U50,AC50,AD50)&gt;0,TEXTJOIN("；",TRUE,IF(B50="","缺少设备名称",""),IF(AND(ISTEXT(B50),OR(B50&lt;&gt;TRIM(B50),ISNUMBER(SEARCH("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",E50)))),"安装位置含首尾空格或全角空格",""),IF(F50="","缺少设备类别",""),IF(F50="","",IF(COUNTIF(EV_AXIAL_FAN_CATEGORY,F50)=0,"设备类别不在标准枚举中","")),IF(AND(ISTEXT(F50),OR(F50&lt;&gt;TRIM(F50),ISNUMBER(SEARCH("　",F50)))),"设备类别含首尾空格或全角空格",""),IF(G50="","缺少传动方式",""),IF(G50="","",IF(COUNTIF(EV_TRANSMISSION,G50)=0,"传动方式不在标准枚举中","")),IF(AND(ISTEXT(G50),OR(G50&lt;&gt;TRIM(G50),ISNUMBER(SEARCH("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",G50)))),"传动方式含首尾空格或全角空格",""),IF(H50="","缺少是否带进气箱",""),IF(H50="","",IF(COUNTIF(EV_YES_NO,H50)=0,"是否带进气箱不在标准枚举中","")),IF(AND(ISTEXT(H50),OR(H50&lt;&gt;TRIM(H50),ISNUMBER(SEARCH("　",H50)))),"是否带进气箱含首尾空格或全角空格",""),IF(I50="","缺少是否带扩散筒",""),IF(I50="","",IF(COUNTIF(EV_YES_NO,I50)=0,"是否带扩散筒不在标准枚举中","")),IF(AND(ISTEXT(I50),OR(I50&lt;&gt;TRIM(I50),ISNUMBER(SEARCH("　",I50)))),"是否带扩散筒含首尾空格或全角空格",""),IF(J50="","缺少是否动叶可调",""),IF(J50="","",IF(COUNTIF(EV_YES_NO,J50)=0,"是否动叶可调不在标准枚举中","")),IF(AND(ISTEXT(J50),OR(J50&lt;&gt;TRIM(J50),ISNUMBER(SEARCH("　",J50)))),"是否动叶可调含首尾空格或全角空格",""),IF(K50="","缺少是否可逆转",""),IF(K50="","",IF(COUNTIF(EV_YES_NO,K50)=0,"是否可逆转不在标准枚举中","")),IF(AND(ISTEXT(K50),OR(K50&lt;&gt;TRIM(K50),ISNUMBER(SEARCH("　",K50)))),"是否可逆转含首尾空格或全角空格",""),IF(L50="","缺少流量",""),IF(L50="","",IF(NOT(ISNUMBER(L50)),"流量应为数值",IF(L50&lt;=0,"流量应大于0",""))),IF(M50="","缺少风机压力pF",""),IF(M50="","",IF(NOT(ISNUMBER(M50)),"风机压力pF应为数值",IF(M50&lt;=0,"风机压力pF应大于0",""))),IF(N50="","缺少额定功率",""),IF(N50="","",IF(NOT(ISNUMBER(N50)),"额定功率应为数值",IF(N50&lt;=0,"额定功率应大于0",""))),IF(O50="","缺少叶轮功率",""),IF(O50="","",IF(NOT(ISNUMBER(O50)),"叶轮功率应为数值",IF(O50&lt;=0,"叶轮功率应大于0",""))),IF(P50="","缺少转速",""),IF(P50="","",IF(NOT(ISNUMBER(P50)),"转速应为数值",IF(P50&lt;=0,"转速应大于0",""))),IF(Q50="","缺少机号",""),IF(Q50="","",IF(NOT(ISNUMBER(Q50)),"机号应为数值",IF(Q50&lt;=0,"机号应大于0",""))),IF(R50="","缺少进口滞止密度",""),IF(R50="","",IF(NOT(ISNUMBER(R50)),"进口滞止密度应为数值",IF(R50&lt;=0,"进口滞止密度应大于0",""))),IF(S50="","缺少等熵指数k",""),IF(S50="","",IF(NOT(ISNUMBER(S50)),"等熵指数k应为数值",IF(OR(S50&lt;1,S50&gt;2),"等熵指数k应为1～2",""))),IF(T50="","缺少轮毂比",""),IF(T50="","",IF(NOT(ISNUMBER(T50)),"轮毂比应为数值",IF(OR(T50&lt;0,T50&gt;1),"轮毂比应为0～1",""))),IF(U50="","缺少最高通风机效率ηr",""),IF(U50="","",IF(NOT(ISNUMBER(U50)),"最高通风机效率ηr应为数值",IF(OR(U50&lt;1,U50&gt;100),"最高通风机效率ηr应为1～100的百分数本值",""))),IF(AC50="","缺少铭牌照片",""),IF(AND(ISTEXT(AD50),OR(AD50&lt;&gt;TRIM(AD50),ISNUMBER(SEARCH("　",AD50)))),"填表备注含首尾空格或全角空格",""),IF(AND(ISNUMBER(M50),M50&gt;30000),"风机压力超过30kPa，超出通风机标准范围",""),IF(AND(J50="是",H50="是"),"动叶可调特殊效率规则要求进口无进气箱",""),IF(AND(J50="是",I50="是"),"动叶可调特殊效率规则要求出口无扩散筒","")),"")</f>
        <v/>
      </c>
    </row>
    <row r="51" ht="42" customHeight="1" s="184">
      <c r="A51" s="224">
        <f>IF(COUNTA(B51,C51,D51,E51,F51,G51,H51,I51,J51,K51,L51,M51,N51,O51,P51,Q51,R51,S51,T51,U51,AC51,AD51)&gt;0,ROW()-3,"")</f>
        <v/>
      </c>
      <c r="B51" s="176" t="n"/>
      <c r="C51" s="176" t="n"/>
      <c r="D51" s="228" t="n"/>
      <c r="E51" s="176" t="n"/>
      <c r="F51" s="218" t="n"/>
      <c r="G51" s="218" t="n"/>
      <c r="H51" s="218" t="n"/>
      <c r="I51" s="218" t="n"/>
      <c r="J51" s="218" t="n"/>
      <c r="K51" s="218" t="n"/>
      <c r="L51" s="229" t="n"/>
      <c r="M51" s="229" t="n"/>
      <c r="N51" s="229" t="n"/>
      <c r="O51" s="229" t="n"/>
      <c r="P51" s="229" t="n"/>
      <c r="Q51" s="229" t="n"/>
      <c r="R51" s="229" t="n"/>
      <c r="S51" s="235" t="n"/>
      <c r="T51" s="235" t="n"/>
      <c r="U51" s="229" t="n"/>
      <c r="V51" s="113" t="n"/>
      <c r="W51" s="113" t="n"/>
      <c r="X51" s="113" t="n"/>
      <c r="Y51" s="227" t="n"/>
      <c r="Z51" s="227" t="n"/>
      <c r="AA51" s="227" t="n"/>
      <c r="AB51" s="81" t="n"/>
      <c r="AC51" s="180" t="n"/>
      <c r="AD51" s="180" t="n"/>
      <c r="AE51" s="99">
        <f>IF(COUNTA(B51,C51,D51,E51,F51,G51,H51,I51,J51,K51,L51,M51,N51,O51,P51,Q51,R51,S51,T51,U51,AC51,AD51)&gt;0,TEXTJOIN("；",TRUE,IF(B51="","缺少设备名称",""),IF(AND(ISTEXT(B51),OR(B51&lt;&gt;TRIM(B51),ISNUMBER(SEARCH("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",E51)))),"安装位置含首尾空格或全角空格",""),IF(F51="","缺少设备类别",""),IF(F51="","",IF(COUNTIF(EV_AXIAL_FAN_CATEGORY,F51)=0,"设备类别不在标准枚举中","")),IF(AND(ISTEXT(F51),OR(F51&lt;&gt;TRIM(F51),ISNUMBER(SEARCH("　",F51)))),"设备类别含首尾空格或全角空格",""),IF(G51="","缺少传动方式",""),IF(G51="","",IF(COUNTIF(EV_TRANSMISSION,G51)=0,"传动方式不在标准枚举中","")),IF(AND(ISTEXT(G51),OR(G51&lt;&gt;TRIM(G51),ISNUMBER(SEARCH("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",G51)))),"传动方式含首尾空格或全角空格",""),IF(H51="","缺少是否带进气箱",""),IF(H51="","",IF(COUNTIF(EV_YES_NO,H51)=0,"是否带进气箱不在标准枚举中","")),IF(AND(ISTEXT(H51),OR(H51&lt;&gt;TRIM(H51),ISNUMBER(SEARCH("　",H51)))),"是否带进气箱含首尾空格或全角空格",""),IF(I51="","缺少是否带扩散筒",""),IF(I51="","",IF(COUNTIF(EV_YES_NO,I51)=0,"是否带扩散筒不在标准枚举中","")),IF(AND(ISTEXT(I51),OR(I51&lt;&gt;TRIM(I51),ISNUMBER(SEARCH("　",I51)))),"是否带扩散筒含首尾空格或全角空格",""),IF(J51="","缺少是否动叶可调",""),IF(J51="","",IF(COUNTIF(EV_YES_NO,J51)=0,"是否动叶可调不在标准枚举中","")),IF(AND(ISTEXT(J51),OR(J51&lt;&gt;TRIM(J51),ISNUMBER(SEARCH("　",J51)))),"是否动叶可调含首尾空格或全角空格",""),IF(K51="","缺少是否可逆转",""),IF(K51="","",IF(COUNTIF(EV_YES_NO,K51)=0,"是否可逆转不在标准枚举中","")),IF(AND(ISTEXT(K51),OR(K51&lt;&gt;TRIM(K51),ISNUMBER(SEARCH("　",K51)))),"是否可逆转含首尾空格或全角空格",""),IF(L51="","缺少流量",""),IF(L51="","",IF(NOT(ISNUMBER(L51)),"流量应为数值",IF(L51&lt;=0,"流量应大于0",""))),IF(M51="","缺少风机压力pF",""),IF(M51="","",IF(NOT(ISNUMBER(M51)),"风机压力pF应为数值",IF(M51&lt;=0,"风机压力pF应大于0",""))),IF(N51="","缺少额定功率",""),IF(N51="","",IF(NOT(ISNUMBER(N51)),"额定功率应为数值",IF(N51&lt;=0,"额定功率应大于0",""))),IF(O51="","缺少叶轮功率",""),IF(O51="","",IF(NOT(ISNUMBER(O51)),"叶轮功率应为数值",IF(O51&lt;=0,"叶轮功率应大于0",""))),IF(P51="","缺少转速",""),IF(P51="","",IF(NOT(ISNUMBER(P51)),"转速应为数值",IF(P51&lt;=0,"转速应大于0",""))),IF(Q51="","缺少机号",""),IF(Q51="","",IF(NOT(ISNUMBER(Q51)),"机号应为数值",IF(Q51&lt;=0,"机号应大于0",""))),IF(R51="","缺少进口滞止密度",""),IF(R51="","",IF(NOT(ISNUMBER(R51)),"进口滞止密度应为数值",IF(R51&lt;=0,"进口滞止密度应大于0",""))),IF(S51="","缺少等熵指数k",""),IF(S51="","",IF(NOT(ISNUMBER(S51)),"等熵指数k应为数值",IF(OR(S51&lt;1,S51&gt;2),"等熵指数k应为1～2",""))),IF(T51="","缺少轮毂比",""),IF(T51="","",IF(NOT(ISNUMBER(T51)),"轮毂比应为数值",IF(OR(T51&lt;0,T51&gt;1),"轮毂比应为0～1",""))),IF(U51="","缺少最高通风机效率ηr",""),IF(U51="","",IF(NOT(ISNUMBER(U51)),"最高通风机效率ηr应为数值",IF(OR(U51&lt;1,U51&gt;100),"最高通风机效率ηr应为1～100的百分数本值",""))),IF(AC51="","缺少铭牌照片",""),IF(AND(ISTEXT(AD51),OR(AD51&lt;&gt;TRIM(AD51),ISNUMBER(SEARCH("　",AD51)))),"填表备注含首尾空格或全角空格",""),IF(AND(ISNUMBER(M51),M51&gt;30000),"风机压力超过30kPa，超出通风机标准范围",""),IF(AND(J51="是",H51="是"),"动叶可调特殊效率规则要求进口无进气箱",""),IF(AND(J51="是",I51="是"),"动叶可调特殊效率规则要求出口无扩散筒","")),"")</f>
        <v/>
      </c>
    </row>
    <row r="52" ht="42" customHeight="1" s="184">
      <c r="A52" s="224">
        <f>IF(COUNTA(B52,C52,D52,E52,F52,G52,H52,I52,J52,K52,L52,M52,N52,O52,P52,Q52,R52,S52,T52,U52,AC52,AD52)&gt;0,ROW()-3,"")</f>
        <v/>
      </c>
      <c r="B52" s="176" t="n"/>
      <c r="C52" s="176" t="n"/>
      <c r="D52" s="228" t="n"/>
      <c r="E52" s="176" t="n"/>
      <c r="F52" s="218" t="n"/>
      <c r="G52" s="218" t="n"/>
      <c r="H52" s="218" t="n"/>
      <c r="I52" s="218" t="n"/>
      <c r="J52" s="218" t="n"/>
      <c r="K52" s="218" t="n"/>
      <c r="L52" s="229" t="n"/>
      <c r="M52" s="229" t="n"/>
      <c r="N52" s="229" t="n"/>
      <c r="O52" s="229" t="n"/>
      <c r="P52" s="229" t="n"/>
      <c r="Q52" s="229" t="n"/>
      <c r="R52" s="229" t="n"/>
      <c r="S52" s="235" t="n"/>
      <c r="T52" s="235" t="n"/>
      <c r="U52" s="229" t="n"/>
      <c r="V52" s="113" t="n"/>
      <c r="W52" s="113" t="n"/>
      <c r="X52" s="113" t="n"/>
      <c r="Y52" s="227" t="n"/>
      <c r="Z52" s="227" t="n"/>
      <c r="AA52" s="227" t="n"/>
      <c r="AB52" s="81" t="n"/>
      <c r="AC52" s="180" t="n"/>
      <c r="AD52" s="180" t="n"/>
      <c r="AE52" s="99">
        <f>IF(COUNTA(B52,C52,D52,E52,F52,G52,H52,I52,J52,K52,L52,M52,N52,O52,P52,Q52,R52,S52,T52,U52,AC52,AD52)&gt;0,TEXTJOIN("；",TRUE,IF(B52="","缺少设备名称",""),IF(AND(ISTEXT(B52),OR(B52&lt;&gt;TRIM(B52),ISNUMBER(SEARCH("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",E52)))),"安装位置含首尾空格或全角空格",""),IF(F52="","缺少设备类别",""),IF(F52="","",IF(COUNTIF(EV_AXIAL_FAN_CATEGORY,F52)=0,"设备类别不在标准枚举中","")),IF(AND(ISTEXT(F52),OR(F52&lt;&gt;TRIM(F52),ISNUMBER(SEARCH("　",F52)))),"设备类别含首尾空格或全角空格",""),IF(G52="","缺少传动方式",""),IF(G52="","",IF(COUNTIF(EV_TRANSMISSION,G52)=0,"传动方式不在标准枚举中","")),IF(AND(ISTEXT(G52),OR(G52&lt;&gt;TRIM(G52),ISNUMBER(SEARCH("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",G52)))),"传动方式含首尾空格或全角空格",""),IF(H52="","缺少是否带进气箱",""),IF(H52="","",IF(COUNTIF(EV_YES_NO,H52)=0,"是否带进气箱不在标准枚举中","")),IF(AND(ISTEXT(H52),OR(H52&lt;&gt;TRIM(H52),ISNUMBER(SEARCH("　",H52)))),"是否带进气箱含首尾空格或全角空格",""),IF(I52="","缺少是否带扩散筒",""),IF(I52="","",IF(COUNTIF(EV_YES_NO,I52)=0,"是否带扩散筒不在标准枚举中","")),IF(AND(ISTEXT(I52),OR(I52&lt;&gt;TRIM(I52),ISNUMBER(SEARCH("　",I52)))),"是否带扩散筒含首尾空格或全角空格",""),IF(J52="","缺少是否动叶可调",""),IF(J52="","",IF(COUNTIF(EV_YES_NO,J52)=0,"是否动叶可调不在标准枚举中","")),IF(AND(ISTEXT(J52),OR(J52&lt;&gt;TRIM(J52),ISNUMBER(SEARCH("　",J52)))),"是否动叶可调含首尾空格或全角空格",""),IF(K52="","缺少是否可逆转",""),IF(K52="","",IF(COUNTIF(EV_YES_NO,K52)=0,"是否可逆转不在标准枚举中","")),IF(AND(ISTEXT(K52),OR(K52&lt;&gt;TRIM(K52),ISNUMBER(SEARCH("　",K52)))),"是否可逆转含首尾空格或全角空格",""),IF(L52="","缺少流量",""),IF(L52="","",IF(NOT(ISNUMBER(L52)),"流量应为数值",IF(L52&lt;=0,"流量应大于0",""))),IF(M52="","缺少风机压力pF",""),IF(M52="","",IF(NOT(ISNUMBER(M52)),"风机压力pF应为数值",IF(M52&lt;=0,"风机压力pF应大于0",""))),IF(N52="","缺少额定功率",""),IF(N52="","",IF(NOT(ISNUMBER(N52)),"额定功率应为数值",IF(N52&lt;=0,"额定功率应大于0",""))),IF(O52="","缺少叶轮功率",""),IF(O52="","",IF(NOT(ISNUMBER(O52)),"叶轮功率应为数值",IF(O52&lt;=0,"叶轮功率应大于0",""))),IF(P52="","缺少转速",""),IF(P52="","",IF(NOT(ISNUMBER(P52)),"转速应为数值",IF(P52&lt;=0,"转速应大于0",""))),IF(Q52="","缺少机号",""),IF(Q52="","",IF(NOT(ISNUMBER(Q52)),"机号应为数值",IF(Q52&lt;=0,"机号应大于0",""))),IF(R52="","缺少进口滞止密度",""),IF(R52="","",IF(NOT(ISNUMBER(R52)),"进口滞止密度应为数值",IF(R52&lt;=0,"进口滞止密度应大于0",""))),IF(S52="","缺少等熵指数k",""),IF(S52="","",IF(NOT(ISNUMBER(S52)),"等熵指数k应为数值",IF(OR(S52&lt;1,S52&gt;2),"等熵指数k应为1～2",""))),IF(T52="","缺少轮毂比",""),IF(T52="","",IF(NOT(ISNUMBER(T52)),"轮毂比应为数值",IF(OR(T52&lt;0,T52&gt;1),"轮毂比应为0～1",""))),IF(U52="","缺少最高通风机效率ηr",""),IF(U52="","",IF(NOT(ISNUMBER(U52)),"最高通风机效率ηr应为数值",IF(OR(U52&lt;1,U52&gt;100),"最高通风机效率ηr应为1～100的百分数本值",""))),IF(AC52="","缺少铭牌照片",""),IF(AND(ISTEXT(AD52),OR(AD52&lt;&gt;TRIM(AD52),ISNUMBER(SEARCH("　",AD52)))),"填表备注含首尾空格或全角空格",""),IF(AND(ISNUMBER(M52),M52&gt;30000),"风机压力超过30kPa，超出通风机标准范围",""),IF(AND(J52="是",H52="是"),"动叶可调特殊效率规则要求进口无进气箱",""),IF(AND(J52="是",I52="是"),"动叶可调特殊效率规则要求出口无扩散筒","")),"")</f>
        <v/>
      </c>
    </row>
    <row r="53" ht="42" customHeight="1" s="184">
      <c r="A53" s="224">
        <f>IF(COUNTA(B53,C53,D53,E53,F53,G53,H53,I53,J53,K53,L53,M53,N53,O53,P53,Q53,R53,S53,T53,U53,AC53,AD53)&gt;0,ROW()-3,"")</f>
        <v/>
      </c>
      <c r="B53" s="176" t="n"/>
      <c r="C53" s="176" t="n"/>
      <c r="D53" s="228" t="n"/>
      <c r="E53" s="176" t="n"/>
      <c r="F53" s="218" t="n"/>
      <c r="G53" s="218" t="n"/>
      <c r="H53" s="218" t="n"/>
      <c r="I53" s="218" t="n"/>
      <c r="J53" s="218" t="n"/>
      <c r="K53" s="218" t="n"/>
      <c r="L53" s="229" t="n"/>
      <c r="M53" s="229" t="n"/>
      <c r="N53" s="229" t="n"/>
      <c r="O53" s="229" t="n"/>
      <c r="P53" s="229" t="n"/>
      <c r="Q53" s="229" t="n"/>
      <c r="R53" s="229" t="n"/>
      <c r="S53" s="235" t="n"/>
      <c r="T53" s="235" t="n"/>
      <c r="U53" s="229" t="n"/>
      <c r="V53" s="113" t="n"/>
      <c r="W53" s="113" t="n"/>
      <c r="X53" s="113" t="n"/>
      <c r="Y53" s="227" t="n"/>
      <c r="Z53" s="227" t="n"/>
      <c r="AA53" s="227" t="n"/>
      <c r="AB53" s="81" t="n"/>
      <c r="AC53" s="180" t="n"/>
      <c r="AD53" s="180" t="n"/>
      <c r="AE53" s="99">
        <f>IF(COUNTA(B53,C53,D53,E53,F53,G53,H53,I53,J53,K53,L53,M53,N53,O53,P53,Q53,R53,S53,T53,U53,AC53,AD53)&gt;0,TEXTJOIN("；",TRUE,IF(B53="","缺少设备名称",""),IF(AND(ISTEXT(B53),OR(B53&lt;&gt;TRIM(B53),ISNUMBER(SEARCH("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",E53)))),"安装位置含首尾空格或全角空格",""),IF(F53="","缺少设备类别",""),IF(F53="","",IF(COUNTIF(EV_AXIAL_FAN_CATEGORY,F53)=0,"设备类别不在标准枚举中","")),IF(AND(ISTEXT(F53),OR(F53&lt;&gt;TRIM(F53),ISNUMBER(SEARCH("　",F53)))),"设备类别含首尾空格或全角空格",""),IF(G53="","缺少传动方式",""),IF(G53="","",IF(COUNTIF(EV_TRANSMISSION,G53)=0,"传动方式不在标准枚举中","")),IF(AND(ISTEXT(G53),OR(G53&lt;&gt;TRIM(G53),ISNUMBER(SEARCH("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",G53)))),"传动方式含首尾空格或全角空格",""),IF(H53="","缺少是否带进气箱",""),IF(H53="","",IF(COUNTIF(EV_YES_NO,H53)=0,"是否带进气箱不在标准枚举中","")),IF(AND(ISTEXT(H53),OR(H53&lt;&gt;TRIM(H53),ISNUMBER(SEARCH("　",H53)))),"是否带进气箱含首尾空格或全角空格",""),IF(I53="","缺少是否带扩散筒",""),IF(I53="","",IF(COUNTIF(EV_YES_NO,I53)=0,"是否带扩散筒不在标准枚举中","")),IF(AND(ISTEXT(I53),OR(I53&lt;&gt;TRIM(I53),ISNUMBER(SEARCH("　",I53)))),"是否带扩散筒含首尾空格或全角空格",""),IF(J53="","缺少是否动叶可调",""),IF(J53="","",IF(COUNTIF(EV_YES_NO,J53)=0,"是否动叶可调不在标准枚举中","")),IF(AND(ISTEXT(J53),OR(J53&lt;&gt;TRIM(J53),ISNUMBER(SEARCH("　",J53)))),"是否动叶可调含首尾空格或全角空格",""),IF(K53="","缺少是否可逆转",""),IF(K53="","",IF(COUNTIF(EV_YES_NO,K53)=0,"是否可逆转不在标准枚举中","")),IF(AND(ISTEXT(K53),OR(K53&lt;&gt;TRIM(K53),ISNUMBER(SEARCH("　",K53)))),"是否可逆转含首尾空格或全角空格",""),IF(L53="","缺少流量",""),IF(L53="","",IF(NOT(ISNUMBER(L53)),"流量应为数值",IF(L53&lt;=0,"流量应大于0",""))),IF(M53="","缺少风机压力pF",""),IF(M53="","",IF(NOT(ISNUMBER(M53)),"风机压力pF应为数值",IF(M53&lt;=0,"风机压力pF应大于0",""))),IF(N53="","缺少额定功率",""),IF(N53="","",IF(NOT(ISNUMBER(N53)),"额定功率应为数值",IF(N53&lt;=0,"额定功率应大于0",""))),IF(O53="","缺少叶轮功率",""),IF(O53="","",IF(NOT(ISNUMBER(O53)),"叶轮功率应为数值",IF(O53&lt;=0,"叶轮功率应大于0",""))),IF(P53="","缺少转速",""),IF(P53="","",IF(NOT(ISNUMBER(P53)),"转速应为数值",IF(P53&lt;=0,"转速应大于0",""))),IF(Q53="","缺少机号",""),IF(Q53="","",IF(NOT(ISNUMBER(Q53)),"机号应为数值",IF(Q53&lt;=0,"机号应大于0",""))),IF(R53="","缺少进口滞止密度",""),IF(R53="","",IF(NOT(ISNUMBER(R53)),"进口滞止密度应为数值",IF(R53&lt;=0,"进口滞止密度应大于0",""))),IF(S53="","缺少等熵指数k",""),IF(S53="","",IF(NOT(ISNUMBER(S53)),"等熵指数k应为数值",IF(OR(S53&lt;1,S53&gt;2),"等熵指数k应为1～2",""))),IF(T53="","缺少轮毂比",""),IF(T53="","",IF(NOT(ISNUMBER(T53)),"轮毂比应为数值",IF(OR(T53&lt;0,T53&gt;1),"轮毂比应为0～1",""))),IF(U53="","缺少最高通风机效率ηr",""),IF(U53="","",IF(NOT(ISNUMBER(U53)),"最高通风机效率ηr应为数值",IF(OR(U53&lt;1,U53&gt;100),"最高通风机效率ηr应为1～100的百分数本值",""))),IF(AC53="","缺少铭牌照片",""),IF(AND(ISTEXT(AD53),OR(AD53&lt;&gt;TRIM(AD53),ISNUMBER(SEARCH("　",AD53)))),"填表备注含首尾空格或全角空格",""),IF(AND(ISNUMBER(M53),M53&gt;30000),"风机压力超过30kPa，超出通风机标准范围",""),IF(AND(J53="是",H53="是"),"动叶可调特殊效率规则要求进口无进气箱",""),IF(AND(J53="是",I53="是"),"动叶可调特殊效率规则要求出口无扩散筒","")),"")</f>
        <v/>
      </c>
    </row>
    <row r="54" ht="42" customHeight="1" s="184">
      <c r="A54" s="224">
        <f>IF(COUNTA(B54,C54,D54,E54,F54,G54,H54,I54,J54,K54,L54,M54,N54,O54,P54,Q54,R54,S54,T54,U54,AC54,AD54)&gt;0,ROW()-3,"")</f>
        <v/>
      </c>
      <c r="B54" s="176" t="n"/>
      <c r="C54" s="176" t="n"/>
      <c r="D54" s="228" t="n"/>
      <c r="E54" s="176" t="n"/>
      <c r="F54" s="218" t="n"/>
      <c r="G54" s="218" t="n"/>
      <c r="H54" s="218" t="n"/>
      <c r="I54" s="218" t="n"/>
      <c r="J54" s="218" t="n"/>
      <c r="K54" s="218" t="n"/>
      <c r="L54" s="229" t="n"/>
      <c r="M54" s="229" t="n"/>
      <c r="N54" s="229" t="n"/>
      <c r="O54" s="229" t="n"/>
      <c r="P54" s="229" t="n"/>
      <c r="Q54" s="229" t="n"/>
      <c r="R54" s="229" t="n"/>
      <c r="S54" s="235" t="n"/>
      <c r="T54" s="235" t="n"/>
      <c r="U54" s="229" t="n"/>
      <c r="V54" s="113" t="n"/>
      <c r="W54" s="113" t="n"/>
      <c r="X54" s="113" t="n"/>
      <c r="Y54" s="227" t="n"/>
      <c r="Z54" s="227" t="n"/>
      <c r="AA54" s="227" t="n"/>
      <c r="AB54" s="81" t="n"/>
      <c r="AC54" s="180" t="n"/>
      <c r="AD54" s="180" t="n"/>
      <c r="AE54" s="99">
        <f>IF(COUNTA(B54,C54,D54,E54,F54,G54,H54,I54,J54,K54,L54,M54,N54,O54,P54,Q54,R54,S54,T54,U54,AC54,AD54)&gt;0,TEXTJOIN("；",TRUE,IF(B54="","缺少设备名称",""),IF(AND(ISTEXT(B54),OR(B54&lt;&gt;TRIM(B54),ISNUMBER(SEARCH("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",E54)))),"安装位置含首尾空格或全角空格",""),IF(F54="","缺少设备类别",""),IF(F54="","",IF(COUNTIF(EV_AXIAL_FAN_CATEGORY,F54)=0,"设备类别不在标准枚举中","")),IF(AND(ISTEXT(F54),OR(F54&lt;&gt;TRIM(F54),ISNUMBER(SEARCH("　",F54)))),"设备类别含首尾空格或全角空格",""),IF(G54="","缺少传动方式",""),IF(G54="","",IF(COUNTIF(EV_TRANSMISSION,G54)=0,"传动方式不在标准枚举中","")),IF(AND(ISTEXT(G54),OR(G54&lt;&gt;TRIM(G54),ISNUMBER(SEARCH("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",G54)))),"传动方式含首尾空格或全角空格",""),IF(H54="","缺少是否带进气箱",""),IF(H54="","",IF(COUNTIF(EV_YES_NO,H54)=0,"是否带进气箱不在标准枚举中","")),IF(AND(ISTEXT(H54),OR(H54&lt;&gt;TRIM(H54),ISNUMBER(SEARCH("　",H54)))),"是否带进气箱含首尾空格或全角空格",""),IF(I54="","缺少是否带扩散筒",""),IF(I54="","",IF(COUNTIF(EV_YES_NO,I54)=0,"是否带扩散筒不在标准枚举中","")),IF(AND(ISTEXT(I54),OR(I54&lt;&gt;TRIM(I54),ISNUMBER(SEARCH("　",I54)))),"是否带扩散筒含首尾空格或全角空格",""),IF(J54="","缺少是否动叶可调",""),IF(J54="","",IF(COUNTIF(EV_YES_NO,J54)=0,"是否动叶可调不在标准枚举中","")),IF(AND(ISTEXT(J54),OR(J54&lt;&gt;TRIM(J54),ISNUMBER(SEARCH("　",J54)))),"是否动叶可调含首尾空格或全角空格",""),IF(K54="","缺少是否可逆转",""),IF(K54="","",IF(COUNTIF(EV_YES_NO,K54)=0,"是否可逆转不在标准枚举中","")),IF(AND(ISTEXT(K54),OR(K54&lt;&gt;TRIM(K54),ISNUMBER(SEARCH("　",K54)))),"是否可逆转含首尾空格或全角空格",""),IF(L54="","缺少流量",""),IF(L54="","",IF(NOT(ISNUMBER(L54)),"流量应为数值",IF(L54&lt;=0,"流量应大于0",""))),IF(M54="","缺少风机压力pF",""),IF(M54="","",IF(NOT(ISNUMBER(M54)),"风机压力pF应为数值",IF(M54&lt;=0,"风机压力pF应大于0",""))),IF(N54="","缺少额定功率",""),IF(N54="","",IF(NOT(ISNUMBER(N54)),"额定功率应为数值",IF(N54&lt;=0,"额定功率应大于0",""))),IF(O54="","缺少叶轮功率",""),IF(O54="","",IF(NOT(ISNUMBER(O54)),"叶轮功率应为数值",IF(O54&lt;=0,"叶轮功率应大于0",""))),IF(P54="","缺少转速",""),IF(P54="","",IF(NOT(ISNUMBER(P54)),"转速应为数值",IF(P54&lt;=0,"转速应大于0",""))),IF(Q54="","缺少机号",""),IF(Q54="","",IF(NOT(ISNUMBER(Q54)),"机号应为数值",IF(Q54&lt;=0,"机号应大于0",""))),IF(R54="","缺少进口滞止密度",""),IF(R54="","",IF(NOT(ISNUMBER(R54)),"进口滞止密度应为数值",IF(R54&lt;=0,"进口滞止密度应大于0",""))),IF(S54="","缺少等熵指数k",""),IF(S54="","",IF(NOT(ISNUMBER(S54)),"等熵指数k应为数值",IF(OR(S54&lt;1,S54&gt;2),"等熵指数k应为1～2",""))),IF(T54="","缺少轮毂比",""),IF(T54="","",IF(NOT(ISNUMBER(T54)),"轮毂比应为数值",IF(OR(T54&lt;0,T54&gt;1),"轮毂比应为0～1",""))),IF(U54="","缺少最高通风机效率ηr",""),IF(U54="","",IF(NOT(ISNUMBER(U54)),"最高通风机效率ηr应为数值",IF(OR(U54&lt;1,U54&gt;100),"最高通风机效率ηr应为1～100的百分数本值",""))),IF(AC54="","缺少铭牌照片",""),IF(AND(ISTEXT(AD54),OR(AD54&lt;&gt;TRIM(AD54),ISNUMBER(SEARCH("　",AD54)))),"填表备注含首尾空格或全角空格",""),IF(AND(ISNUMBER(M54),M54&gt;30000),"风机压力超过30kPa，超出通风机标准范围",""),IF(AND(J54="是",H54="是"),"动叶可调特殊效率规则要求进口无进气箱",""),IF(AND(J54="是",I54="是"),"动叶可调特殊效率规则要求出口无扩散筒","")),"")</f>
        <v/>
      </c>
    </row>
    <row r="55" ht="42" customHeight="1" s="184">
      <c r="A55" s="224">
        <f>IF(COUNTA(B55,C55,D55,E55,F55,G55,H55,I55,J55,K55,L55,M55,N55,O55,P55,Q55,R55,S55,T55,U55,AC55,AD55)&gt;0,ROW()-3,"")</f>
        <v/>
      </c>
      <c r="B55" s="176" t="n"/>
      <c r="C55" s="176" t="n"/>
      <c r="D55" s="228" t="n"/>
      <c r="E55" s="176" t="n"/>
      <c r="F55" s="218" t="n"/>
      <c r="G55" s="218" t="n"/>
      <c r="H55" s="218" t="n"/>
      <c r="I55" s="218" t="n"/>
      <c r="J55" s="218" t="n"/>
      <c r="K55" s="218" t="n"/>
      <c r="L55" s="229" t="n"/>
      <c r="M55" s="229" t="n"/>
      <c r="N55" s="229" t="n"/>
      <c r="O55" s="229" t="n"/>
      <c r="P55" s="229" t="n"/>
      <c r="Q55" s="229" t="n"/>
      <c r="R55" s="229" t="n"/>
      <c r="S55" s="235" t="n"/>
      <c r="T55" s="235" t="n"/>
      <c r="U55" s="229" t="n"/>
      <c r="V55" s="113" t="n"/>
      <c r="W55" s="113" t="n"/>
      <c r="X55" s="113" t="n"/>
      <c r="Y55" s="227" t="n"/>
      <c r="Z55" s="227" t="n"/>
      <c r="AA55" s="227" t="n"/>
      <c r="AB55" s="81" t="n"/>
      <c r="AC55" s="180" t="n"/>
      <c r="AD55" s="180" t="n"/>
      <c r="AE55" s="99">
        <f>IF(COUNTA(B55,C55,D55,E55,F55,G55,H55,I55,J55,K55,L55,M55,N55,O55,P55,Q55,R55,S55,T55,U55,AC55,AD55)&gt;0,TEXTJOIN("；",TRUE,IF(B55="","缺少设备名称",""),IF(AND(ISTEXT(B55),OR(B55&lt;&gt;TRIM(B55),ISNUMBER(SEARCH("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",E55)))),"安装位置含首尾空格或全角空格",""),IF(F55="","缺少设备类别",""),IF(F55="","",IF(COUNTIF(EV_AXIAL_FAN_CATEGORY,F55)=0,"设备类别不在标准枚举中","")),IF(AND(ISTEXT(F55),OR(F55&lt;&gt;TRIM(F55),ISNUMBER(SEARCH("　",F55)))),"设备类别含首尾空格或全角空格",""),IF(G55="","缺少传动方式",""),IF(G55="","",IF(COUNTIF(EV_TRANSMISSION,G55)=0,"传动方式不在标准枚举中","")),IF(AND(ISTEXT(G55),OR(G55&lt;&gt;TRIM(G55),ISNUMBER(SEARCH("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",G55)))),"传动方式含首尾空格或全角空格",""),IF(H55="","缺少是否带进气箱",""),IF(H55="","",IF(COUNTIF(EV_YES_NO,H55)=0,"是否带进气箱不在标准枚举中","")),IF(AND(ISTEXT(H55),OR(H55&lt;&gt;TRIM(H55),ISNUMBER(SEARCH("　",H55)))),"是否带进气箱含首尾空格或全角空格",""),IF(I55="","缺少是否带扩散筒",""),IF(I55="","",IF(COUNTIF(EV_YES_NO,I55)=0,"是否带扩散筒不在标准枚举中","")),IF(AND(ISTEXT(I55),OR(I55&lt;&gt;TRIM(I55),ISNUMBER(SEARCH("　",I55)))),"是否带扩散筒含首尾空格或全角空格",""),IF(J55="","缺少是否动叶可调",""),IF(J55="","",IF(COUNTIF(EV_YES_NO,J55)=0,"是否动叶可调不在标准枚举中","")),IF(AND(ISTEXT(J55),OR(J55&lt;&gt;TRIM(J55),ISNUMBER(SEARCH("　",J55)))),"是否动叶可调含首尾空格或全角空格",""),IF(K55="","缺少是否可逆转",""),IF(K55="","",IF(COUNTIF(EV_YES_NO,K55)=0,"是否可逆转不在标准枚举中","")),IF(AND(ISTEXT(K55),OR(K55&lt;&gt;TRIM(K55),ISNUMBER(SEARCH("　",K55)))),"是否可逆转含首尾空格或全角空格",""),IF(L55="","缺少流量",""),IF(L55="","",IF(NOT(ISNUMBER(L55)),"流量应为数值",IF(L55&lt;=0,"流量应大于0",""))),IF(M55="","缺少风机压力pF",""),IF(M55="","",IF(NOT(ISNUMBER(M55)),"风机压力pF应为数值",IF(M55&lt;=0,"风机压力pF应大于0",""))),IF(N55="","缺少额定功率",""),IF(N55="","",IF(NOT(ISNUMBER(N55)),"额定功率应为数值",IF(N55&lt;=0,"额定功率应大于0",""))),IF(O55="","缺少叶轮功率",""),IF(O55="","",IF(NOT(ISNUMBER(O55)),"叶轮功率应为数值",IF(O55&lt;=0,"叶轮功率应大于0",""))),IF(P55="","缺少转速",""),IF(P55="","",IF(NOT(ISNUMBER(P55)),"转速应为数值",IF(P55&lt;=0,"转速应大于0",""))),IF(Q55="","缺少机号",""),IF(Q55="","",IF(NOT(ISNUMBER(Q55)),"机号应为数值",IF(Q55&lt;=0,"机号应大于0",""))),IF(R55="","缺少进口滞止密度",""),IF(R55="","",IF(NOT(ISNUMBER(R55)),"进口滞止密度应为数值",IF(R55&lt;=0,"进口滞止密度应大于0",""))),IF(S55="","缺少等熵指数k",""),IF(S55="","",IF(NOT(ISNUMBER(S55)),"等熵指数k应为数值",IF(OR(S55&lt;1,S55&gt;2),"等熵指数k应为1～2",""))),IF(T55="","缺少轮毂比",""),IF(T55="","",IF(NOT(ISNUMBER(T55)),"轮毂比应为数值",IF(OR(T55&lt;0,T55&gt;1),"轮毂比应为0～1",""))),IF(U55="","缺少最高通风机效率ηr",""),IF(U55="","",IF(NOT(ISNUMBER(U55)),"最高通风机效率ηr应为数值",IF(OR(U55&lt;1,U55&gt;100),"最高通风机效率ηr应为1～100的百分数本值",""))),IF(AC55="","缺少铭牌照片",""),IF(AND(ISTEXT(AD55),OR(AD55&lt;&gt;TRIM(AD55),ISNUMBER(SEARCH("　",AD55)))),"填表备注含首尾空格或全角空格",""),IF(AND(ISNUMBER(M55),M55&gt;30000),"风机压力超过30kPa，超出通风机标准范围",""),IF(AND(J55="是",H55="是"),"动叶可调特殊效率规则要求进口无进气箱",""),IF(AND(J55="是",I55="是"),"动叶可调特殊效率规则要求出口无扩散筒","")),"")</f>
        <v/>
      </c>
    </row>
    <row r="56" ht="42" customHeight="1" s="184">
      <c r="A56" s="224">
        <f>IF(COUNTA(B56,C56,D56,E56,F56,G56,H56,I56,J56,K56,L56,M56,N56,O56,P56,Q56,R56,S56,T56,U56,AC56,AD56)&gt;0,ROW()-3,"")</f>
        <v/>
      </c>
      <c r="B56" s="176" t="n"/>
      <c r="C56" s="176" t="n"/>
      <c r="D56" s="228" t="n"/>
      <c r="E56" s="176" t="n"/>
      <c r="F56" s="218" t="n"/>
      <c r="G56" s="218" t="n"/>
      <c r="H56" s="218" t="n"/>
      <c r="I56" s="218" t="n"/>
      <c r="J56" s="218" t="n"/>
      <c r="K56" s="218" t="n"/>
      <c r="L56" s="229" t="n"/>
      <c r="M56" s="229" t="n"/>
      <c r="N56" s="229" t="n"/>
      <c r="O56" s="229" t="n"/>
      <c r="P56" s="229" t="n"/>
      <c r="Q56" s="229" t="n"/>
      <c r="R56" s="229" t="n"/>
      <c r="S56" s="235" t="n"/>
      <c r="T56" s="235" t="n"/>
      <c r="U56" s="229" t="n"/>
      <c r="V56" s="113" t="n"/>
      <c r="W56" s="113" t="n"/>
      <c r="X56" s="113" t="n"/>
      <c r="Y56" s="227" t="n"/>
      <c r="Z56" s="227" t="n"/>
      <c r="AA56" s="227" t="n"/>
      <c r="AB56" s="81" t="n"/>
      <c r="AC56" s="180" t="n"/>
      <c r="AD56" s="180" t="n"/>
      <c r="AE56" s="99">
        <f>IF(COUNTA(B56,C56,D56,E56,F56,G56,H56,I56,J56,K56,L56,M56,N56,O56,P56,Q56,R56,S56,T56,U56,AC56,AD56)&gt;0,TEXTJOIN("；",TRUE,IF(B56="","缺少设备名称",""),IF(AND(ISTEXT(B56),OR(B56&lt;&gt;TRIM(B56),ISNUMBER(SEARCH("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",E56)))),"安装位置含首尾空格或全角空格",""),IF(F56="","缺少设备类别",""),IF(F56="","",IF(COUNTIF(EV_AXIAL_FAN_CATEGORY,F56)=0,"设备类别不在标准枚举中","")),IF(AND(ISTEXT(F56),OR(F56&lt;&gt;TRIM(F56),ISNUMBER(SEARCH("　",F56)))),"设备类别含首尾空格或全角空格",""),IF(G56="","缺少传动方式",""),IF(G56="","",IF(COUNTIF(EV_TRANSMISSION,G56)=0,"传动方式不在标准枚举中","")),IF(AND(ISTEXT(G56),OR(G56&lt;&gt;TRIM(G56),ISNUMBER(SEARCH("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",G56)))),"传动方式含首尾空格或全角空格",""),IF(H56="","缺少是否带进气箱",""),IF(H56="","",IF(COUNTIF(EV_YES_NO,H56)=0,"是否带进气箱不在标准枚举中","")),IF(AND(ISTEXT(H56),OR(H56&lt;&gt;TRIM(H56),ISNUMBER(SEARCH("　",H56)))),"是否带进气箱含首尾空格或全角空格",""),IF(I56="","缺少是否带扩散筒",""),IF(I56="","",IF(COUNTIF(EV_YES_NO,I56)=0,"是否带扩散筒不在标准枚举中","")),IF(AND(ISTEXT(I56),OR(I56&lt;&gt;TRIM(I56),ISNUMBER(SEARCH("　",I56)))),"是否带扩散筒含首尾空格或全角空格",""),IF(J56="","缺少是否动叶可调",""),IF(J56="","",IF(COUNTIF(EV_YES_NO,J56)=0,"是否动叶可调不在标准枚举中","")),IF(AND(ISTEXT(J56),OR(J56&lt;&gt;TRIM(J56),ISNUMBER(SEARCH("　",J56)))),"是否动叶可调含首尾空格或全角空格",""),IF(K56="","缺少是否可逆转",""),IF(K56="","",IF(COUNTIF(EV_YES_NO,K56)=0,"是否可逆转不在标准枚举中","")),IF(AND(ISTEXT(K56),OR(K56&lt;&gt;TRIM(K56),ISNUMBER(SEARCH("　",K56)))),"是否可逆转含首尾空格或全角空格",""),IF(L56="","缺少流量",""),IF(L56="","",IF(NOT(ISNUMBER(L56)),"流量应为数值",IF(L56&lt;=0,"流量应大于0",""))),IF(M56="","缺少风机压力pF",""),IF(M56="","",IF(NOT(ISNUMBER(M56)),"风机压力pF应为数值",IF(M56&lt;=0,"风机压力pF应大于0",""))),IF(N56="","缺少额定功率",""),IF(N56="","",IF(NOT(ISNUMBER(N56)),"额定功率应为数值",IF(N56&lt;=0,"额定功率应大于0",""))),IF(O56="","缺少叶轮功率",""),IF(O56="","",IF(NOT(ISNUMBER(O56)),"叶轮功率应为数值",IF(O56&lt;=0,"叶轮功率应大于0",""))),IF(P56="","缺少转速",""),IF(P56="","",IF(NOT(ISNUMBER(P56)),"转速应为数值",IF(P56&lt;=0,"转速应大于0",""))),IF(Q56="","缺少机号",""),IF(Q56="","",IF(NOT(ISNUMBER(Q56)),"机号应为数值",IF(Q56&lt;=0,"机号应大于0",""))),IF(R56="","缺少进口滞止密度",""),IF(R56="","",IF(NOT(ISNUMBER(R56)),"进口滞止密度应为数值",IF(R56&lt;=0,"进口滞止密度应大于0",""))),IF(S56="","缺少等熵指数k",""),IF(S56="","",IF(NOT(ISNUMBER(S56)),"等熵指数k应为数值",IF(OR(S56&lt;1,S56&gt;2),"等熵指数k应为1～2",""))),IF(T56="","缺少轮毂比",""),IF(T56="","",IF(NOT(ISNUMBER(T56)),"轮毂比应为数值",IF(OR(T56&lt;0,T56&gt;1),"轮毂比应为0～1",""))),IF(U56="","缺少最高通风机效率ηr",""),IF(U56="","",IF(NOT(ISNUMBER(U56)),"最高通风机效率ηr应为数值",IF(OR(U56&lt;1,U56&gt;100),"最高通风机效率ηr应为1～100的百分数本值",""))),IF(AC56="","缺少铭牌照片",""),IF(AND(ISTEXT(AD56),OR(AD56&lt;&gt;TRIM(AD56),ISNUMBER(SEARCH("　",AD56)))),"填表备注含首尾空格或全角空格",""),IF(AND(ISNUMBER(M56),M56&gt;30000),"风机压力超过30kPa，超出通风机标准范围",""),IF(AND(J56="是",H56="是"),"动叶可调特殊效率规则要求进口无进气箱",""),IF(AND(J56="是",I56="是"),"动叶可调特殊效率规则要求出口无扩散筒","")),"")</f>
        <v/>
      </c>
    </row>
    <row r="57" ht="42" customHeight="1" s="184">
      <c r="A57" s="224">
        <f>IF(COUNTA(B57,C57,D57,E57,F57,G57,H57,I57,J57,K57,L57,M57,N57,O57,P57,Q57,R57,S57,T57,U57,AC57,AD57)&gt;0,ROW()-3,"")</f>
        <v/>
      </c>
      <c r="B57" s="176" t="n"/>
      <c r="C57" s="176" t="n"/>
      <c r="D57" s="228" t="n"/>
      <c r="E57" s="176" t="n"/>
      <c r="F57" s="218" t="n"/>
      <c r="G57" s="218" t="n"/>
      <c r="H57" s="218" t="n"/>
      <c r="I57" s="218" t="n"/>
      <c r="J57" s="218" t="n"/>
      <c r="K57" s="218" t="n"/>
      <c r="L57" s="229" t="n"/>
      <c r="M57" s="229" t="n"/>
      <c r="N57" s="229" t="n"/>
      <c r="O57" s="229" t="n"/>
      <c r="P57" s="229" t="n"/>
      <c r="Q57" s="229" t="n"/>
      <c r="R57" s="229" t="n"/>
      <c r="S57" s="235" t="n"/>
      <c r="T57" s="235" t="n"/>
      <c r="U57" s="229" t="n"/>
      <c r="V57" s="113" t="n"/>
      <c r="W57" s="113" t="n"/>
      <c r="X57" s="113" t="n"/>
      <c r="Y57" s="227" t="n"/>
      <c r="Z57" s="227" t="n"/>
      <c r="AA57" s="227" t="n"/>
      <c r="AB57" s="81" t="n"/>
      <c r="AC57" s="180" t="n"/>
      <c r="AD57" s="180" t="n"/>
      <c r="AE57" s="99">
        <f>IF(COUNTA(B57,C57,D57,E57,F57,G57,H57,I57,J57,K57,L57,M57,N57,O57,P57,Q57,R57,S57,T57,U57,AC57,AD57)&gt;0,TEXTJOIN("；",TRUE,IF(B57="","缺少设备名称",""),IF(AND(ISTEXT(B57),OR(B57&lt;&gt;TRIM(B57),ISNUMBER(SEARCH("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",E57)))),"安装位置含首尾空格或全角空格",""),IF(F57="","缺少设备类别",""),IF(F57="","",IF(COUNTIF(EV_AXIAL_FAN_CATEGORY,F57)=0,"设备类别不在标准枚举中","")),IF(AND(ISTEXT(F57),OR(F57&lt;&gt;TRIM(F57),ISNUMBER(SEARCH("　",F57)))),"设备类别含首尾空格或全角空格",""),IF(G57="","缺少传动方式",""),IF(G57="","",IF(COUNTIF(EV_TRANSMISSION,G57)=0,"传动方式不在标准枚举中","")),IF(AND(ISTEXT(G57),OR(G57&lt;&gt;TRIM(G57),ISNUMBER(SEARCH("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",G57)))),"传动方式含首尾空格或全角空格",""),IF(H57="","缺少是否带进气箱",""),IF(H57="","",IF(COUNTIF(EV_YES_NO,H57)=0,"是否带进气箱不在标准枚举中","")),IF(AND(ISTEXT(H57),OR(H57&lt;&gt;TRIM(H57),ISNUMBER(SEARCH("　",H57)))),"是否带进气箱含首尾空格或全角空格",""),IF(I57="","缺少是否带扩散筒",""),IF(I57="","",IF(COUNTIF(EV_YES_NO,I57)=0,"是否带扩散筒不在标准枚举中","")),IF(AND(ISTEXT(I57),OR(I57&lt;&gt;TRIM(I57),ISNUMBER(SEARCH("　",I57)))),"是否带扩散筒含首尾空格或全角空格",""),IF(J57="","缺少是否动叶可调",""),IF(J57="","",IF(COUNTIF(EV_YES_NO,J57)=0,"是否动叶可调不在标准枚举中","")),IF(AND(ISTEXT(J57),OR(J57&lt;&gt;TRIM(J57),ISNUMBER(SEARCH("　",J57)))),"是否动叶可调含首尾空格或全角空格",""),IF(K57="","缺少是否可逆转",""),IF(K57="","",IF(COUNTIF(EV_YES_NO,K57)=0,"是否可逆转不在标准枚举中","")),IF(AND(ISTEXT(K57),OR(K57&lt;&gt;TRIM(K57),ISNUMBER(SEARCH("　",K57)))),"是否可逆转含首尾空格或全角空格",""),IF(L57="","缺少流量",""),IF(L57="","",IF(NOT(ISNUMBER(L57)),"流量应为数值",IF(L57&lt;=0,"流量应大于0",""))),IF(M57="","缺少风机压力pF",""),IF(M57="","",IF(NOT(ISNUMBER(M57)),"风机压力pF应为数值",IF(M57&lt;=0,"风机压力pF应大于0",""))),IF(N57="","缺少额定功率",""),IF(N57="","",IF(NOT(ISNUMBER(N57)),"额定功率应为数值",IF(N57&lt;=0,"额定功率应大于0",""))),IF(O57="","缺少叶轮功率",""),IF(O57="","",IF(NOT(ISNUMBER(O57)),"叶轮功率应为数值",IF(O57&lt;=0,"叶轮功率应大于0",""))),IF(P57="","缺少转速",""),IF(P57="","",IF(NOT(ISNUMBER(P57)),"转速应为数值",IF(P57&lt;=0,"转速应大于0",""))),IF(Q57="","缺少机号",""),IF(Q57="","",IF(NOT(ISNUMBER(Q57)),"机号应为数值",IF(Q57&lt;=0,"机号应大于0",""))),IF(R57="","缺少进口滞止密度",""),IF(R57="","",IF(NOT(ISNUMBER(R57)),"进口滞止密度应为数值",IF(R57&lt;=0,"进口滞止密度应大于0",""))),IF(S57="","缺少等熵指数k",""),IF(S57="","",IF(NOT(ISNUMBER(S57)),"等熵指数k应为数值",IF(OR(S57&lt;1,S57&gt;2),"等熵指数k应为1～2",""))),IF(T57="","缺少轮毂比",""),IF(T57="","",IF(NOT(ISNUMBER(T57)),"轮毂比应为数值",IF(OR(T57&lt;0,T57&gt;1),"轮毂比应为0～1",""))),IF(U57="","缺少最高通风机效率ηr",""),IF(U57="","",IF(NOT(ISNUMBER(U57)),"最高通风机效率ηr应为数值",IF(OR(U57&lt;1,U57&gt;100),"最高通风机效率ηr应为1～100的百分数本值",""))),IF(AC57="","缺少铭牌照片",""),IF(AND(ISTEXT(AD57),OR(AD57&lt;&gt;TRIM(AD57),ISNUMBER(SEARCH("　",AD57)))),"填表备注含首尾空格或全角空格",""),IF(AND(ISNUMBER(M57),M57&gt;30000),"风机压力超过30kPa，超出通风机标准范围",""),IF(AND(J57="是",H57="是"),"动叶可调特殊效率规则要求进口无进气箱",""),IF(AND(J57="是",I57="是"),"动叶可调特殊效率规则要求出口无扩散筒","")),"")</f>
        <v/>
      </c>
    </row>
    <row r="58" ht="42" customHeight="1" s="184">
      <c r="A58" s="224">
        <f>IF(COUNTA(B58,C58,D58,E58,F58,G58,H58,I58,J58,K58,L58,M58,N58,O58,P58,Q58,R58,S58,T58,U58,AC58,AD58)&gt;0,ROW()-3,"")</f>
        <v/>
      </c>
      <c r="B58" s="176" t="n"/>
      <c r="C58" s="176" t="n"/>
      <c r="D58" s="228" t="n"/>
      <c r="E58" s="176" t="n"/>
      <c r="F58" s="218" t="n"/>
      <c r="G58" s="218" t="n"/>
      <c r="H58" s="218" t="n"/>
      <c r="I58" s="218" t="n"/>
      <c r="J58" s="218" t="n"/>
      <c r="K58" s="218" t="n"/>
      <c r="L58" s="229" t="n"/>
      <c r="M58" s="229" t="n"/>
      <c r="N58" s="229" t="n"/>
      <c r="O58" s="229" t="n"/>
      <c r="P58" s="229" t="n"/>
      <c r="Q58" s="229" t="n"/>
      <c r="R58" s="229" t="n"/>
      <c r="S58" s="235" t="n"/>
      <c r="T58" s="235" t="n"/>
      <c r="U58" s="229" t="n"/>
      <c r="V58" s="113" t="n"/>
      <c r="W58" s="113" t="n"/>
      <c r="X58" s="113" t="n"/>
      <c r="Y58" s="227" t="n"/>
      <c r="Z58" s="227" t="n"/>
      <c r="AA58" s="227" t="n"/>
      <c r="AB58" s="81" t="n"/>
      <c r="AC58" s="180" t="n"/>
      <c r="AD58" s="180" t="n"/>
      <c r="AE58" s="99">
        <f>IF(COUNTA(B58,C58,D58,E58,F58,G58,H58,I58,J58,K58,L58,M58,N58,O58,P58,Q58,R58,S58,T58,U58,AC58,AD58)&gt;0,TEXTJOIN("；",TRUE,IF(B58="","缺少设备名称",""),IF(AND(ISTEXT(B58),OR(B58&lt;&gt;TRIM(B58),ISNUMBER(SEARCH("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",E58)))),"安装位置含首尾空格或全角空格",""),IF(F58="","缺少设备类别",""),IF(F58="","",IF(COUNTIF(EV_AXIAL_FAN_CATEGORY,F58)=0,"设备类别不在标准枚举中","")),IF(AND(ISTEXT(F58),OR(F58&lt;&gt;TRIM(F58),ISNUMBER(SEARCH("　",F58)))),"设备类别含首尾空格或全角空格",""),IF(G58="","缺少传动方式",""),IF(G58="","",IF(COUNTIF(EV_TRANSMISSION,G58)=0,"传动方式不在标准枚举中","")),IF(AND(ISTEXT(G58),OR(G58&lt;&gt;TRIM(G58),ISNUMBER(SEARCH("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",G58)))),"传动方式含首尾空格或全角空格",""),IF(H58="","缺少是否带进气箱",""),IF(H58="","",IF(COUNTIF(EV_YES_NO,H58)=0,"是否带进气箱不在标准枚举中","")),IF(AND(ISTEXT(H58),OR(H58&lt;&gt;TRIM(H58),ISNUMBER(SEARCH("　",H58)))),"是否带进气箱含首尾空格或全角空格",""),IF(I58="","缺少是否带扩散筒",""),IF(I58="","",IF(COUNTIF(EV_YES_NO,I58)=0,"是否带扩散筒不在标准枚举中","")),IF(AND(ISTEXT(I58),OR(I58&lt;&gt;TRIM(I58),ISNUMBER(SEARCH("　",I58)))),"是否带扩散筒含首尾空格或全角空格",""),IF(J58="","缺少是否动叶可调",""),IF(J58="","",IF(COUNTIF(EV_YES_NO,J58)=0,"是否动叶可调不在标准枚举中","")),IF(AND(ISTEXT(J58),OR(J58&lt;&gt;TRIM(J58),ISNUMBER(SEARCH("　",J58)))),"是否动叶可调含首尾空格或全角空格",""),IF(K58="","缺少是否可逆转",""),IF(K58="","",IF(COUNTIF(EV_YES_NO,K58)=0,"是否可逆转不在标准枚举中","")),IF(AND(ISTEXT(K58),OR(K58&lt;&gt;TRIM(K58),ISNUMBER(SEARCH("　",K58)))),"是否可逆转含首尾空格或全角空格",""),IF(L58="","缺少流量",""),IF(L58="","",IF(NOT(ISNUMBER(L58)),"流量应为数值",IF(L58&lt;=0,"流量应大于0",""))),IF(M58="","缺少风机压力pF",""),IF(M58="","",IF(NOT(ISNUMBER(M58)),"风机压力pF应为数值",IF(M58&lt;=0,"风机压力pF应大于0",""))),IF(N58="","缺少额定功率",""),IF(N58="","",IF(NOT(ISNUMBER(N58)),"额定功率应为数值",IF(N58&lt;=0,"额定功率应大于0",""))),IF(O58="","缺少叶轮功率",""),IF(O58="","",IF(NOT(ISNUMBER(O58)),"叶轮功率应为数值",IF(O58&lt;=0,"叶轮功率应大于0",""))),IF(P58="","缺少转速",""),IF(P58="","",IF(NOT(ISNUMBER(P58)),"转速应为数值",IF(P58&lt;=0,"转速应大于0",""))),IF(Q58="","缺少机号",""),IF(Q58="","",IF(NOT(ISNUMBER(Q58)),"机号应为数值",IF(Q58&lt;=0,"机号应大于0",""))),IF(R58="","缺少进口滞止密度",""),IF(R58="","",IF(NOT(ISNUMBER(R58)),"进口滞止密度应为数值",IF(R58&lt;=0,"进口滞止密度应大于0",""))),IF(S58="","缺少等熵指数k",""),IF(S58="","",IF(NOT(ISNUMBER(S58)),"等熵指数k应为数值",IF(OR(S58&lt;1,S58&gt;2),"等熵指数k应为1～2",""))),IF(T58="","缺少轮毂比",""),IF(T58="","",IF(NOT(ISNUMBER(T58)),"轮毂比应为数值",IF(OR(T58&lt;0,T58&gt;1),"轮毂比应为0～1",""))),IF(U58="","缺少最高通风机效率ηr",""),IF(U58="","",IF(NOT(ISNUMBER(U58)),"最高通风机效率ηr应为数值",IF(OR(U58&lt;1,U58&gt;100),"最高通风机效率ηr应为1～100的百分数本值",""))),IF(AC58="","缺少铭牌照片",""),IF(AND(ISTEXT(AD58),OR(AD58&lt;&gt;TRIM(AD58),ISNUMBER(SEARCH("　",AD58)))),"填表备注含首尾空格或全角空格",""),IF(AND(ISNUMBER(M58),M58&gt;30000),"风机压力超过30kPa，超出通风机标准范围",""),IF(AND(J58="是",H58="是"),"动叶可调特殊效率规则要求进口无进气箱",""),IF(AND(J58="是",I58="是"),"动叶可调特殊效率规则要求出口无扩散筒","")),"")</f>
        <v/>
      </c>
    </row>
    <row r="59" ht="42" customHeight="1" s="184">
      <c r="A59" s="224">
        <f>IF(COUNTA(B59,C59,D59,E59,F59,G59,H59,I59,J59,K59,L59,M59,N59,O59,P59,Q59,R59,S59,T59,U59,AC59,AD59)&gt;0,ROW()-3,"")</f>
        <v/>
      </c>
      <c r="B59" s="176" t="n"/>
      <c r="C59" s="176" t="n"/>
      <c r="D59" s="228" t="n"/>
      <c r="E59" s="176" t="n"/>
      <c r="F59" s="218" t="n"/>
      <c r="G59" s="218" t="n"/>
      <c r="H59" s="218" t="n"/>
      <c r="I59" s="218" t="n"/>
      <c r="J59" s="218" t="n"/>
      <c r="K59" s="218" t="n"/>
      <c r="L59" s="229" t="n"/>
      <c r="M59" s="229" t="n"/>
      <c r="N59" s="229" t="n"/>
      <c r="O59" s="229" t="n"/>
      <c r="P59" s="229" t="n"/>
      <c r="Q59" s="229" t="n"/>
      <c r="R59" s="229" t="n"/>
      <c r="S59" s="235" t="n"/>
      <c r="T59" s="235" t="n"/>
      <c r="U59" s="229" t="n"/>
      <c r="V59" s="113" t="n"/>
      <c r="W59" s="113" t="n"/>
      <c r="X59" s="113" t="n"/>
      <c r="Y59" s="227" t="n"/>
      <c r="Z59" s="227" t="n"/>
      <c r="AA59" s="227" t="n"/>
      <c r="AB59" s="81" t="n"/>
      <c r="AC59" s="180" t="n"/>
      <c r="AD59" s="180" t="n"/>
      <c r="AE59" s="99">
        <f>IF(COUNTA(B59,C59,D59,E59,F59,G59,H59,I59,J59,K59,L59,M59,N59,O59,P59,Q59,R59,S59,T59,U59,AC59,AD59)&gt;0,TEXTJOIN("；",TRUE,IF(B59="","缺少设备名称",""),IF(AND(ISTEXT(B59),OR(B59&lt;&gt;TRIM(B59),ISNUMBER(SEARCH("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",E59)))),"安装位置含首尾空格或全角空格",""),IF(F59="","缺少设备类别",""),IF(F59="","",IF(COUNTIF(EV_AXIAL_FAN_CATEGORY,F59)=0,"设备类别不在标准枚举中","")),IF(AND(ISTEXT(F59),OR(F59&lt;&gt;TRIM(F59),ISNUMBER(SEARCH("　",F59)))),"设备类别含首尾空格或全角空格",""),IF(G59="","缺少传动方式",""),IF(G59="","",IF(COUNTIF(EV_TRANSMISSION,G59)=0,"传动方式不在标准枚举中","")),IF(AND(ISTEXT(G59),OR(G59&lt;&gt;TRIM(G59),ISNUMBER(SEARCH("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",G59)))),"传动方式含首尾空格或全角空格",""),IF(H59="","缺少是否带进气箱",""),IF(H59="","",IF(COUNTIF(EV_YES_NO,H59)=0,"是否带进气箱不在标准枚举中","")),IF(AND(ISTEXT(H59),OR(H59&lt;&gt;TRIM(H59),ISNUMBER(SEARCH("　",H59)))),"是否带进气箱含首尾空格或全角空格",""),IF(I59="","缺少是否带扩散筒",""),IF(I59="","",IF(COUNTIF(EV_YES_NO,I59)=0,"是否带扩散筒不在标准枚举中","")),IF(AND(ISTEXT(I59),OR(I59&lt;&gt;TRIM(I59),ISNUMBER(SEARCH("　",I59)))),"是否带扩散筒含首尾空格或全角空格",""),IF(J59="","缺少是否动叶可调",""),IF(J59="","",IF(COUNTIF(EV_YES_NO,J59)=0,"是否动叶可调不在标准枚举中","")),IF(AND(ISTEXT(J59),OR(J59&lt;&gt;TRIM(J59),ISNUMBER(SEARCH("　",J59)))),"是否动叶可调含首尾空格或全角空格",""),IF(K59="","缺少是否可逆转",""),IF(K59="","",IF(COUNTIF(EV_YES_NO,K59)=0,"是否可逆转不在标准枚举中","")),IF(AND(ISTEXT(K59),OR(K59&lt;&gt;TRIM(K59),ISNUMBER(SEARCH("　",K59)))),"是否可逆转含首尾空格或全角空格",""),IF(L59="","缺少流量",""),IF(L59="","",IF(NOT(ISNUMBER(L59)),"流量应为数值",IF(L59&lt;=0,"流量应大于0",""))),IF(M59="","缺少风机压力pF",""),IF(M59="","",IF(NOT(ISNUMBER(M59)),"风机压力pF应为数值",IF(M59&lt;=0,"风机压力pF应大于0",""))),IF(N59="","缺少额定功率",""),IF(N59="","",IF(NOT(ISNUMBER(N59)),"额定功率应为数值",IF(N59&lt;=0,"额定功率应大于0",""))),IF(O59="","缺少叶轮功率",""),IF(O59="","",IF(NOT(ISNUMBER(O59)),"叶轮功率应为数值",IF(O59&lt;=0,"叶轮功率应大于0",""))),IF(P59="","缺少转速",""),IF(P59="","",IF(NOT(ISNUMBER(P59)),"转速应为数值",IF(P59&lt;=0,"转速应大于0",""))),IF(Q59="","缺少机号",""),IF(Q59="","",IF(NOT(ISNUMBER(Q59)),"机号应为数值",IF(Q59&lt;=0,"机号应大于0",""))),IF(R59="","缺少进口滞止密度",""),IF(R59="","",IF(NOT(ISNUMBER(R59)),"进口滞止密度应为数值",IF(R59&lt;=0,"进口滞止密度应大于0",""))),IF(S59="","缺少等熵指数k",""),IF(S59="","",IF(NOT(ISNUMBER(S59)),"等熵指数k应为数值",IF(OR(S59&lt;1,S59&gt;2),"等熵指数k应为1～2",""))),IF(T59="","缺少轮毂比",""),IF(T59="","",IF(NOT(ISNUMBER(T59)),"轮毂比应为数值",IF(OR(T59&lt;0,T59&gt;1),"轮毂比应为0～1",""))),IF(U59="","缺少最高通风机效率ηr",""),IF(U59="","",IF(NOT(ISNUMBER(U59)),"最高通风机效率ηr应为数值",IF(OR(U59&lt;1,U59&gt;100),"最高通风机效率ηr应为1～100的百分数本值",""))),IF(AC59="","缺少铭牌照片",""),IF(AND(ISTEXT(AD59),OR(AD59&lt;&gt;TRIM(AD59),ISNUMBER(SEARCH("　",AD59)))),"填表备注含首尾空格或全角空格",""),IF(AND(ISNUMBER(M59),M59&gt;30000),"风机压力超过30kPa，超出通风机标准范围",""),IF(AND(J59="是",H59="是"),"动叶可调特殊效率规则要求进口无进气箱",""),IF(AND(J59="是",I59="是"),"动叶可调特殊效率规则要求出口无扩散筒","")),"")</f>
        <v/>
      </c>
    </row>
    <row r="60" ht="42" customHeight="1" s="184">
      <c r="A60" s="224">
        <f>IF(COUNTA(B60,C60,D60,E60,F60,G60,H60,I60,J60,K60,L60,M60,N60,O60,P60,Q60,R60,S60,T60,U60,AC60,AD60)&gt;0,ROW()-3,"")</f>
        <v/>
      </c>
      <c r="B60" s="176" t="n"/>
      <c r="C60" s="176" t="n"/>
      <c r="D60" s="228" t="n"/>
      <c r="E60" s="176" t="n"/>
      <c r="F60" s="218" t="n"/>
      <c r="G60" s="218" t="n"/>
      <c r="H60" s="218" t="n"/>
      <c r="I60" s="218" t="n"/>
      <c r="J60" s="218" t="n"/>
      <c r="K60" s="218" t="n"/>
      <c r="L60" s="229" t="n"/>
      <c r="M60" s="229" t="n"/>
      <c r="N60" s="229" t="n"/>
      <c r="O60" s="229" t="n"/>
      <c r="P60" s="229" t="n"/>
      <c r="Q60" s="229" t="n"/>
      <c r="R60" s="229" t="n"/>
      <c r="S60" s="235" t="n"/>
      <c r="T60" s="235" t="n"/>
      <c r="U60" s="229" t="n"/>
      <c r="V60" s="113" t="n"/>
      <c r="W60" s="113" t="n"/>
      <c r="X60" s="113" t="n"/>
      <c r="Y60" s="227" t="n"/>
      <c r="Z60" s="227" t="n"/>
      <c r="AA60" s="227" t="n"/>
      <c r="AB60" s="81" t="n"/>
      <c r="AC60" s="180" t="n"/>
      <c r="AD60" s="180" t="n"/>
      <c r="AE60" s="99">
        <f>IF(COUNTA(B60,C60,D60,E60,F60,G60,H60,I60,J60,K60,L60,M60,N60,O60,P60,Q60,R60,S60,T60,U60,AC60,AD60)&gt;0,TEXTJOIN("；",TRUE,IF(B60="","缺少设备名称",""),IF(AND(ISTEXT(B60),OR(B60&lt;&gt;TRIM(B60),ISNUMBER(SEARCH("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",E60)))),"安装位置含首尾空格或全角空格",""),IF(F60="","缺少设备类别",""),IF(F60="","",IF(COUNTIF(EV_AXIAL_FAN_CATEGORY,F60)=0,"设备类别不在标准枚举中","")),IF(AND(ISTEXT(F60),OR(F60&lt;&gt;TRIM(F60),ISNUMBER(SEARCH("　",F60)))),"设备类别含首尾空格或全角空格",""),IF(G60="","缺少传动方式",""),IF(G60="","",IF(COUNTIF(EV_TRANSMISSION,G60)=0,"传动方式不在标准枚举中","")),IF(AND(ISTEXT(G60),OR(G60&lt;&gt;TRIM(G60),ISNUMBER(SEARCH("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",G60)))),"传动方式含首尾空格或全角空格",""),IF(H60="","缺少是否带进气箱",""),IF(H60="","",IF(COUNTIF(EV_YES_NO,H60)=0,"是否带进气箱不在标准枚举中","")),IF(AND(ISTEXT(H60),OR(H60&lt;&gt;TRIM(H60),ISNUMBER(SEARCH("　",H60)))),"是否带进气箱含首尾空格或全角空格",""),IF(I60="","缺少是否带扩散筒",""),IF(I60="","",IF(COUNTIF(EV_YES_NO,I60)=0,"是否带扩散筒不在标准枚举中","")),IF(AND(ISTEXT(I60),OR(I60&lt;&gt;TRIM(I60),ISNUMBER(SEARCH("　",I60)))),"是否带扩散筒含首尾空格或全角空格",""),IF(J60="","缺少是否动叶可调",""),IF(J60="","",IF(COUNTIF(EV_YES_NO,J60)=0,"是否动叶可调不在标准枚举中","")),IF(AND(ISTEXT(J60),OR(J60&lt;&gt;TRIM(J60),ISNUMBER(SEARCH("　",J60)))),"是否动叶可调含首尾空格或全角空格",""),IF(K60="","缺少是否可逆转",""),IF(K60="","",IF(COUNTIF(EV_YES_NO,K60)=0,"是否可逆转不在标准枚举中","")),IF(AND(ISTEXT(K60),OR(K60&lt;&gt;TRIM(K60),ISNUMBER(SEARCH("　",K60)))),"是否可逆转含首尾空格或全角空格",""),IF(L60="","缺少流量",""),IF(L60="","",IF(NOT(ISNUMBER(L60)),"流量应为数值",IF(L60&lt;=0,"流量应大于0",""))),IF(M60="","缺少风机压力pF",""),IF(M60="","",IF(NOT(ISNUMBER(M60)),"风机压力pF应为数值",IF(M60&lt;=0,"风机压力pF应大于0",""))),IF(N60="","缺少额定功率",""),IF(N60="","",IF(NOT(ISNUMBER(N60)),"额定功率应为数值",IF(N60&lt;=0,"额定功率应大于0",""))),IF(O60="","缺少叶轮功率",""),IF(O60="","",IF(NOT(ISNUMBER(O60)),"叶轮功率应为数值",IF(O60&lt;=0,"叶轮功率应大于0",""))),IF(P60="","缺少转速",""),IF(P60="","",IF(NOT(ISNUMBER(P60)),"转速应为数值",IF(P60&lt;=0,"转速应大于0",""))),IF(Q60="","缺少机号",""),IF(Q60="","",IF(NOT(ISNUMBER(Q60)),"机号应为数值",IF(Q60&lt;=0,"机号应大于0",""))),IF(R60="","缺少进口滞止密度",""),IF(R60="","",IF(NOT(ISNUMBER(R60)),"进口滞止密度应为数值",IF(R60&lt;=0,"进口滞止密度应大于0",""))),IF(S60="","缺少等熵指数k",""),IF(S60="","",IF(NOT(ISNUMBER(S60)),"等熵指数k应为数值",IF(OR(S60&lt;1,S60&gt;2),"等熵指数k应为1～2",""))),IF(T60="","缺少轮毂比",""),IF(T60="","",IF(NOT(ISNUMBER(T60)),"轮毂比应为数值",IF(OR(T60&lt;0,T60&gt;1),"轮毂比应为0～1",""))),IF(U60="","缺少最高通风机效率ηr",""),IF(U60="","",IF(NOT(ISNUMBER(U60)),"最高通风机效率ηr应为数值",IF(OR(U60&lt;1,U60&gt;100),"最高通风机效率ηr应为1～100的百分数本值",""))),IF(AC60="","缺少铭牌照片",""),IF(AND(ISTEXT(AD60),OR(AD60&lt;&gt;TRIM(AD60),ISNUMBER(SEARCH("　",AD60)))),"填表备注含首尾空格或全角空格",""),IF(AND(ISNUMBER(M60),M60&gt;30000),"风机压力超过30kPa，超出通风机标准范围",""),IF(AND(J60="是",H60="是"),"动叶可调特殊效率规则要求进口无进气箱",""),IF(AND(J60="是",I60="是"),"动叶可调特殊效率规则要求出口无扩散筒","")),"")</f>
        <v/>
      </c>
    </row>
    <row r="61" ht="42" customHeight="1" s="184">
      <c r="A61" s="224">
        <f>IF(COUNTA(B61,C61,D61,E61,F61,G61,H61,I61,J61,K61,L61,M61,N61,O61,P61,Q61,R61,S61,T61,U61,AC61,AD61)&gt;0,ROW()-3,"")</f>
        <v/>
      </c>
      <c r="B61" s="176" t="n"/>
      <c r="C61" s="176" t="n"/>
      <c r="D61" s="228" t="n"/>
      <c r="E61" s="176" t="n"/>
      <c r="F61" s="218" t="n"/>
      <c r="G61" s="218" t="n"/>
      <c r="H61" s="218" t="n"/>
      <c r="I61" s="218" t="n"/>
      <c r="J61" s="218" t="n"/>
      <c r="K61" s="218" t="n"/>
      <c r="L61" s="229" t="n"/>
      <c r="M61" s="229" t="n"/>
      <c r="N61" s="229" t="n"/>
      <c r="O61" s="229" t="n"/>
      <c r="P61" s="229" t="n"/>
      <c r="Q61" s="229" t="n"/>
      <c r="R61" s="229" t="n"/>
      <c r="S61" s="235" t="n"/>
      <c r="T61" s="235" t="n"/>
      <c r="U61" s="229" t="n"/>
      <c r="V61" s="113" t="n"/>
      <c r="W61" s="113" t="n"/>
      <c r="X61" s="113" t="n"/>
      <c r="Y61" s="227" t="n"/>
      <c r="Z61" s="227" t="n"/>
      <c r="AA61" s="227" t="n"/>
      <c r="AB61" s="81" t="n"/>
      <c r="AC61" s="180" t="n"/>
      <c r="AD61" s="180" t="n"/>
      <c r="AE61" s="99">
        <f>IF(COUNTA(B61,C61,D61,E61,F61,G61,H61,I61,J61,K61,L61,M61,N61,O61,P61,Q61,R61,S61,T61,U61,AC61,AD61)&gt;0,TEXTJOIN("；",TRUE,IF(B61="","缺少设备名称",""),IF(AND(ISTEXT(B61),OR(B61&lt;&gt;TRIM(B61),ISNUMBER(SEARCH("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",E61)))),"安装位置含首尾空格或全角空格",""),IF(F61="","缺少设备类别",""),IF(F61="","",IF(COUNTIF(EV_AXIAL_FAN_CATEGORY,F61)=0,"设备类别不在标准枚举中","")),IF(AND(ISTEXT(F61),OR(F61&lt;&gt;TRIM(F61),ISNUMBER(SEARCH("　",F61)))),"设备类别含首尾空格或全角空格",""),IF(G61="","缺少传动方式",""),IF(G61="","",IF(COUNTIF(EV_TRANSMISSION,G61)=0,"传动方式不在标准枚举中","")),IF(AND(ISTEXT(G61),OR(G61&lt;&gt;TRIM(G61),ISNUMBER(SEARCH("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",G61)))),"传动方式含首尾空格或全角空格",""),IF(H61="","缺少是否带进气箱",""),IF(H61="","",IF(COUNTIF(EV_YES_NO,H61)=0,"是否带进气箱不在标准枚举中","")),IF(AND(ISTEXT(H61),OR(H61&lt;&gt;TRIM(H61),ISNUMBER(SEARCH("　",H61)))),"是否带进气箱含首尾空格或全角空格",""),IF(I61="","缺少是否带扩散筒",""),IF(I61="","",IF(COUNTIF(EV_YES_NO,I61)=0,"是否带扩散筒不在标准枚举中","")),IF(AND(ISTEXT(I61),OR(I61&lt;&gt;TRIM(I61),ISNUMBER(SEARCH("　",I61)))),"是否带扩散筒含首尾空格或全角空格",""),IF(J61="","缺少是否动叶可调",""),IF(J61="","",IF(COUNTIF(EV_YES_NO,J61)=0,"是否动叶可调不在标准枚举中","")),IF(AND(ISTEXT(J61),OR(J61&lt;&gt;TRIM(J61),ISNUMBER(SEARCH("　",J61)))),"是否动叶可调含首尾空格或全角空格",""),IF(K61="","缺少是否可逆转",""),IF(K61="","",IF(COUNTIF(EV_YES_NO,K61)=0,"是否可逆转不在标准枚举中","")),IF(AND(ISTEXT(K61),OR(K61&lt;&gt;TRIM(K61),ISNUMBER(SEARCH("　",K61)))),"是否可逆转含首尾空格或全角空格",""),IF(L61="","缺少流量",""),IF(L61="","",IF(NOT(ISNUMBER(L61)),"流量应为数值",IF(L61&lt;=0,"流量应大于0",""))),IF(M61="","缺少风机压力pF",""),IF(M61="","",IF(NOT(ISNUMBER(M61)),"风机压力pF应为数值",IF(M61&lt;=0,"风机压力pF应大于0",""))),IF(N61="","缺少额定功率",""),IF(N61="","",IF(NOT(ISNUMBER(N61)),"额定功率应为数值",IF(N61&lt;=0,"额定功率应大于0",""))),IF(O61="","缺少叶轮功率",""),IF(O61="","",IF(NOT(ISNUMBER(O61)),"叶轮功率应为数值",IF(O61&lt;=0,"叶轮功率应大于0",""))),IF(P61="","缺少转速",""),IF(P61="","",IF(NOT(ISNUMBER(P61)),"转速应为数值",IF(P61&lt;=0,"转速应大于0",""))),IF(Q61="","缺少机号",""),IF(Q61="","",IF(NOT(ISNUMBER(Q61)),"机号应为数值",IF(Q61&lt;=0,"机号应大于0",""))),IF(R61="","缺少进口滞止密度",""),IF(R61="","",IF(NOT(ISNUMBER(R61)),"进口滞止密度应为数值",IF(R61&lt;=0,"进口滞止密度应大于0",""))),IF(S61="","缺少等熵指数k",""),IF(S61="","",IF(NOT(ISNUMBER(S61)),"等熵指数k应为数值",IF(OR(S61&lt;1,S61&gt;2),"等熵指数k应为1～2",""))),IF(T61="","缺少轮毂比",""),IF(T61="","",IF(NOT(ISNUMBER(T61)),"轮毂比应为数值",IF(OR(T61&lt;0,T61&gt;1),"轮毂比应为0～1",""))),IF(U61="","缺少最高通风机效率ηr",""),IF(U61="","",IF(NOT(ISNUMBER(U61)),"最高通风机效率ηr应为数值",IF(OR(U61&lt;1,U61&gt;100),"最高通风机效率ηr应为1～100的百分数本值",""))),IF(AC61="","缺少铭牌照片",""),IF(AND(ISTEXT(AD61),OR(AD61&lt;&gt;TRIM(AD61),ISNUMBER(SEARCH("　",AD61)))),"填表备注含首尾空格或全角空格",""),IF(AND(ISNUMBER(M61),M61&gt;30000),"风机压力超过30kPa，超出通风机标准范围",""),IF(AND(J61="是",H61="是"),"动叶可调特殊效率规则要求进口无进气箱",""),IF(AND(J61="是",I61="是"),"动叶可调特殊效率规则要求出口无扩散筒","")),"")</f>
        <v/>
      </c>
    </row>
    <row r="62" ht="42" customHeight="1" s="184">
      <c r="A62" s="224">
        <f>IF(COUNTA(B62,C62,D62,E62,F62,G62,H62,I62,J62,K62,L62,M62,N62,O62,P62,Q62,R62,S62,T62,U62,AC62,AD62)&gt;0,ROW()-3,"")</f>
        <v/>
      </c>
      <c r="B62" s="176" t="n"/>
      <c r="C62" s="176" t="n"/>
      <c r="D62" s="228" t="n"/>
      <c r="E62" s="176" t="n"/>
      <c r="F62" s="218" t="n"/>
      <c r="G62" s="218" t="n"/>
      <c r="H62" s="218" t="n"/>
      <c r="I62" s="218" t="n"/>
      <c r="J62" s="218" t="n"/>
      <c r="K62" s="218" t="n"/>
      <c r="L62" s="229" t="n"/>
      <c r="M62" s="229" t="n"/>
      <c r="N62" s="229" t="n"/>
      <c r="O62" s="229" t="n"/>
      <c r="P62" s="229" t="n"/>
      <c r="Q62" s="229" t="n"/>
      <c r="R62" s="229" t="n"/>
      <c r="S62" s="235" t="n"/>
      <c r="T62" s="235" t="n"/>
      <c r="U62" s="229" t="n"/>
      <c r="V62" s="113" t="n"/>
      <c r="W62" s="113" t="n"/>
      <c r="X62" s="113" t="n"/>
      <c r="Y62" s="227" t="n"/>
      <c r="Z62" s="227" t="n"/>
      <c r="AA62" s="227" t="n"/>
      <c r="AB62" s="81" t="n"/>
      <c r="AC62" s="180" t="n"/>
      <c r="AD62" s="180" t="n"/>
      <c r="AE62" s="99">
        <f>IF(COUNTA(B62,C62,D62,E62,F62,G62,H62,I62,J62,K62,L62,M62,N62,O62,P62,Q62,R62,S62,T62,U62,AC62,AD62)&gt;0,TEXTJOIN("；",TRUE,IF(B62="","缺少设备名称",""),IF(AND(ISTEXT(B62),OR(B62&lt;&gt;TRIM(B62),ISNUMBER(SEARCH("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",E62)))),"安装位置含首尾空格或全角空格",""),IF(F62="","缺少设备类别",""),IF(F62="","",IF(COUNTIF(EV_AXIAL_FAN_CATEGORY,F62)=0,"设备类别不在标准枚举中","")),IF(AND(ISTEXT(F62),OR(F62&lt;&gt;TRIM(F62),ISNUMBER(SEARCH("　",F62)))),"设备类别含首尾空格或全角空格",""),IF(G62="","缺少传动方式",""),IF(G62="","",IF(COUNTIF(EV_TRANSMISSION,G62)=0,"传动方式不在标准枚举中","")),IF(AND(ISTEXT(G62),OR(G62&lt;&gt;TRIM(G62),ISNUMBER(SEARCH("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",G62)))),"传动方式含首尾空格或全角空格",""),IF(H62="","缺少是否带进气箱",""),IF(H62="","",IF(COUNTIF(EV_YES_NO,H62)=0,"是否带进气箱不在标准枚举中","")),IF(AND(ISTEXT(H62),OR(H62&lt;&gt;TRIM(H62),ISNUMBER(SEARCH("　",H62)))),"是否带进气箱含首尾空格或全角空格",""),IF(I62="","缺少是否带扩散筒",""),IF(I62="","",IF(COUNTIF(EV_YES_NO,I62)=0,"是否带扩散筒不在标准枚举中","")),IF(AND(ISTEXT(I62),OR(I62&lt;&gt;TRIM(I62),ISNUMBER(SEARCH("　",I62)))),"是否带扩散筒含首尾空格或全角空格",""),IF(J62="","缺少是否动叶可调",""),IF(J62="","",IF(COUNTIF(EV_YES_NO,J62)=0,"是否动叶可调不在标准枚举中","")),IF(AND(ISTEXT(J62),OR(J62&lt;&gt;TRIM(J62),ISNUMBER(SEARCH("　",J62)))),"是否动叶可调含首尾空格或全角空格",""),IF(K62="","缺少是否可逆转",""),IF(K62="","",IF(COUNTIF(EV_YES_NO,K62)=0,"是否可逆转不在标准枚举中","")),IF(AND(ISTEXT(K62),OR(K62&lt;&gt;TRIM(K62),ISNUMBER(SEARCH("　",K62)))),"是否可逆转含首尾空格或全角空格",""),IF(L62="","缺少流量",""),IF(L62="","",IF(NOT(ISNUMBER(L62)),"流量应为数值",IF(L62&lt;=0,"流量应大于0",""))),IF(M62="","缺少风机压力pF",""),IF(M62="","",IF(NOT(ISNUMBER(M62)),"风机压力pF应为数值",IF(M62&lt;=0,"风机压力pF应大于0",""))),IF(N62="","缺少额定功率",""),IF(N62="","",IF(NOT(ISNUMBER(N62)),"额定功率应为数值",IF(N62&lt;=0,"额定功率应大于0",""))),IF(O62="","缺少叶轮功率",""),IF(O62="","",IF(NOT(ISNUMBER(O62)),"叶轮功率应为数值",IF(O62&lt;=0,"叶轮功率应大于0",""))),IF(P62="","缺少转速",""),IF(P62="","",IF(NOT(ISNUMBER(P62)),"转速应为数值",IF(P62&lt;=0,"转速应大于0",""))),IF(Q62="","缺少机号",""),IF(Q62="","",IF(NOT(ISNUMBER(Q62)),"机号应为数值",IF(Q62&lt;=0,"机号应大于0",""))),IF(R62="","缺少进口滞止密度",""),IF(R62="","",IF(NOT(ISNUMBER(R62)),"进口滞止密度应为数值",IF(R62&lt;=0,"进口滞止密度应大于0",""))),IF(S62="","缺少等熵指数k",""),IF(S62="","",IF(NOT(ISNUMBER(S62)),"等熵指数k应为数值",IF(OR(S62&lt;1,S62&gt;2),"等熵指数k应为1～2",""))),IF(T62="","缺少轮毂比",""),IF(T62="","",IF(NOT(ISNUMBER(T62)),"轮毂比应为数值",IF(OR(T62&lt;0,T62&gt;1),"轮毂比应为0～1",""))),IF(U62="","缺少最高通风机效率ηr",""),IF(U62="","",IF(NOT(ISNUMBER(U62)),"最高通风机效率ηr应为数值",IF(OR(U62&lt;1,U62&gt;100),"最高通风机效率ηr应为1～100的百分数本值",""))),IF(AC62="","缺少铭牌照片",""),IF(AND(ISTEXT(AD62),OR(AD62&lt;&gt;TRIM(AD62),ISNUMBER(SEARCH("　",AD62)))),"填表备注含首尾空格或全角空格",""),IF(AND(ISNUMBER(M62),M62&gt;30000),"风机压力超过30kPa，超出通风机标准范围",""),IF(AND(J62="是",H62="是"),"动叶可调特殊效率规则要求进口无进气箱",""),IF(AND(J62="是",I62="是"),"动叶可调特殊效率规则要求出口无扩散筒","")),"")</f>
        <v/>
      </c>
    </row>
    <row r="63" ht="42" customHeight="1" s="184">
      <c r="A63" s="224">
        <f>IF(COUNTA(B63,C63,D63,E63,F63,G63,H63,I63,J63,K63,L63,M63,N63,O63,P63,Q63,R63,S63,T63,U63,AC63,AD63)&gt;0,ROW()-3,"")</f>
        <v/>
      </c>
      <c r="B63" s="176" t="n"/>
      <c r="C63" s="176" t="n"/>
      <c r="D63" s="228" t="n"/>
      <c r="E63" s="176" t="n"/>
      <c r="F63" s="218" t="n"/>
      <c r="G63" s="218" t="n"/>
      <c r="H63" s="218" t="n"/>
      <c r="I63" s="218" t="n"/>
      <c r="J63" s="218" t="n"/>
      <c r="K63" s="218" t="n"/>
      <c r="L63" s="229" t="n"/>
      <c r="M63" s="229" t="n"/>
      <c r="N63" s="229" t="n"/>
      <c r="O63" s="229" t="n"/>
      <c r="P63" s="229" t="n"/>
      <c r="Q63" s="229" t="n"/>
      <c r="R63" s="229" t="n"/>
      <c r="S63" s="235" t="n"/>
      <c r="T63" s="235" t="n"/>
      <c r="U63" s="229" t="n"/>
      <c r="V63" s="113" t="n"/>
      <c r="W63" s="113" t="n"/>
      <c r="X63" s="113" t="n"/>
      <c r="Y63" s="227" t="n"/>
      <c r="Z63" s="227" t="n"/>
      <c r="AA63" s="227" t="n"/>
      <c r="AB63" s="81" t="n"/>
      <c r="AC63" s="180" t="n"/>
      <c r="AD63" s="180" t="n"/>
      <c r="AE63" s="99">
        <f>IF(COUNTA(B63,C63,D63,E63,F63,G63,H63,I63,J63,K63,L63,M63,N63,O63,P63,Q63,R63,S63,T63,U63,AC63,AD63)&gt;0,TEXTJOIN("；",TRUE,IF(B63="","缺少设备名称",""),IF(AND(ISTEXT(B63),OR(B63&lt;&gt;TRIM(B63),ISNUMBER(SEARCH("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",E63)))),"安装位置含首尾空格或全角空格",""),IF(F63="","缺少设备类别",""),IF(F63="","",IF(COUNTIF(EV_AXIAL_FAN_CATEGORY,F63)=0,"设备类别不在标准枚举中","")),IF(AND(ISTEXT(F63),OR(F63&lt;&gt;TRIM(F63),ISNUMBER(SEARCH("　",F63)))),"设备类别含首尾空格或全角空格",""),IF(G63="","缺少传动方式",""),IF(G63="","",IF(COUNTIF(EV_TRANSMISSION,G63)=0,"传动方式不在标准枚举中","")),IF(AND(ISTEXT(G63),OR(G63&lt;&gt;TRIM(G63),ISNUMBER(SEARCH("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",G63)))),"传动方式含首尾空格或全角空格",""),IF(H63="","缺少是否带进气箱",""),IF(H63="","",IF(COUNTIF(EV_YES_NO,H63)=0,"是否带进气箱不在标准枚举中","")),IF(AND(ISTEXT(H63),OR(H63&lt;&gt;TRIM(H63),ISNUMBER(SEARCH("　",H63)))),"是否带进气箱含首尾空格或全角空格",""),IF(I63="","缺少是否带扩散筒",""),IF(I63="","",IF(COUNTIF(EV_YES_NO,I63)=0,"是否带扩散筒不在标准枚举中","")),IF(AND(ISTEXT(I63),OR(I63&lt;&gt;TRIM(I63),ISNUMBER(SEARCH("　",I63)))),"是否带扩散筒含首尾空格或全角空格",""),IF(J63="","缺少是否动叶可调",""),IF(J63="","",IF(COUNTIF(EV_YES_NO,J63)=0,"是否动叶可调不在标准枚举中","")),IF(AND(ISTEXT(J63),OR(J63&lt;&gt;TRIM(J63),ISNUMBER(SEARCH("　",J63)))),"是否动叶可调含首尾空格或全角空格",""),IF(K63="","缺少是否可逆转",""),IF(K63="","",IF(COUNTIF(EV_YES_NO,K63)=0,"是否可逆转不在标准枚举中","")),IF(AND(ISTEXT(K63),OR(K63&lt;&gt;TRIM(K63),ISNUMBER(SEARCH("　",K63)))),"是否可逆转含首尾空格或全角空格",""),IF(L63="","缺少流量",""),IF(L63="","",IF(NOT(ISNUMBER(L63)),"流量应为数值",IF(L63&lt;=0,"流量应大于0",""))),IF(M63="","缺少风机压力pF",""),IF(M63="","",IF(NOT(ISNUMBER(M63)),"风机压力pF应为数值",IF(M63&lt;=0,"风机压力pF应大于0",""))),IF(N63="","缺少额定功率",""),IF(N63="","",IF(NOT(ISNUMBER(N63)),"额定功率应为数值",IF(N63&lt;=0,"额定功率应大于0",""))),IF(O63="","缺少叶轮功率",""),IF(O63="","",IF(NOT(ISNUMBER(O63)),"叶轮功率应为数值",IF(O63&lt;=0,"叶轮功率应大于0",""))),IF(P63="","缺少转速",""),IF(P63="","",IF(NOT(ISNUMBER(P63)),"转速应为数值",IF(P63&lt;=0,"转速应大于0",""))),IF(Q63="","缺少机号",""),IF(Q63="","",IF(NOT(ISNUMBER(Q63)),"机号应为数值",IF(Q63&lt;=0,"机号应大于0",""))),IF(R63="","缺少进口滞止密度",""),IF(R63="","",IF(NOT(ISNUMBER(R63)),"进口滞止密度应为数值",IF(R63&lt;=0,"进口滞止密度应大于0",""))),IF(S63="","缺少等熵指数k",""),IF(S63="","",IF(NOT(ISNUMBER(S63)),"等熵指数k应为数值",IF(OR(S63&lt;1,S63&gt;2),"等熵指数k应为1～2",""))),IF(T63="","缺少轮毂比",""),IF(T63="","",IF(NOT(ISNUMBER(T63)),"轮毂比应为数值",IF(OR(T63&lt;0,T63&gt;1),"轮毂比应为0～1",""))),IF(U63="","缺少最高通风机效率ηr",""),IF(U63="","",IF(NOT(ISNUMBER(U63)),"最高通风机效率ηr应为数值",IF(OR(U63&lt;1,U63&gt;100),"最高通风机效率ηr应为1～100的百分数本值",""))),IF(AC63="","缺少铭牌照片",""),IF(AND(ISTEXT(AD63),OR(AD63&lt;&gt;TRIM(AD63),ISNUMBER(SEARCH("　",AD63)))),"填表备注含首尾空格或全角空格",""),IF(AND(ISNUMBER(M63),M63&gt;30000),"风机压力超过30kPa，超出通风机标准范围",""),IF(AND(J63="是",H63="是"),"动叶可调特殊效率规则要求进口无进气箱",""),IF(AND(J63="是",I63="是"),"动叶可调特殊效率规则要求出口无扩散筒","")),"")</f>
        <v/>
      </c>
    </row>
    <row r="64" ht="42" customHeight="1" s="184">
      <c r="A64" s="224">
        <f>IF(COUNTA(B64,C64,D64,E64,F64,G64,H64,I64,J64,K64,L64,M64,N64,O64,P64,Q64,R64,S64,T64,U64,AC64,AD64)&gt;0,ROW()-3,"")</f>
        <v/>
      </c>
      <c r="B64" s="176" t="n"/>
      <c r="C64" s="176" t="n"/>
      <c r="D64" s="228" t="n"/>
      <c r="E64" s="176" t="n"/>
      <c r="F64" s="218" t="n"/>
      <c r="G64" s="218" t="n"/>
      <c r="H64" s="218" t="n"/>
      <c r="I64" s="218" t="n"/>
      <c r="J64" s="218" t="n"/>
      <c r="K64" s="218" t="n"/>
      <c r="L64" s="229" t="n"/>
      <c r="M64" s="229" t="n"/>
      <c r="N64" s="229" t="n"/>
      <c r="O64" s="229" t="n"/>
      <c r="P64" s="229" t="n"/>
      <c r="Q64" s="229" t="n"/>
      <c r="R64" s="229" t="n"/>
      <c r="S64" s="235" t="n"/>
      <c r="T64" s="235" t="n"/>
      <c r="U64" s="229" t="n"/>
      <c r="V64" s="113" t="n"/>
      <c r="W64" s="113" t="n"/>
      <c r="X64" s="113" t="n"/>
      <c r="Y64" s="227" t="n"/>
      <c r="Z64" s="227" t="n"/>
      <c r="AA64" s="227" t="n"/>
      <c r="AB64" s="81" t="n"/>
      <c r="AC64" s="180" t="n"/>
      <c r="AD64" s="180" t="n"/>
      <c r="AE64" s="99">
        <f>IF(COUNTA(B64,C64,D64,E64,F64,G64,H64,I64,J64,K64,L64,M64,N64,O64,P64,Q64,R64,S64,T64,U64,AC64,AD64)&gt;0,TEXTJOIN("；",TRUE,IF(B64="","缺少设备名称",""),IF(AND(ISTEXT(B64),OR(B64&lt;&gt;TRIM(B64),ISNUMBER(SEARCH("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",E64)))),"安装位置含首尾空格或全角空格",""),IF(F64="","缺少设备类别",""),IF(F64="","",IF(COUNTIF(EV_AXIAL_FAN_CATEGORY,F64)=0,"设备类别不在标准枚举中","")),IF(AND(ISTEXT(F64),OR(F64&lt;&gt;TRIM(F64),ISNUMBER(SEARCH("　",F64)))),"设备类别含首尾空格或全角空格",""),IF(G64="","缺少传动方式",""),IF(G64="","",IF(COUNTIF(EV_TRANSMISSION,G64)=0,"传动方式不在标准枚举中","")),IF(AND(ISTEXT(G64),OR(G64&lt;&gt;TRIM(G64),ISNUMBER(SEARCH("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",G64)))),"传动方式含首尾空格或全角空格",""),IF(H64="","缺少是否带进气箱",""),IF(H64="","",IF(COUNTIF(EV_YES_NO,H64)=0,"是否带进气箱不在标准枚举中","")),IF(AND(ISTEXT(H64),OR(H64&lt;&gt;TRIM(H64),ISNUMBER(SEARCH("　",H64)))),"是否带进气箱含首尾空格或全角空格",""),IF(I64="","缺少是否带扩散筒",""),IF(I64="","",IF(COUNTIF(EV_YES_NO,I64)=0,"是否带扩散筒不在标准枚举中","")),IF(AND(ISTEXT(I64),OR(I64&lt;&gt;TRIM(I64),ISNUMBER(SEARCH("　",I64)))),"是否带扩散筒含首尾空格或全角空格",""),IF(J64="","缺少是否动叶可调",""),IF(J64="","",IF(COUNTIF(EV_YES_NO,J64)=0,"是否动叶可调不在标准枚举中","")),IF(AND(ISTEXT(J64),OR(J64&lt;&gt;TRIM(J64),ISNUMBER(SEARCH("　",J64)))),"是否动叶可调含首尾空格或全角空格",""),IF(K64="","缺少是否可逆转",""),IF(K64="","",IF(COUNTIF(EV_YES_NO,K64)=0,"是否可逆转不在标准枚举中","")),IF(AND(ISTEXT(K64),OR(K64&lt;&gt;TRIM(K64),ISNUMBER(SEARCH("　",K64)))),"是否可逆转含首尾空格或全角空格",""),IF(L64="","缺少流量",""),IF(L64="","",IF(NOT(ISNUMBER(L64)),"流量应为数值",IF(L64&lt;=0,"流量应大于0",""))),IF(M64="","缺少风机压力pF",""),IF(M64="","",IF(NOT(ISNUMBER(M64)),"风机压力pF应为数值",IF(M64&lt;=0,"风机压力pF应大于0",""))),IF(N64="","缺少额定功率",""),IF(N64="","",IF(NOT(ISNUMBER(N64)),"额定功率应为数值",IF(N64&lt;=0,"额定功率应大于0",""))),IF(O64="","缺少叶轮功率",""),IF(O64="","",IF(NOT(ISNUMBER(O64)),"叶轮功率应为数值",IF(O64&lt;=0,"叶轮功率应大于0",""))),IF(P64="","缺少转速",""),IF(P64="","",IF(NOT(ISNUMBER(P64)),"转速应为数值",IF(P64&lt;=0,"转速应大于0",""))),IF(Q64="","缺少机号",""),IF(Q64="","",IF(NOT(ISNUMBER(Q64)),"机号应为数值",IF(Q64&lt;=0,"机号应大于0",""))),IF(R64="","缺少进口滞止密度",""),IF(R64="","",IF(NOT(ISNUMBER(R64)),"进口滞止密度应为数值",IF(R64&lt;=0,"进口滞止密度应大于0",""))),IF(S64="","缺少等熵指数k",""),IF(S64="","",IF(NOT(ISNUMBER(S64)),"等熵指数k应为数值",IF(OR(S64&lt;1,S64&gt;2),"等熵指数k应为1～2",""))),IF(T64="","缺少轮毂比",""),IF(T64="","",IF(NOT(ISNUMBER(T64)),"轮毂比应为数值",IF(OR(T64&lt;0,T64&gt;1),"轮毂比应为0～1",""))),IF(U64="","缺少最高通风机效率ηr",""),IF(U64="","",IF(NOT(ISNUMBER(U64)),"最高通风机效率ηr应为数值",IF(OR(U64&lt;1,U64&gt;100),"最高通风机效率ηr应为1～100的百分数本值",""))),IF(AC64="","缺少铭牌照片",""),IF(AND(ISTEXT(AD64),OR(AD64&lt;&gt;TRIM(AD64),ISNUMBER(SEARCH("　",AD64)))),"填表备注含首尾空格或全角空格",""),IF(AND(ISNUMBER(M64),M64&gt;30000),"风机压力超过30kPa，超出通风机标准范围",""),IF(AND(J64="是",H64="是"),"动叶可调特殊效率规则要求进口无进气箱",""),IF(AND(J64="是",I64="是"),"动叶可调特殊效率规则要求出口无扩散筒","")),"")</f>
        <v/>
      </c>
    </row>
    <row r="65" ht="42" customHeight="1" s="184">
      <c r="A65" s="224">
        <f>IF(COUNTA(B65,C65,D65,E65,F65,G65,H65,I65,J65,K65,L65,M65,N65,O65,P65,Q65,R65,S65,T65,U65,AC65,AD65)&gt;0,ROW()-3,"")</f>
        <v/>
      </c>
      <c r="B65" s="176" t="n"/>
      <c r="C65" s="176" t="n"/>
      <c r="D65" s="228" t="n"/>
      <c r="E65" s="176" t="n"/>
      <c r="F65" s="218" t="n"/>
      <c r="G65" s="218" t="n"/>
      <c r="H65" s="218" t="n"/>
      <c r="I65" s="218" t="n"/>
      <c r="J65" s="218" t="n"/>
      <c r="K65" s="218" t="n"/>
      <c r="L65" s="229" t="n"/>
      <c r="M65" s="229" t="n"/>
      <c r="N65" s="229" t="n"/>
      <c r="O65" s="229" t="n"/>
      <c r="P65" s="229" t="n"/>
      <c r="Q65" s="229" t="n"/>
      <c r="R65" s="229" t="n"/>
      <c r="S65" s="235" t="n"/>
      <c r="T65" s="235" t="n"/>
      <c r="U65" s="229" t="n"/>
      <c r="V65" s="113" t="n"/>
      <c r="W65" s="113" t="n"/>
      <c r="X65" s="113" t="n"/>
      <c r="Y65" s="227" t="n"/>
      <c r="Z65" s="227" t="n"/>
      <c r="AA65" s="227" t="n"/>
      <c r="AB65" s="81" t="n"/>
      <c r="AC65" s="180" t="n"/>
      <c r="AD65" s="180" t="n"/>
      <c r="AE65" s="99">
        <f>IF(COUNTA(B65,C65,D65,E65,F65,G65,H65,I65,J65,K65,L65,M65,N65,O65,P65,Q65,R65,S65,T65,U65,AC65,AD65)&gt;0,TEXTJOIN("；",TRUE,IF(B65="","缺少设备名称",""),IF(AND(ISTEXT(B65),OR(B65&lt;&gt;TRIM(B65),ISNUMBER(SEARCH("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",E65)))),"安装位置含首尾空格或全角空格",""),IF(F65="","缺少设备类别",""),IF(F65="","",IF(COUNTIF(EV_AXIAL_FAN_CATEGORY,F65)=0,"设备类别不在标准枚举中","")),IF(AND(ISTEXT(F65),OR(F65&lt;&gt;TRIM(F65),ISNUMBER(SEARCH("　",F65)))),"设备类别含首尾空格或全角空格",""),IF(G65="","缺少传动方式",""),IF(G65="","",IF(COUNTIF(EV_TRANSMISSION,G65)=0,"传动方式不在标准枚举中","")),IF(AND(ISTEXT(G65),OR(G65&lt;&gt;TRIM(G65),ISNUMBER(SEARCH("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",G65)))),"传动方式含首尾空格或全角空格",""),IF(H65="","缺少是否带进气箱",""),IF(H65="","",IF(COUNTIF(EV_YES_NO,H65)=0,"是否带进气箱不在标准枚举中","")),IF(AND(ISTEXT(H65),OR(H65&lt;&gt;TRIM(H65),ISNUMBER(SEARCH("　",H65)))),"是否带进气箱含首尾空格或全角空格",""),IF(I65="","缺少是否带扩散筒",""),IF(I65="","",IF(COUNTIF(EV_YES_NO,I65)=0,"是否带扩散筒不在标准枚举中","")),IF(AND(ISTEXT(I65),OR(I65&lt;&gt;TRIM(I65),ISNUMBER(SEARCH("　",I65)))),"是否带扩散筒含首尾空格或全角空格",""),IF(J65="","缺少是否动叶可调",""),IF(J65="","",IF(COUNTIF(EV_YES_NO,J65)=0,"是否动叶可调不在标准枚举中","")),IF(AND(ISTEXT(J65),OR(J65&lt;&gt;TRIM(J65),ISNUMBER(SEARCH("　",J65)))),"是否动叶可调含首尾空格或全角空格",""),IF(K65="","缺少是否可逆转",""),IF(K65="","",IF(COUNTIF(EV_YES_NO,K65)=0,"是否可逆转不在标准枚举中","")),IF(AND(ISTEXT(K65),OR(K65&lt;&gt;TRIM(K65),ISNUMBER(SEARCH("　",K65)))),"是否可逆转含首尾空格或全角空格",""),IF(L65="","缺少流量",""),IF(L65="","",IF(NOT(ISNUMBER(L65)),"流量应为数值",IF(L65&lt;=0,"流量应大于0",""))),IF(M65="","缺少风机压力pF",""),IF(M65="","",IF(NOT(ISNUMBER(M65)),"风机压力pF应为数值",IF(M65&lt;=0,"风机压力pF应大于0",""))),IF(N65="","缺少额定功率",""),IF(N65="","",IF(NOT(ISNUMBER(N65)),"额定功率应为数值",IF(N65&lt;=0,"额定功率应大于0",""))),IF(O65="","缺少叶轮功率",""),IF(O65="","",IF(NOT(ISNUMBER(O65)),"叶轮功率应为数值",IF(O65&lt;=0,"叶轮功率应大于0",""))),IF(P65="","缺少转速",""),IF(P65="","",IF(NOT(ISNUMBER(P65)),"转速应为数值",IF(P65&lt;=0,"转速应大于0",""))),IF(Q65="","缺少机号",""),IF(Q65="","",IF(NOT(ISNUMBER(Q65)),"机号应为数值",IF(Q65&lt;=0,"机号应大于0",""))),IF(R65="","缺少进口滞止密度",""),IF(R65="","",IF(NOT(ISNUMBER(R65)),"进口滞止密度应为数值",IF(R65&lt;=0,"进口滞止密度应大于0",""))),IF(S65="","缺少等熵指数k",""),IF(S65="","",IF(NOT(ISNUMBER(S65)),"等熵指数k应为数值",IF(OR(S65&lt;1,S65&gt;2),"等熵指数k应为1～2",""))),IF(T65="","缺少轮毂比",""),IF(T65="","",IF(NOT(ISNUMBER(T65)),"轮毂比应为数值",IF(OR(T65&lt;0,T65&gt;1),"轮毂比应为0～1",""))),IF(U65="","缺少最高通风机效率ηr",""),IF(U65="","",IF(NOT(ISNUMBER(U65)),"最高通风机效率ηr应为数值",IF(OR(U65&lt;1,U65&gt;100),"最高通风机效率ηr应为1～100的百分数本值",""))),IF(AC65="","缺少铭牌照片",""),IF(AND(ISTEXT(AD65),OR(AD65&lt;&gt;TRIM(AD65),ISNUMBER(SEARCH("　",AD65)))),"填表备注含首尾空格或全角空格",""),IF(AND(ISNUMBER(M65),M65&gt;30000),"风机压力超过30kPa，超出通风机标准范围",""),IF(AND(J65="是",H65="是"),"动叶可调特殊效率规则要求进口无进气箱",""),IF(AND(J65="是",I65="是"),"动叶可调特殊效率规则要求出口无扩散筒","")),"")</f>
        <v/>
      </c>
    </row>
    <row r="66" ht="42" customHeight="1" s="184">
      <c r="A66" s="224">
        <f>IF(COUNTA(B66,C66,D66,E66,F66,G66,H66,I66,J66,K66,L66,M66,N66,O66,P66,Q66,R66,S66,T66,U66,AC66,AD66)&gt;0,ROW()-3,"")</f>
        <v/>
      </c>
      <c r="B66" s="176" t="n"/>
      <c r="C66" s="176" t="n"/>
      <c r="D66" s="228" t="n"/>
      <c r="E66" s="176" t="n"/>
      <c r="F66" s="218" t="n"/>
      <c r="G66" s="218" t="n"/>
      <c r="H66" s="218" t="n"/>
      <c r="I66" s="218" t="n"/>
      <c r="J66" s="218" t="n"/>
      <c r="K66" s="218" t="n"/>
      <c r="L66" s="229" t="n"/>
      <c r="M66" s="229" t="n"/>
      <c r="N66" s="229" t="n"/>
      <c r="O66" s="229" t="n"/>
      <c r="P66" s="229" t="n"/>
      <c r="Q66" s="229" t="n"/>
      <c r="R66" s="229" t="n"/>
      <c r="S66" s="235" t="n"/>
      <c r="T66" s="235" t="n"/>
      <c r="U66" s="229" t="n"/>
      <c r="V66" s="113" t="n"/>
      <c r="W66" s="113" t="n"/>
      <c r="X66" s="113" t="n"/>
      <c r="Y66" s="227" t="n"/>
      <c r="Z66" s="227" t="n"/>
      <c r="AA66" s="227" t="n"/>
      <c r="AB66" s="81" t="n"/>
      <c r="AC66" s="180" t="n"/>
      <c r="AD66" s="180" t="n"/>
      <c r="AE66" s="99">
        <f>IF(COUNTA(B66,C66,D66,E66,F66,G66,H66,I66,J66,K66,L66,M66,N66,O66,P66,Q66,R66,S66,T66,U66,AC66,AD66)&gt;0,TEXTJOIN("；",TRUE,IF(B66="","缺少设备名称",""),IF(AND(ISTEXT(B66),OR(B66&lt;&gt;TRIM(B66),ISNUMBER(SEARCH("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",E66)))),"安装位置含首尾空格或全角空格",""),IF(F66="","缺少设备类别",""),IF(F66="","",IF(COUNTIF(EV_AXIAL_FAN_CATEGORY,F66)=0,"设备类别不在标准枚举中","")),IF(AND(ISTEXT(F66),OR(F66&lt;&gt;TRIM(F66),ISNUMBER(SEARCH("　",F66)))),"设备类别含首尾空格或全角空格",""),IF(G66="","缺少传动方式",""),IF(G66="","",IF(COUNTIF(EV_TRANSMISSION,G66)=0,"传动方式不在标准枚举中","")),IF(AND(ISTEXT(G66),OR(G66&lt;&gt;TRIM(G66),ISNUMBER(SEARCH("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",G66)))),"传动方式含首尾空格或全角空格",""),IF(H66="","缺少是否带进气箱",""),IF(H66="","",IF(COUNTIF(EV_YES_NO,H66)=0,"是否带进气箱不在标准枚举中","")),IF(AND(ISTEXT(H66),OR(H66&lt;&gt;TRIM(H66),ISNUMBER(SEARCH("　",H66)))),"是否带进气箱含首尾空格或全角空格",""),IF(I66="","缺少是否带扩散筒",""),IF(I66="","",IF(COUNTIF(EV_YES_NO,I66)=0,"是否带扩散筒不在标准枚举中","")),IF(AND(ISTEXT(I66),OR(I66&lt;&gt;TRIM(I66),ISNUMBER(SEARCH("　",I66)))),"是否带扩散筒含首尾空格或全角空格",""),IF(J66="","缺少是否动叶可调",""),IF(J66="","",IF(COUNTIF(EV_YES_NO,J66)=0,"是否动叶可调不在标准枚举中","")),IF(AND(ISTEXT(J66),OR(J66&lt;&gt;TRIM(J66),ISNUMBER(SEARCH("　",J66)))),"是否动叶可调含首尾空格或全角空格",""),IF(K66="","缺少是否可逆转",""),IF(K66="","",IF(COUNTIF(EV_YES_NO,K66)=0,"是否可逆转不在标准枚举中","")),IF(AND(ISTEXT(K66),OR(K66&lt;&gt;TRIM(K66),ISNUMBER(SEARCH("　",K66)))),"是否可逆转含首尾空格或全角空格",""),IF(L66="","缺少流量",""),IF(L66="","",IF(NOT(ISNUMBER(L66)),"流量应为数值",IF(L66&lt;=0,"流量应大于0",""))),IF(M66="","缺少风机压力pF",""),IF(M66="","",IF(NOT(ISNUMBER(M66)),"风机压力pF应为数值",IF(M66&lt;=0,"风机压力pF应大于0",""))),IF(N66="","缺少额定功率",""),IF(N66="","",IF(NOT(ISNUMBER(N66)),"额定功率应为数值",IF(N66&lt;=0,"额定功率应大于0",""))),IF(O66="","缺少叶轮功率",""),IF(O66="","",IF(NOT(ISNUMBER(O66)),"叶轮功率应为数值",IF(O66&lt;=0,"叶轮功率应大于0",""))),IF(P66="","缺少转速",""),IF(P66="","",IF(NOT(ISNUMBER(P66)),"转速应为数值",IF(P66&lt;=0,"转速应大于0",""))),IF(Q66="","缺少机号",""),IF(Q66="","",IF(NOT(ISNUMBER(Q66)),"机号应为数值",IF(Q66&lt;=0,"机号应大于0",""))),IF(R66="","缺少进口滞止密度",""),IF(R66="","",IF(NOT(ISNUMBER(R66)),"进口滞止密度应为数值",IF(R66&lt;=0,"进口滞止密度应大于0",""))),IF(S66="","缺少等熵指数k",""),IF(S66="","",IF(NOT(ISNUMBER(S66)),"等熵指数k应为数值",IF(OR(S66&lt;1,S66&gt;2),"等熵指数k应为1～2",""))),IF(T66="","缺少轮毂比",""),IF(T66="","",IF(NOT(ISNUMBER(T66)),"轮毂比应为数值",IF(OR(T66&lt;0,T66&gt;1),"轮毂比应为0～1",""))),IF(U66="","缺少最高通风机效率ηr",""),IF(U66="","",IF(NOT(ISNUMBER(U66)),"最高通风机效率ηr应为数值",IF(OR(U66&lt;1,U66&gt;100),"最高通风机效率ηr应为1～100的百分数本值",""))),IF(AC66="","缺少铭牌照片",""),IF(AND(ISTEXT(AD66),OR(AD66&lt;&gt;TRIM(AD66),ISNUMBER(SEARCH("　",AD66)))),"填表备注含首尾空格或全角空格",""),IF(AND(ISNUMBER(M66),M66&gt;30000),"风机压力超过30kPa，超出通风机标准范围",""),IF(AND(J66="是",H66="是"),"动叶可调特殊效率规则要求进口无进气箱",""),IF(AND(J66="是",I66="是"),"动叶可调特殊效率规则要求出口无扩散筒","")),"")</f>
        <v/>
      </c>
    </row>
    <row r="67" ht="42" customHeight="1" s="184">
      <c r="A67" s="224">
        <f>IF(COUNTA(B67,C67,D67,E67,F67,G67,H67,I67,J67,K67,L67,M67,N67,O67,P67,Q67,R67,S67,T67,U67,AC67,AD67)&gt;0,ROW()-3,"")</f>
        <v/>
      </c>
      <c r="B67" s="176" t="n"/>
      <c r="C67" s="176" t="n"/>
      <c r="D67" s="228" t="n"/>
      <c r="E67" s="176" t="n"/>
      <c r="F67" s="218" t="n"/>
      <c r="G67" s="218" t="n"/>
      <c r="H67" s="218" t="n"/>
      <c r="I67" s="218" t="n"/>
      <c r="J67" s="218" t="n"/>
      <c r="K67" s="218" t="n"/>
      <c r="L67" s="229" t="n"/>
      <c r="M67" s="229" t="n"/>
      <c r="N67" s="229" t="n"/>
      <c r="O67" s="229" t="n"/>
      <c r="P67" s="229" t="n"/>
      <c r="Q67" s="229" t="n"/>
      <c r="R67" s="229" t="n"/>
      <c r="S67" s="235" t="n"/>
      <c r="T67" s="235" t="n"/>
      <c r="U67" s="229" t="n"/>
      <c r="V67" s="113" t="n"/>
      <c r="W67" s="113" t="n"/>
      <c r="X67" s="113" t="n"/>
      <c r="Y67" s="227" t="n"/>
      <c r="Z67" s="227" t="n"/>
      <c r="AA67" s="227" t="n"/>
      <c r="AB67" s="81" t="n"/>
      <c r="AC67" s="180" t="n"/>
      <c r="AD67" s="180" t="n"/>
      <c r="AE67" s="99">
        <f>IF(COUNTA(B67,C67,D67,E67,F67,G67,H67,I67,J67,K67,L67,M67,N67,O67,P67,Q67,R67,S67,T67,U67,AC67,AD67)&gt;0,TEXTJOIN("；",TRUE,IF(B67="","缺少设备名称",""),IF(AND(ISTEXT(B67),OR(B67&lt;&gt;TRIM(B67),ISNUMBER(SEARCH("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",E67)))),"安装位置含首尾空格或全角空格",""),IF(F67="","缺少设备类别",""),IF(F67="","",IF(COUNTIF(EV_AXIAL_FAN_CATEGORY,F67)=0,"设备类别不在标准枚举中","")),IF(AND(ISTEXT(F67),OR(F67&lt;&gt;TRIM(F67),ISNUMBER(SEARCH("　",F67)))),"设备类别含首尾空格或全角空格",""),IF(G67="","缺少传动方式",""),IF(G67="","",IF(COUNTIF(EV_TRANSMISSION,G67)=0,"传动方式不在标准枚举中","")),IF(AND(ISTEXT(G67),OR(G67&lt;&gt;TRIM(G67),ISNUMBER(SEARCH("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",G67)))),"传动方式含首尾空格或全角空格",""),IF(H67="","缺少是否带进气箱",""),IF(H67="","",IF(COUNTIF(EV_YES_NO,H67)=0,"是否带进气箱不在标准枚举中","")),IF(AND(ISTEXT(H67),OR(H67&lt;&gt;TRIM(H67),ISNUMBER(SEARCH("　",H67)))),"是否带进气箱含首尾空格或全角空格",""),IF(I67="","缺少是否带扩散筒",""),IF(I67="","",IF(COUNTIF(EV_YES_NO,I67)=0,"是否带扩散筒不在标准枚举中","")),IF(AND(ISTEXT(I67),OR(I67&lt;&gt;TRIM(I67),ISNUMBER(SEARCH("　",I67)))),"是否带扩散筒含首尾空格或全角空格",""),IF(J67="","缺少是否动叶可调",""),IF(J67="","",IF(COUNTIF(EV_YES_NO,J67)=0,"是否动叶可调不在标准枚举中","")),IF(AND(ISTEXT(J67),OR(J67&lt;&gt;TRIM(J67),ISNUMBER(SEARCH("　",J67)))),"是否动叶可调含首尾空格或全角空格",""),IF(K67="","缺少是否可逆转",""),IF(K67="","",IF(COUNTIF(EV_YES_NO,K67)=0,"是否可逆转不在标准枚举中","")),IF(AND(ISTEXT(K67),OR(K67&lt;&gt;TRIM(K67),ISNUMBER(SEARCH("　",K67)))),"是否可逆转含首尾空格或全角空格",""),IF(L67="","缺少流量",""),IF(L67="","",IF(NOT(ISNUMBER(L67)),"流量应为数值",IF(L67&lt;=0,"流量应大于0",""))),IF(M67="","缺少风机压力pF",""),IF(M67="","",IF(NOT(ISNUMBER(M67)),"风机压力pF应为数值",IF(M67&lt;=0,"风机压力pF应大于0",""))),IF(N67="","缺少额定功率",""),IF(N67="","",IF(NOT(ISNUMBER(N67)),"额定功率应为数值",IF(N67&lt;=0,"额定功率应大于0",""))),IF(O67="","缺少叶轮功率",""),IF(O67="","",IF(NOT(ISNUMBER(O67)),"叶轮功率应为数值",IF(O67&lt;=0,"叶轮功率应大于0",""))),IF(P67="","缺少转速",""),IF(P67="","",IF(NOT(ISNUMBER(P67)),"转速应为数值",IF(P67&lt;=0,"转速应大于0",""))),IF(Q67="","缺少机号",""),IF(Q67="","",IF(NOT(ISNUMBER(Q67)),"机号应为数值",IF(Q67&lt;=0,"机号应大于0",""))),IF(R67="","缺少进口滞止密度",""),IF(R67="","",IF(NOT(ISNUMBER(R67)),"进口滞止密度应为数值",IF(R67&lt;=0,"进口滞止密度应大于0",""))),IF(S67="","缺少等熵指数k",""),IF(S67="","",IF(NOT(ISNUMBER(S67)),"等熵指数k应为数值",IF(OR(S67&lt;1,S67&gt;2),"等熵指数k应为1～2",""))),IF(T67="","缺少轮毂比",""),IF(T67="","",IF(NOT(ISNUMBER(T67)),"轮毂比应为数值",IF(OR(T67&lt;0,T67&gt;1),"轮毂比应为0～1",""))),IF(U67="","缺少最高通风机效率ηr",""),IF(U67="","",IF(NOT(ISNUMBER(U67)),"最高通风机效率ηr应为数值",IF(OR(U67&lt;1,U67&gt;100),"最高通风机效率ηr应为1～100的百分数本值",""))),IF(AC67="","缺少铭牌照片",""),IF(AND(ISTEXT(AD67),OR(AD67&lt;&gt;TRIM(AD67),ISNUMBER(SEARCH("　",AD67)))),"填表备注含首尾空格或全角空格",""),IF(AND(ISNUMBER(M67),M67&gt;30000),"风机压力超过30kPa，超出通风机标准范围",""),IF(AND(J67="是",H67="是"),"动叶可调特殊效率规则要求进口无进气箱",""),IF(AND(J67="是",I67="是"),"动叶可调特殊效率规则要求出口无扩散筒","")),"")</f>
        <v/>
      </c>
    </row>
    <row r="68" ht="42" customHeight="1" s="184">
      <c r="A68" s="224">
        <f>IF(COUNTA(B68,C68,D68,E68,F68,G68,H68,I68,J68,K68,L68,M68,N68,O68,P68,Q68,R68,S68,T68,U68,AC68,AD68)&gt;0,ROW()-3,"")</f>
        <v/>
      </c>
      <c r="B68" s="176" t="n"/>
      <c r="C68" s="176" t="n"/>
      <c r="D68" s="228" t="n"/>
      <c r="E68" s="176" t="n"/>
      <c r="F68" s="218" t="n"/>
      <c r="G68" s="218" t="n"/>
      <c r="H68" s="218" t="n"/>
      <c r="I68" s="218" t="n"/>
      <c r="J68" s="218" t="n"/>
      <c r="K68" s="218" t="n"/>
      <c r="L68" s="229" t="n"/>
      <c r="M68" s="229" t="n"/>
      <c r="N68" s="229" t="n"/>
      <c r="O68" s="229" t="n"/>
      <c r="P68" s="229" t="n"/>
      <c r="Q68" s="229" t="n"/>
      <c r="R68" s="229" t="n"/>
      <c r="S68" s="235" t="n"/>
      <c r="T68" s="235" t="n"/>
      <c r="U68" s="229" t="n"/>
      <c r="V68" s="113" t="n"/>
      <c r="W68" s="113" t="n"/>
      <c r="X68" s="113" t="n"/>
      <c r="Y68" s="227" t="n"/>
      <c r="Z68" s="227" t="n"/>
      <c r="AA68" s="227" t="n"/>
      <c r="AB68" s="81" t="n"/>
      <c r="AC68" s="180" t="n"/>
      <c r="AD68" s="180" t="n"/>
      <c r="AE68" s="99">
        <f>IF(COUNTA(B68,C68,D68,E68,F68,G68,H68,I68,J68,K68,L68,M68,N68,O68,P68,Q68,R68,S68,T68,U68,AC68,AD68)&gt;0,TEXTJOIN("；",TRUE,IF(B68="","缺少设备名称",""),IF(AND(ISTEXT(B68),OR(B68&lt;&gt;TRIM(B68),ISNUMBER(SEARCH("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",E68)))),"安装位置含首尾空格或全角空格",""),IF(F68="","缺少设备类别",""),IF(F68="","",IF(COUNTIF(EV_AXIAL_FAN_CATEGORY,F68)=0,"设备类别不在标准枚举中","")),IF(AND(ISTEXT(F68),OR(F68&lt;&gt;TRIM(F68),ISNUMBER(SEARCH("　",F68)))),"设备类别含首尾空格或全角空格",""),IF(G68="","缺少传动方式",""),IF(G68="","",IF(COUNTIF(EV_TRANSMISSION,G68)=0,"传动方式不在标准枚举中","")),IF(AND(ISTEXT(G68),OR(G68&lt;&gt;TRIM(G68),ISNUMBER(SEARCH("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",G68)))),"传动方式含首尾空格或全角空格",""),IF(H68="","缺少是否带进气箱",""),IF(H68="","",IF(COUNTIF(EV_YES_NO,H68)=0,"是否带进气箱不在标准枚举中","")),IF(AND(ISTEXT(H68),OR(H68&lt;&gt;TRIM(H68),ISNUMBER(SEARCH("　",H68)))),"是否带进气箱含首尾空格或全角空格",""),IF(I68="","缺少是否带扩散筒",""),IF(I68="","",IF(COUNTIF(EV_YES_NO,I68)=0,"是否带扩散筒不在标准枚举中","")),IF(AND(ISTEXT(I68),OR(I68&lt;&gt;TRIM(I68),ISNUMBER(SEARCH("　",I68)))),"是否带扩散筒含首尾空格或全角空格",""),IF(J68="","缺少是否动叶可调",""),IF(J68="","",IF(COUNTIF(EV_YES_NO,J68)=0,"是否动叶可调不在标准枚举中","")),IF(AND(ISTEXT(J68),OR(J68&lt;&gt;TRIM(J68),ISNUMBER(SEARCH("　",J68)))),"是否动叶可调含首尾空格或全角空格",""),IF(K68="","缺少是否可逆转",""),IF(K68="","",IF(COUNTIF(EV_YES_NO,K68)=0,"是否可逆转不在标准枚举中","")),IF(AND(ISTEXT(K68),OR(K68&lt;&gt;TRIM(K68),ISNUMBER(SEARCH("　",K68)))),"是否可逆转含首尾空格或全角空格",""),IF(L68="","缺少流量",""),IF(L68="","",IF(NOT(ISNUMBER(L68)),"流量应为数值",IF(L68&lt;=0,"流量应大于0",""))),IF(M68="","缺少风机压力pF",""),IF(M68="","",IF(NOT(ISNUMBER(M68)),"风机压力pF应为数值",IF(M68&lt;=0,"风机压力pF应大于0",""))),IF(N68="","缺少额定功率",""),IF(N68="","",IF(NOT(ISNUMBER(N68)),"额定功率应为数值",IF(N68&lt;=0,"额定功率应大于0",""))),IF(O68="","缺少叶轮功率",""),IF(O68="","",IF(NOT(ISNUMBER(O68)),"叶轮功率应为数值",IF(O68&lt;=0,"叶轮功率应大于0",""))),IF(P68="","缺少转速",""),IF(P68="","",IF(NOT(ISNUMBER(P68)),"转速应为数值",IF(P68&lt;=0,"转速应大于0",""))),IF(Q68="","缺少机号",""),IF(Q68="","",IF(NOT(ISNUMBER(Q68)),"机号应为数值",IF(Q68&lt;=0,"机号应大于0",""))),IF(R68="","缺少进口滞止密度",""),IF(R68="","",IF(NOT(ISNUMBER(R68)),"进口滞止密度应为数值",IF(R68&lt;=0,"进口滞止密度应大于0",""))),IF(S68="","缺少等熵指数k",""),IF(S68="","",IF(NOT(ISNUMBER(S68)),"等熵指数k应为数值",IF(OR(S68&lt;1,S68&gt;2),"等熵指数k应为1～2",""))),IF(T68="","缺少轮毂比",""),IF(T68="","",IF(NOT(ISNUMBER(T68)),"轮毂比应为数值",IF(OR(T68&lt;0,T68&gt;1),"轮毂比应为0～1",""))),IF(U68="","缺少最高通风机效率ηr",""),IF(U68="","",IF(NOT(ISNUMBER(U68)),"最高通风机效率ηr应为数值",IF(OR(U68&lt;1,U68&gt;100),"最高通风机效率ηr应为1～100的百分数本值",""))),IF(AC68="","缺少铭牌照片",""),IF(AND(ISTEXT(AD68),OR(AD68&lt;&gt;TRIM(AD68),ISNUMBER(SEARCH("　",AD68)))),"填表备注含首尾空格或全角空格",""),IF(AND(ISNUMBER(M68),M68&gt;30000),"风机压力超过30kPa，超出通风机标准范围",""),IF(AND(J68="是",H68="是"),"动叶可调特殊效率规则要求进口无进气箱",""),IF(AND(J68="是",I68="是"),"动叶可调特殊效率规则要求出口无扩散筒","")),"")</f>
        <v/>
      </c>
    </row>
    <row r="69" ht="42" customHeight="1" s="184">
      <c r="A69" s="224">
        <f>IF(COUNTA(B69,C69,D69,E69,F69,G69,H69,I69,J69,K69,L69,M69,N69,O69,P69,Q69,R69,S69,T69,U69,AC69,AD69)&gt;0,ROW()-3,"")</f>
        <v/>
      </c>
      <c r="B69" s="176" t="n"/>
      <c r="C69" s="176" t="n"/>
      <c r="D69" s="228" t="n"/>
      <c r="E69" s="176" t="n"/>
      <c r="F69" s="218" t="n"/>
      <c r="G69" s="218" t="n"/>
      <c r="H69" s="218" t="n"/>
      <c r="I69" s="218" t="n"/>
      <c r="J69" s="218" t="n"/>
      <c r="K69" s="218" t="n"/>
      <c r="L69" s="229" t="n"/>
      <c r="M69" s="229" t="n"/>
      <c r="N69" s="229" t="n"/>
      <c r="O69" s="229" t="n"/>
      <c r="P69" s="229" t="n"/>
      <c r="Q69" s="229" t="n"/>
      <c r="R69" s="229" t="n"/>
      <c r="S69" s="235" t="n"/>
      <c r="T69" s="235" t="n"/>
      <c r="U69" s="229" t="n"/>
      <c r="V69" s="113" t="n"/>
      <c r="W69" s="113" t="n"/>
      <c r="X69" s="113" t="n"/>
      <c r="Y69" s="227" t="n"/>
      <c r="Z69" s="227" t="n"/>
      <c r="AA69" s="227" t="n"/>
      <c r="AB69" s="81" t="n"/>
      <c r="AC69" s="180" t="n"/>
      <c r="AD69" s="180" t="n"/>
      <c r="AE69" s="99">
        <f>IF(COUNTA(B69,C69,D69,E69,F69,G69,H69,I69,J69,K69,L69,M69,N69,O69,P69,Q69,R69,S69,T69,U69,AC69,AD69)&gt;0,TEXTJOIN("；",TRUE,IF(B69="","缺少设备名称",""),IF(AND(ISTEXT(B69),OR(B69&lt;&gt;TRIM(B69),ISNUMBER(SEARCH("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",E69)))),"安装位置含首尾空格或全角空格",""),IF(F69="","缺少设备类别",""),IF(F69="","",IF(COUNTIF(EV_AXIAL_FAN_CATEGORY,F69)=0,"设备类别不在标准枚举中","")),IF(AND(ISTEXT(F69),OR(F69&lt;&gt;TRIM(F69),ISNUMBER(SEARCH("　",F69)))),"设备类别含首尾空格或全角空格",""),IF(G69="","缺少传动方式",""),IF(G69="","",IF(COUNTIF(EV_TRANSMISSION,G69)=0,"传动方式不在标准枚举中","")),IF(AND(ISTEXT(G69),OR(G69&lt;&gt;TRIM(G69),ISNUMBER(SEARCH("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",G69)))),"传动方式含首尾空格或全角空格",""),IF(H69="","缺少是否带进气箱",""),IF(H69="","",IF(COUNTIF(EV_YES_NO,H69)=0,"是否带进气箱不在标准枚举中","")),IF(AND(ISTEXT(H69),OR(H69&lt;&gt;TRIM(H69),ISNUMBER(SEARCH("　",H69)))),"是否带进气箱含首尾空格或全角空格",""),IF(I69="","缺少是否带扩散筒",""),IF(I69="","",IF(COUNTIF(EV_YES_NO,I69)=0,"是否带扩散筒不在标准枚举中","")),IF(AND(ISTEXT(I69),OR(I69&lt;&gt;TRIM(I69),ISNUMBER(SEARCH("　",I69)))),"是否带扩散筒含首尾空格或全角空格",""),IF(J69="","缺少是否动叶可调",""),IF(J69="","",IF(COUNTIF(EV_YES_NO,J69)=0,"是否动叶可调不在标准枚举中","")),IF(AND(ISTEXT(J69),OR(J69&lt;&gt;TRIM(J69),ISNUMBER(SEARCH("　",J69)))),"是否动叶可调含首尾空格或全角空格",""),IF(K69="","缺少是否可逆转",""),IF(K69="","",IF(COUNTIF(EV_YES_NO,K69)=0,"是否可逆转不在标准枚举中","")),IF(AND(ISTEXT(K69),OR(K69&lt;&gt;TRIM(K69),ISNUMBER(SEARCH("　",K69)))),"是否可逆转含首尾空格或全角空格",""),IF(L69="","缺少流量",""),IF(L69="","",IF(NOT(ISNUMBER(L69)),"流量应为数值",IF(L69&lt;=0,"流量应大于0",""))),IF(M69="","缺少风机压力pF",""),IF(M69="","",IF(NOT(ISNUMBER(M69)),"风机压力pF应为数值",IF(M69&lt;=0,"风机压力pF应大于0",""))),IF(N69="","缺少额定功率",""),IF(N69="","",IF(NOT(ISNUMBER(N69)),"额定功率应为数值",IF(N69&lt;=0,"额定功率应大于0",""))),IF(O69="","缺少叶轮功率",""),IF(O69="","",IF(NOT(ISNUMBER(O69)),"叶轮功率应为数值",IF(O69&lt;=0,"叶轮功率应大于0",""))),IF(P69="","缺少转速",""),IF(P69="","",IF(NOT(ISNUMBER(P69)),"转速应为数值",IF(P69&lt;=0,"转速应大于0",""))),IF(Q69="","缺少机号",""),IF(Q69="","",IF(NOT(ISNUMBER(Q69)),"机号应为数值",IF(Q69&lt;=0,"机号应大于0",""))),IF(R69="","缺少进口滞止密度",""),IF(R69="","",IF(NOT(ISNUMBER(R69)),"进口滞止密度应为数值",IF(R69&lt;=0,"进口滞止密度应大于0",""))),IF(S69="","缺少等熵指数k",""),IF(S69="","",IF(NOT(ISNUMBER(S69)),"等熵指数k应为数值",IF(OR(S69&lt;1,S69&gt;2),"等熵指数k应为1～2",""))),IF(T69="","缺少轮毂比",""),IF(T69="","",IF(NOT(ISNUMBER(T69)),"轮毂比应为数值",IF(OR(T69&lt;0,T69&gt;1),"轮毂比应为0～1",""))),IF(U69="","缺少最高通风机效率ηr",""),IF(U69="","",IF(NOT(ISNUMBER(U69)),"最高通风机效率ηr应为数值",IF(OR(U69&lt;1,U69&gt;100),"最高通风机效率ηr应为1～100的百分数本值",""))),IF(AC69="","缺少铭牌照片",""),IF(AND(ISTEXT(AD69),OR(AD69&lt;&gt;TRIM(AD69),ISNUMBER(SEARCH("　",AD69)))),"填表备注含首尾空格或全角空格",""),IF(AND(ISNUMBER(M69),M69&gt;30000),"风机压力超过30kPa，超出通风机标准范围",""),IF(AND(J69="是",H69="是"),"动叶可调特殊效率规则要求进口无进气箱",""),IF(AND(J69="是",I69="是"),"动叶可调特殊效率规则要求出口无扩散筒","")),"")</f>
        <v/>
      </c>
    </row>
    <row r="70" ht="42" customHeight="1" s="184">
      <c r="A70" s="224">
        <f>IF(COUNTA(B70,C70,D70,E70,F70,G70,H70,I70,J70,K70,L70,M70,N70,O70,P70,Q70,R70,S70,T70,U70,AC70,AD70)&gt;0,ROW()-3,"")</f>
        <v/>
      </c>
      <c r="B70" s="176" t="n"/>
      <c r="C70" s="176" t="n"/>
      <c r="D70" s="228" t="n"/>
      <c r="E70" s="176" t="n"/>
      <c r="F70" s="218" t="n"/>
      <c r="G70" s="218" t="n"/>
      <c r="H70" s="218" t="n"/>
      <c r="I70" s="218" t="n"/>
      <c r="J70" s="218" t="n"/>
      <c r="K70" s="218" t="n"/>
      <c r="L70" s="229" t="n"/>
      <c r="M70" s="229" t="n"/>
      <c r="N70" s="229" t="n"/>
      <c r="O70" s="229" t="n"/>
      <c r="P70" s="229" t="n"/>
      <c r="Q70" s="229" t="n"/>
      <c r="R70" s="229" t="n"/>
      <c r="S70" s="235" t="n"/>
      <c r="T70" s="235" t="n"/>
      <c r="U70" s="229" t="n"/>
      <c r="V70" s="113" t="n"/>
      <c r="W70" s="113" t="n"/>
      <c r="X70" s="113" t="n"/>
      <c r="Y70" s="227" t="n"/>
      <c r="Z70" s="227" t="n"/>
      <c r="AA70" s="227" t="n"/>
      <c r="AB70" s="81" t="n"/>
      <c r="AC70" s="180" t="n"/>
      <c r="AD70" s="180" t="n"/>
      <c r="AE70" s="99">
        <f>IF(COUNTA(B70,C70,D70,E70,F70,G70,H70,I70,J70,K70,L70,M70,N70,O70,P70,Q70,R70,S70,T70,U70,AC70,AD70)&gt;0,TEXTJOIN("；",TRUE,IF(B70="","缺少设备名称",""),IF(AND(ISTEXT(B70),OR(B70&lt;&gt;TRIM(B70),ISNUMBER(SEARCH("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",E70)))),"安装位置含首尾空格或全角空格",""),IF(F70="","缺少设备类别",""),IF(F70="","",IF(COUNTIF(EV_AXIAL_FAN_CATEGORY,F70)=0,"设备类别不在标准枚举中","")),IF(AND(ISTEXT(F70),OR(F70&lt;&gt;TRIM(F70),ISNUMBER(SEARCH("　",F70)))),"设备类别含首尾空格或全角空格",""),IF(G70="","缺少传动方式",""),IF(G70="","",IF(COUNTIF(EV_TRANSMISSION,G70)=0,"传动方式不在标准枚举中","")),IF(AND(ISTEXT(G70),OR(G70&lt;&gt;TRIM(G70),ISNUMBER(SEARCH("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",G70)))),"传动方式含首尾空格或全角空格",""),IF(H70="","缺少是否带进气箱",""),IF(H70="","",IF(COUNTIF(EV_YES_NO,H70)=0,"是否带进气箱不在标准枚举中","")),IF(AND(ISTEXT(H70),OR(H70&lt;&gt;TRIM(H70),ISNUMBER(SEARCH("　",H70)))),"是否带进气箱含首尾空格或全角空格",""),IF(I70="","缺少是否带扩散筒",""),IF(I70="","",IF(COUNTIF(EV_YES_NO,I70)=0,"是否带扩散筒不在标准枚举中","")),IF(AND(ISTEXT(I70),OR(I70&lt;&gt;TRIM(I70),ISNUMBER(SEARCH("　",I70)))),"是否带扩散筒含首尾空格或全角空格",""),IF(J70="","缺少是否动叶可调",""),IF(J70="","",IF(COUNTIF(EV_YES_NO,J70)=0,"是否动叶可调不在标准枚举中","")),IF(AND(ISTEXT(J70),OR(J70&lt;&gt;TRIM(J70),ISNUMBER(SEARCH("　",J70)))),"是否动叶可调含首尾空格或全角空格",""),IF(K70="","缺少是否可逆转",""),IF(K70="","",IF(COUNTIF(EV_YES_NO,K70)=0,"是否可逆转不在标准枚举中","")),IF(AND(ISTEXT(K70),OR(K70&lt;&gt;TRIM(K70),ISNUMBER(SEARCH("　",K70)))),"是否可逆转含首尾空格或全角空格",""),IF(L70="","缺少流量",""),IF(L70="","",IF(NOT(ISNUMBER(L70)),"流量应为数值",IF(L70&lt;=0,"流量应大于0",""))),IF(M70="","缺少风机压力pF",""),IF(M70="","",IF(NOT(ISNUMBER(M70)),"风机压力pF应为数值",IF(M70&lt;=0,"风机压力pF应大于0",""))),IF(N70="","缺少额定功率",""),IF(N70="","",IF(NOT(ISNUMBER(N70)),"额定功率应为数值",IF(N70&lt;=0,"额定功率应大于0",""))),IF(O70="","缺少叶轮功率",""),IF(O70="","",IF(NOT(ISNUMBER(O70)),"叶轮功率应为数值",IF(O70&lt;=0,"叶轮功率应大于0",""))),IF(P70="","缺少转速",""),IF(P70="","",IF(NOT(ISNUMBER(P70)),"转速应为数值",IF(P70&lt;=0,"转速应大于0",""))),IF(Q70="","缺少机号",""),IF(Q70="","",IF(NOT(ISNUMBER(Q70)),"机号应为数值",IF(Q70&lt;=0,"机号应大于0",""))),IF(R70="","缺少进口滞止密度",""),IF(R70="","",IF(NOT(ISNUMBER(R70)),"进口滞止密度应为数值",IF(R70&lt;=0,"进口滞止密度应大于0",""))),IF(S70="","缺少等熵指数k",""),IF(S70="","",IF(NOT(ISNUMBER(S70)),"等熵指数k应为数值",IF(OR(S70&lt;1,S70&gt;2),"等熵指数k应为1～2",""))),IF(T70="","缺少轮毂比",""),IF(T70="","",IF(NOT(ISNUMBER(T70)),"轮毂比应为数值",IF(OR(T70&lt;0,T70&gt;1),"轮毂比应为0～1",""))),IF(U70="","缺少最高通风机效率ηr",""),IF(U70="","",IF(NOT(ISNUMBER(U70)),"最高通风机效率ηr应为数值",IF(OR(U70&lt;1,U70&gt;100),"最高通风机效率ηr应为1～100的百分数本值",""))),IF(AC70="","缺少铭牌照片",""),IF(AND(ISTEXT(AD70),OR(AD70&lt;&gt;TRIM(AD70),ISNUMBER(SEARCH("　",AD70)))),"填表备注含首尾空格或全角空格",""),IF(AND(ISNUMBER(M70),M70&gt;30000),"风机压力超过30kPa，超出通风机标准范围",""),IF(AND(J70="是",H70="是"),"动叶可调特殊效率规则要求进口无进气箱",""),IF(AND(J70="是",I70="是"),"动叶可调特殊效率规则要求出口无扩散筒","")),"")</f>
        <v/>
      </c>
    </row>
    <row r="71" ht="42" customHeight="1" s="184">
      <c r="A71" s="224">
        <f>IF(COUNTA(B71,C71,D71,E71,F71,G71,H71,I71,J71,K71,L71,M71,N71,O71,P71,Q71,R71,S71,T71,U71,AC71,AD71)&gt;0,ROW()-3,"")</f>
        <v/>
      </c>
      <c r="B71" s="176" t="n"/>
      <c r="C71" s="176" t="n"/>
      <c r="D71" s="228" t="n"/>
      <c r="E71" s="176" t="n"/>
      <c r="F71" s="218" t="n"/>
      <c r="G71" s="218" t="n"/>
      <c r="H71" s="218" t="n"/>
      <c r="I71" s="218" t="n"/>
      <c r="J71" s="218" t="n"/>
      <c r="K71" s="218" t="n"/>
      <c r="L71" s="229" t="n"/>
      <c r="M71" s="229" t="n"/>
      <c r="N71" s="229" t="n"/>
      <c r="O71" s="229" t="n"/>
      <c r="P71" s="229" t="n"/>
      <c r="Q71" s="229" t="n"/>
      <c r="R71" s="229" t="n"/>
      <c r="S71" s="235" t="n"/>
      <c r="T71" s="235" t="n"/>
      <c r="U71" s="229" t="n"/>
      <c r="V71" s="113" t="n"/>
      <c r="W71" s="113" t="n"/>
      <c r="X71" s="113" t="n"/>
      <c r="Y71" s="227" t="n"/>
      <c r="Z71" s="227" t="n"/>
      <c r="AA71" s="227" t="n"/>
      <c r="AB71" s="81" t="n"/>
      <c r="AC71" s="180" t="n"/>
      <c r="AD71" s="180" t="n"/>
      <c r="AE71" s="99">
        <f>IF(COUNTA(B71,C71,D71,E71,F71,G71,H71,I71,J71,K71,L71,M71,N71,O71,P71,Q71,R71,S71,T71,U71,AC71,AD71)&gt;0,TEXTJOIN("；",TRUE,IF(B71="","缺少设备名称",""),IF(AND(ISTEXT(B71),OR(B71&lt;&gt;TRIM(B71),ISNUMBER(SEARCH("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",E71)))),"安装位置含首尾空格或全角空格",""),IF(F71="","缺少设备类别",""),IF(F71="","",IF(COUNTIF(EV_AXIAL_FAN_CATEGORY,F71)=0,"设备类别不在标准枚举中","")),IF(AND(ISTEXT(F71),OR(F71&lt;&gt;TRIM(F71),ISNUMBER(SEARCH("　",F71)))),"设备类别含首尾空格或全角空格",""),IF(G71="","缺少传动方式",""),IF(G71="","",IF(COUNTIF(EV_TRANSMISSION,G71)=0,"传动方式不在标准枚举中","")),IF(AND(ISTEXT(G71),OR(G71&lt;&gt;TRIM(G71),ISNUMBER(SEARCH("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",G71)))),"传动方式含首尾空格或全角空格",""),IF(H71="","缺少是否带进气箱",""),IF(H71="","",IF(COUNTIF(EV_YES_NO,H71)=0,"是否带进气箱不在标准枚举中","")),IF(AND(ISTEXT(H71),OR(H71&lt;&gt;TRIM(H71),ISNUMBER(SEARCH("　",H71)))),"是否带进气箱含首尾空格或全角空格",""),IF(I71="","缺少是否带扩散筒",""),IF(I71="","",IF(COUNTIF(EV_YES_NO,I71)=0,"是否带扩散筒不在标准枚举中","")),IF(AND(ISTEXT(I71),OR(I71&lt;&gt;TRIM(I71),ISNUMBER(SEARCH("　",I71)))),"是否带扩散筒含首尾空格或全角空格",""),IF(J71="","缺少是否动叶可调",""),IF(J71="","",IF(COUNTIF(EV_YES_NO,J71)=0,"是否动叶可调不在标准枚举中","")),IF(AND(ISTEXT(J71),OR(J71&lt;&gt;TRIM(J71),ISNUMBER(SEARCH("　",J71)))),"是否动叶可调含首尾空格或全角空格",""),IF(K71="","缺少是否可逆转",""),IF(K71="","",IF(COUNTIF(EV_YES_NO,K71)=0,"是否可逆转不在标准枚举中","")),IF(AND(ISTEXT(K71),OR(K71&lt;&gt;TRIM(K71),ISNUMBER(SEARCH("　",K71)))),"是否可逆转含首尾空格或全角空格",""),IF(L71="","缺少流量",""),IF(L71="","",IF(NOT(ISNUMBER(L71)),"流量应为数值",IF(L71&lt;=0,"流量应大于0",""))),IF(M71="","缺少风机压力pF",""),IF(M71="","",IF(NOT(ISNUMBER(M71)),"风机压力pF应为数值",IF(M71&lt;=0,"风机压力pF应大于0",""))),IF(N71="","缺少额定功率",""),IF(N71="","",IF(NOT(ISNUMBER(N71)),"额定功率应为数值",IF(N71&lt;=0,"额定功率应大于0",""))),IF(O71="","缺少叶轮功率",""),IF(O71="","",IF(NOT(ISNUMBER(O71)),"叶轮功率应为数值",IF(O71&lt;=0,"叶轮功率应大于0",""))),IF(P71="","缺少转速",""),IF(P71="","",IF(NOT(ISNUMBER(P71)),"转速应为数值",IF(P71&lt;=0,"转速应大于0",""))),IF(Q71="","缺少机号",""),IF(Q71="","",IF(NOT(ISNUMBER(Q71)),"机号应为数值",IF(Q71&lt;=0,"机号应大于0",""))),IF(R71="","缺少进口滞止密度",""),IF(R71="","",IF(NOT(ISNUMBER(R71)),"进口滞止密度应为数值",IF(R71&lt;=0,"进口滞止密度应大于0",""))),IF(S71="","缺少等熵指数k",""),IF(S71="","",IF(NOT(ISNUMBER(S71)),"等熵指数k应为数值",IF(OR(S71&lt;1,S71&gt;2),"等熵指数k应为1～2",""))),IF(T71="","缺少轮毂比",""),IF(T71="","",IF(NOT(ISNUMBER(T71)),"轮毂比应为数值",IF(OR(T71&lt;0,T71&gt;1),"轮毂比应为0～1",""))),IF(U71="","缺少最高通风机效率ηr",""),IF(U71="","",IF(NOT(ISNUMBER(U71)),"最高通风机效率ηr应为数值",IF(OR(U71&lt;1,U71&gt;100),"最高通风机效率ηr应为1～100的百分数本值",""))),IF(AC71="","缺少铭牌照片",""),IF(AND(ISTEXT(AD71),OR(AD71&lt;&gt;TRIM(AD71),ISNUMBER(SEARCH("　",AD71)))),"填表备注含首尾空格或全角空格",""),IF(AND(ISNUMBER(M71),M71&gt;30000),"风机压力超过30kPa，超出通风机标准范围",""),IF(AND(J71="是",H71="是"),"动叶可调特殊效率规则要求进口无进气箱",""),IF(AND(J71="是",I71="是"),"动叶可调特殊效率规则要求出口无扩散筒","")),"")</f>
        <v/>
      </c>
    </row>
    <row r="72" ht="42" customHeight="1" s="184">
      <c r="A72" s="224">
        <f>IF(COUNTA(B72,C72,D72,E72,F72,G72,H72,I72,J72,K72,L72,M72,N72,O72,P72,Q72,R72,S72,T72,U72,AC72,AD72)&gt;0,ROW()-3,"")</f>
        <v/>
      </c>
      <c r="B72" s="176" t="n"/>
      <c r="C72" s="176" t="n"/>
      <c r="D72" s="228" t="n"/>
      <c r="E72" s="176" t="n"/>
      <c r="F72" s="218" t="n"/>
      <c r="G72" s="218" t="n"/>
      <c r="H72" s="218" t="n"/>
      <c r="I72" s="218" t="n"/>
      <c r="J72" s="218" t="n"/>
      <c r="K72" s="218" t="n"/>
      <c r="L72" s="229" t="n"/>
      <c r="M72" s="229" t="n"/>
      <c r="N72" s="229" t="n"/>
      <c r="O72" s="229" t="n"/>
      <c r="P72" s="229" t="n"/>
      <c r="Q72" s="229" t="n"/>
      <c r="R72" s="229" t="n"/>
      <c r="S72" s="235" t="n"/>
      <c r="T72" s="235" t="n"/>
      <c r="U72" s="229" t="n"/>
      <c r="V72" s="113" t="n"/>
      <c r="W72" s="113" t="n"/>
      <c r="X72" s="113" t="n"/>
      <c r="Y72" s="227" t="n"/>
      <c r="Z72" s="227" t="n"/>
      <c r="AA72" s="227" t="n"/>
      <c r="AB72" s="81" t="n"/>
      <c r="AC72" s="180" t="n"/>
      <c r="AD72" s="180" t="n"/>
      <c r="AE72" s="99">
        <f>IF(COUNTA(B72,C72,D72,E72,F72,G72,H72,I72,J72,K72,L72,M72,N72,O72,P72,Q72,R72,S72,T72,U72,AC72,AD72)&gt;0,TEXTJOIN("；",TRUE,IF(B72="","缺少设备名称",""),IF(AND(ISTEXT(B72),OR(B72&lt;&gt;TRIM(B72),ISNUMBER(SEARCH("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",E72)))),"安装位置含首尾空格或全角空格",""),IF(F72="","缺少设备类别",""),IF(F72="","",IF(COUNTIF(EV_AXIAL_FAN_CATEGORY,F72)=0,"设备类别不在标准枚举中","")),IF(AND(ISTEXT(F72),OR(F72&lt;&gt;TRIM(F72),ISNUMBER(SEARCH("　",F72)))),"设备类别含首尾空格或全角空格",""),IF(G72="","缺少传动方式",""),IF(G72="","",IF(COUNTIF(EV_TRANSMISSION,G72)=0,"传动方式不在标准枚举中","")),IF(AND(ISTEXT(G72),OR(G72&lt;&gt;TRIM(G72),ISNUMBER(SEARCH("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",G72)))),"传动方式含首尾空格或全角空格",""),IF(H72="","缺少是否带进气箱",""),IF(H72="","",IF(COUNTIF(EV_YES_NO,H72)=0,"是否带进气箱不在标准枚举中","")),IF(AND(ISTEXT(H72),OR(H72&lt;&gt;TRIM(H72),ISNUMBER(SEARCH("　",H72)))),"是否带进气箱含首尾空格或全角空格",""),IF(I72="","缺少是否带扩散筒",""),IF(I72="","",IF(COUNTIF(EV_YES_NO,I72)=0,"是否带扩散筒不在标准枚举中","")),IF(AND(ISTEXT(I72),OR(I72&lt;&gt;TRIM(I72),ISNUMBER(SEARCH("　",I72)))),"是否带扩散筒含首尾空格或全角空格",""),IF(J72="","缺少是否动叶可调",""),IF(J72="","",IF(COUNTIF(EV_YES_NO,J72)=0,"是否动叶可调不在标准枚举中","")),IF(AND(ISTEXT(J72),OR(J72&lt;&gt;TRIM(J72),ISNUMBER(SEARCH("　",J72)))),"是否动叶可调含首尾空格或全角空格",""),IF(K72="","缺少是否可逆转",""),IF(K72="","",IF(COUNTIF(EV_YES_NO,K72)=0,"是否可逆转不在标准枚举中","")),IF(AND(ISTEXT(K72),OR(K72&lt;&gt;TRIM(K72),ISNUMBER(SEARCH("　",K72)))),"是否可逆转含首尾空格或全角空格",""),IF(L72="","缺少流量",""),IF(L72="","",IF(NOT(ISNUMBER(L72)),"流量应为数值",IF(L72&lt;=0,"流量应大于0",""))),IF(M72="","缺少风机压力pF",""),IF(M72="","",IF(NOT(ISNUMBER(M72)),"风机压力pF应为数值",IF(M72&lt;=0,"风机压力pF应大于0",""))),IF(N72="","缺少额定功率",""),IF(N72="","",IF(NOT(ISNUMBER(N72)),"额定功率应为数值",IF(N72&lt;=0,"额定功率应大于0",""))),IF(O72="","缺少叶轮功率",""),IF(O72="","",IF(NOT(ISNUMBER(O72)),"叶轮功率应为数值",IF(O72&lt;=0,"叶轮功率应大于0",""))),IF(P72="","缺少转速",""),IF(P72="","",IF(NOT(ISNUMBER(P72)),"转速应为数值",IF(P72&lt;=0,"转速应大于0",""))),IF(Q72="","缺少机号",""),IF(Q72="","",IF(NOT(ISNUMBER(Q72)),"机号应为数值",IF(Q72&lt;=0,"机号应大于0",""))),IF(R72="","缺少进口滞止密度",""),IF(R72="","",IF(NOT(ISNUMBER(R72)),"进口滞止密度应为数值",IF(R72&lt;=0,"进口滞止密度应大于0",""))),IF(S72="","缺少等熵指数k",""),IF(S72="","",IF(NOT(ISNUMBER(S72)),"等熵指数k应为数值",IF(OR(S72&lt;1,S72&gt;2),"等熵指数k应为1～2",""))),IF(T72="","缺少轮毂比",""),IF(T72="","",IF(NOT(ISNUMBER(T72)),"轮毂比应为数值",IF(OR(T72&lt;0,T72&gt;1),"轮毂比应为0～1",""))),IF(U72="","缺少最高通风机效率ηr",""),IF(U72="","",IF(NOT(ISNUMBER(U72)),"最高通风机效率ηr应为数值",IF(OR(U72&lt;1,U72&gt;100),"最高通风机效率ηr应为1～100的百分数本值",""))),IF(AC72="","缺少铭牌照片",""),IF(AND(ISTEXT(AD72),OR(AD72&lt;&gt;TRIM(AD72),ISNUMBER(SEARCH("　",AD72)))),"填表备注含首尾空格或全角空格",""),IF(AND(ISNUMBER(M72),M72&gt;30000),"风机压力超过30kPa，超出通风机标准范围",""),IF(AND(J72="是",H72="是"),"动叶可调特殊效率规则要求进口无进气箱",""),IF(AND(J72="是",I72="是"),"动叶可调特殊效率规则要求出口无扩散筒","")),"")</f>
        <v/>
      </c>
    </row>
    <row r="73" ht="42" customHeight="1" s="184">
      <c r="A73" s="224">
        <f>IF(COUNTA(B73,C73,D73,E73,F73,G73,H73,I73,J73,K73,L73,M73,N73,O73,P73,Q73,R73,S73,T73,U73,AC73,AD73)&gt;0,ROW()-3,"")</f>
        <v/>
      </c>
      <c r="B73" s="176" t="n"/>
      <c r="C73" s="176" t="n"/>
      <c r="D73" s="228" t="n"/>
      <c r="E73" s="176" t="n"/>
      <c r="F73" s="218" t="n"/>
      <c r="G73" s="218" t="n"/>
      <c r="H73" s="218" t="n"/>
      <c r="I73" s="218" t="n"/>
      <c r="J73" s="218" t="n"/>
      <c r="K73" s="218" t="n"/>
      <c r="L73" s="229" t="n"/>
      <c r="M73" s="229" t="n"/>
      <c r="N73" s="229" t="n"/>
      <c r="O73" s="229" t="n"/>
      <c r="P73" s="229" t="n"/>
      <c r="Q73" s="229" t="n"/>
      <c r="R73" s="229" t="n"/>
      <c r="S73" s="235" t="n"/>
      <c r="T73" s="235" t="n"/>
      <c r="U73" s="229" t="n"/>
      <c r="V73" s="113" t="n"/>
      <c r="W73" s="113" t="n"/>
      <c r="X73" s="113" t="n"/>
      <c r="Y73" s="227" t="n"/>
      <c r="Z73" s="227" t="n"/>
      <c r="AA73" s="227" t="n"/>
      <c r="AB73" s="81" t="n"/>
      <c r="AC73" s="180" t="n"/>
      <c r="AD73" s="180" t="n"/>
      <c r="AE73" s="99">
        <f>IF(COUNTA(B73,C73,D73,E73,F73,G73,H73,I73,J73,K73,L73,M73,N73,O73,P73,Q73,R73,S73,T73,U73,AC73,AD73)&gt;0,TEXTJOIN("；",TRUE,IF(B73="","缺少设备名称",""),IF(AND(ISTEXT(B73),OR(B73&lt;&gt;TRIM(B73),ISNUMBER(SEARCH("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",E73)))),"安装位置含首尾空格或全角空格",""),IF(F73="","缺少设备类别",""),IF(F73="","",IF(COUNTIF(EV_AXIAL_FAN_CATEGORY,F73)=0,"设备类别不在标准枚举中","")),IF(AND(ISTEXT(F73),OR(F73&lt;&gt;TRIM(F73),ISNUMBER(SEARCH("　",F73)))),"设备类别含首尾空格或全角空格",""),IF(G73="","缺少传动方式",""),IF(G73="","",IF(COUNTIF(EV_TRANSMISSION,G73)=0,"传动方式不在标准枚举中","")),IF(AND(ISTEXT(G73),OR(G73&lt;&gt;TRIM(G73),ISNUMBER(SEARCH("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",G73)))),"传动方式含首尾空格或全角空格",""),IF(H73="","缺少是否带进气箱",""),IF(H73="","",IF(COUNTIF(EV_YES_NO,H73)=0,"是否带进气箱不在标准枚举中","")),IF(AND(ISTEXT(H73),OR(H73&lt;&gt;TRIM(H73),ISNUMBER(SEARCH("　",H73)))),"是否带进气箱含首尾空格或全角空格",""),IF(I73="","缺少是否带扩散筒",""),IF(I73="","",IF(COUNTIF(EV_YES_NO,I73)=0,"是否带扩散筒不在标准枚举中","")),IF(AND(ISTEXT(I73),OR(I73&lt;&gt;TRIM(I73),ISNUMBER(SEARCH("　",I73)))),"是否带扩散筒含首尾空格或全角空格",""),IF(J73="","缺少是否动叶可调",""),IF(J73="","",IF(COUNTIF(EV_YES_NO,J73)=0,"是否动叶可调不在标准枚举中","")),IF(AND(ISTEXT(J73),OR(J73&lt;&gt;TRIM(J73),ISNUMBER(SEARCH("　",J73)))),"是否动叶可调含首尾空格或全角空格",""),IF(K73="","缺少是否可逆转",""),IF(K73="","",IF(COUNTIF(EV_YES_NO,K73)=0,"是否可逆转不在标准枚举中","")),IF(AND(ISTEXT(K73),OR(K73&lt;&gt;TRIM(K73),ISNUMBER(SEARCH("　",K73)))),"是否可逆转含首尾空格或全角空格",""),IF(L73="","缺少流量",""),IF(L73="","",IF(NOT(ISNUMBER(L73)),"流量应为数值",IF(L73&lt;=0,"流量应大于0",""))),IF(M73="","缺少风机压力pF",""),IF(M73="","",IF(NOT(ISNUMBER(M73)),"风机压力pF应为数值",IF(M73&lt;=0,"风机压力pF应大于0",""))),IF(N73="","缺少额定功率",""),IF(N73="","",IF(NOT(ISNUMBER(N73)),"额定功率应为数值",IF(N73&lt;=0,"额定功率应大于0",""))),IF(O73="","缺少叶轮功率",""),IF(O73="","",IF(NOT(ISNUMBER(O73)),"叶轮功率应为数值",IF(O73&lt;=0,"叶轮功率应大于0",""))),IF(P73="","缺少转速",""),IF(P73="","",IF(NOT(ISNUMBER(P73)),"转速应为数值",IF(P73&lt;=0,"转速应大于0",""))),IF(Q73="","缺少机号",""),IF(Q73="","",IF(NOT(ISNUMBER(Q73)),"机号应为数值",IF(Q73&lt;=0,"机号应大于0",""))),IF(R73="","缺少进口滞止密度",""),IF(R73="","",IF(NOT(ISNUMBER(R73)),"进口滞止密度应为数值",IF(R73&lt;=0,"进口滞止密度应大于0",""))),IF(S73="","缺少等熵指数k",""),IF(S73="","",IF(NOT(ISNUMBER(S73)),"等熵指数k应为数值",IF(OR(S73&lt;1,S73&gt;2),"等熵指数k应为1～2",""))),IF(T73="","缺少轮毂比",""),IF(T73="","",IF(NOT(ISNUMBER(T73)),"轮毂比应为数值",IF(OR(T73&lt;0,T73&gt;1),"轮毂比应为0～1",""))),IF(U73="","缺少最高通风机效率ηr",""),IF(U73="","",IF(NOT(ISNUMBER(U73)),"最高通风机效率ηr应为数值",IF(OR(U73&lt;1,U73&gt;100),"最高通风机效率ηr应为1～100的百分数本值",""))),IF(AC73="","缺少铭牌照片",""),IF(AND(ISTEXT(AD73),OR(AD73&lt;&gt;TRIM(AD73),ISNUMBER(SEARCH("　",AD73)))),"填表备注含首尾空格或全角空格",""),IF(AND(ISNUMBER(M73),M73&gt;30000),"风机压力超过30kPa，超出通风机标准范围",""),IF(AND(J73="是",H73="是"),"动叶可调特殊效率规则要求进口无进气箱",""),IF(AND(J73="是",I73="是"),"动叶可调特殊效率规则要求出口无扩散筒","")),"")</f>
        <v/>
      </c>
    </row>
    <row r="74" ht="42" customHeight="1" s="184">
      <c r="A74" s="224">
        <f>IF(COUNTA(B74,C74,D74,E74,F74,G74,H74,I74,J74,K74,L74,M74,N74,O74,P74,Q74,R74,S74,T74,U74,AC74,AD74)&gt;0,ROW()-3,"")</f>
        <v/>
      </c>
      <c r="B74" s="176" t="n"/>
      <c r="C74" s="176" t="n"/>
      <c r="D74" s="228" t="n"/>
      <c r="E74" s="176" t="n"/>
      <c r="F74" s="218" t="n"/>
      <c r="G74" s="218" t="n"/>
      <c r="H74" s="218" t="n"/>
      <c r="I74" s="218" t="n"/>
      <c r="J74" s="218" t="n"/>
      <c r="K74" s="218" t="n"/>
      <c r="L74" s="229" t="n"/>
      <c r="M74" s="229" t="n"/>
      <c r="N74" s="229" t="n"/>
      <c r="O74" s="229" t="n"/>
      <c r="P74" s="229" t="n"/>
      <c r="Q74" s="229" t="n"/>
      <c r="R74" s="229" t="n"/>
      <c r="S74" s="235" t="n"/>
      <c r="T74" s="235" t="n"/>
      <c r="U74" s="229" t="n"/>
      <c r="V74" s="113" t="n"/>
      <c r="W74" s="113" t="n"/>
      <c r="X74" s="113" t="n"/>
      <c r="Y74" s="227" t="n"/>
      <c r="Z74" s="227" t="n"/>
      <c r="AA74" s="227" t="n"/>
      <c r="AB74" s="81" t="n"/>
      <c r="AC74" s="180" t="n"/>
      <c r="AD74" s="180" t="n"/>
      <c r="AE74" s="99">
        <f>IF(COUNTA(B74,C74,D74,E74,F74,G74,H74,I74,J74,K74,L74,M74,N74,O74,P74,Q74,R74,S74,T74,U74,AC74,AD74)&gt;0,TEXTJOIN("；",TRUE,IF(B74="","缺少设备名称",""),IF(AND(ISTEXT(B74),OR(B74&lt;&gt;TRIM(B74),ISNUMBER(SEARCH("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",E74)))),"安装位置含首尾空格或全角空格",""),IF(F74="","缺少设备类别",""),IF(F74="","",IF(COUNTIF(EV_AXIAL_FAN_CATEGORY,F74)=0,"设备类别不在标准枚举中","")),IF(AND(ISTEXT(F74),OR(F74&lt;&gt;TRIM(F74),ISNUMBER(SEARCH("　",F74)))),"设备类别含首尾空格或全角空格",""),IF(G74="","缺少传动方式",""),IF(G74="","",IF(COUNTIF(EV_TRANSMISSION,G74)=0,"传动方式不在标准枚举中","")),IF(AND(ISTEXT(G74),OR(G74&lt;&gt;TRIM(G74),ISNUMBER(SEARCH("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",G74)))),"传动方式含首尾空格或全角空格",""),IF(H74="","缺少是否带进气箱",""),IF(H74="","",IF(COUNTIF(EV_YES_NO,H74)=0,"是否带进气箱不在标准枚举中","")),IF(AND(ISTEXT(H74),OR(H74&lt;&gt;TRIM(H74),ISNUMBER(SEARCH("　",H74)))),"是否带进气箱含首尾空格或全角空格",""),IF(I74="","缺少是否带扩散筒",""),IF(I74="","",IF(COUNTIF(EV_YES_NO,I74)=0,"是否带扩散筒不在标准枚举中","")),IF(AND(ISTEXT(I74),OR(I74&lt;&gt;TRIM(I74),ISNUMBER(SEARCH("　",I74)))),"是否带扩散筒含首尾空格或全角空格",""),IF(J74="","缺少是否动叶可调",""),IF(J74="","",IF(COUNTIF(EV_YES_NO,J74)=0,"是否动叶可调不在标准枚举中","")),IF(AND(ISTEXT(J74),OR(J74&lt;&gt;TRIM(J74),ISNUMBER(SEARCH("　",J74)))),"是否动叶可调含首尾空格或全角空格",""),IF(K74="","缺少是否可逆转",""),IF(K74="","",IF(COUNTIF(EV_YES_NO,K74)=0,"是否可逆转不在标准枚举中","")),IF(AND(ISTEXT(K74),OR(K74&lt;&gt;TRIM(K74),ISNUMBER(SEARCH("　",K74)))),"是否可逆转含首尾空格或全角空格",""),IF(L74="","缺少流量",""),IF(L74="","",IF(NOT(ISNUMBER(L74)),"流量应为数值",IF(L74&lt;=0,"流量应大于0",""))),IF(M74="","缺少风机压力pF",""),IF(M74="","",IF(NOT(ISNUMBER(M74)),"风机压力pF应为数值",IF(M74&lt;=0,"风机压力pF应大于0",""))),IF(N74="","缺少额定功率",""),IF(N74="","",IF(NOT(ISNUMBER(N74)),"额定功率应为数值",IF(N74&lt;=0,"额定功率应大于0",""))),IF(O74="","缺少叶轮功率",""),IF(O74="","",IF(NOT(ISNUMBER(O74)),"叶轮功率应为数值",IF(O74&lt;=0,"叶轮功率应大于0",""))),IF(P74="","缺少转速",""),IF(P74="","",IF(NOT(ISNUMBER(P74)),"转速应为数值",IF(P74&lt;=0,"转速应大于0",""))),IF(Q74="","缺少机号",""),IF(Q74="","",IF(NOT(ISNUMBER(Q74)),"机号应为数值",IF(Q74&lt;=0,"机号应大于0",""))),IF(R74="","缺少进口滞止密度",""),IF(R74="","",IF(NOT(ISNUMBER(R74)),"进口滞止密度应为数值",IF(R74&lt;=0,"进口滞止密度应大于0",""))),IF(S74="","缺少等熵指数k",""),IF(S74="","",IF(NOT(ISNUMBER(S74)),"等熵指数k应为数值",IF(OR(S74&lt;1,S74&gt;2),"等熵指数k应为1～2",""))),IF(T74="","缺少轮毂比",""),IF(T74="","",IF(NOT(ISNUMBER(T74)),"轮毂比应为数值",IF(OR(T74&lt;0,T74&gt;1),"轮毂比应为0～1",""))),IF(U74="","缺少最高通风机效率ηr",""),IF(U74="","",IF(NOT(ISNUMBER(U74)),"最高通风机效率ηr应为数值",IF(OR(U74&lt;1,U74&gt;100),"最高通风机效率ηr应为1～100的百分数本值",""))),IF(AC74="","缺少铭牌照片",""),IF(AND(ISTEXT(AD74),OR(AD74&lt;&gt;TRIM(AD74),ISNUMBER(SEARCH("　",AD74)))),"填表备注含首尾空格或全角空格",""),IF(AND(ISNUMBER(M74),M74&gt;30000),"风机压力超过30kPa，超出通风机标准范围",""),IF(AND(J74="是",H74="是"),"动叶可调特殊效率规则要求进口无进气箱",""),IF(AND(J74="是",I74="是"),"动叶可调特殊效率规则要求出口无扩散筒","")),"")</f>
        <v/>
      </c>
    </row>
    <row r="75" ht="42" customHeight="1" s="184">
      <c r="A75" s="224">
        <f>IF(COUNTA(B75,C75,D75,E75,F75,G75,H75,I75,J75,K75,L75,M75,N75,O75,P75,Q75,R75,S75,T75,U75,AC75,AD75)&gt;0,ROW()-3,"")</f>
        <v/>
      </c>
      <c r="B75" s="176" t="n"/>
      <c r="C75" s="176" t="n"/>
      <c r="D75" s="228" t="n"/>
      <c r="E75" s="176" t="n"/>
      <c r="F75" s="218" t="n"/>
      <c r="G75" s="218" t="n"/>
      <c r="H75" s="218" t="n"/>
      <c r="I75" s="218" t="n"/>
      <c r="J75" s="218" t="n"/>
      <c r="K75" s="218" t="n"/>
      <c r="L75" s="229" t="n"/>
      <c r="M75" s="229" t="n"/>
      <c r="N75" s="229" t="n"/>
      <c r="O75" s="229" t="n"/>
      <c r="P75" s="229" t="n"/>
      <c r="Q75" s="229" t="n"/>
      <c r="R75" s="229" t="n"/>
      <c r="S75" s="235" t="n"/>
      <c r="T75" s="235" t="n"/>
      <c r="U75" s="229" t="n"/>
      <c r="V75" s="113" t="n"/>
      <c r="W75" s="113" t="n"/>
      <c r="X75" s="113" t="n"/>
      <c r="Y75" s="227" t="n"/>
      <c r="Z75" s="227" t="n"/>
      <c r="AA75" s="227" t="n"/>
      <c r="AB75" s="81" t="n"/>
      <c r="AC75" s="180" t="n"/>
      <c r="AD75" s="180" t="n"/>
      <c r="AE75" s="99">
        <f>IF(COUNTA(B75,C75,D75,E75,F75,G75,H75,I75,J75,K75,L75,M75,N75,O75,P75,Q75,R75,S75,T75,U75,AC75,AD75)&gt;0,TEXTJOIN("；",TRUE,IF(B75="","缺少设备名称",""),IF(AND(ISTEXT(B75),OR(B75&lt;&gt;TRIM(B75),ISNUMBER(SEARCH("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",E75)))),"安装位置含首尾空格或全角空格",""),IF(F75="","缺少设备类别",""),IF(F75="","",IF(COUNTIF(EV_AXIAL_FAN_CATEGORY,F75)=0,"设备类别不在标准枚举中","")),IF(AND(ISTEXT(F75),OR(F75&lt;&gt;TRIM(F75),ISNUMBER(SEARCH("　",F75)))),"设备类别含首尾空格或全角空格",""),IF(G75="","缺少传动方式",""),IF(G75="","",IF(COUNTIF(EV_TRANSMISSION,G75)=0,"传动方式不在标准枚举中","")),IF(AND(ISTEXT(G75),OR(G75&lt;&gt;TRIM(G75),ISNUMBER(SEARCH("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",G75)))),"传动方式含首尾空格或全角空格",""),IF(H75="","缺少是否带进气箱",""),IF(H75="","",IF(COUNTIF(EV_YES_NO,H75)=0,"是否带进气箱不在标准枚举中","")),IF(AND(ISTEXT(H75),OR(H75&lt;&gt;TRIM(H75),ISNUMBER(SEARCH("　",H75)))),"是否带进气箱含首尾空格或全角空格",""),IF(I75="","缺少是否带扩散筒",""),IF(I75="","",IF(COUNTIF(EV_YES_NO,I75)=0,"是否带扩散筒不在标准枚举中","")),IF(AND(ISTEXT(I75),OR(I75&lt;&gt;TRIM(I75),ISNUMBER(SEARCH("　",I75)))),"是否带扩散筒含首尾空格或全角空格",""),IF(J75="","缺少是否动叶可调",""),IF(J75="","",IF(COUNTIF(EV_YES_NO,J75)=0,"是否动叶可调不在标准枚举中","")),IF(AND(ISTEXT(J75),OR(J75&lt;&gt;TRIM(J75),ISNUMBER(SEARCH("　",J75)))),"是否动叶可调含首尾空格或全角空格",""),IF(K75="","缺少是否可逆转",""),IF(K75="","",IF(COUNTIF(EV_YES_NO,K75)=0,"是否可逆转不在标准枚举中","")),IF(AND(ISTEXT(K75),OR(K75&lt;&gt;TRIM(K75),ISNUMBER(SEARCH("　",K75)))),"是否可逆转含首尾空格或全角空格",""),IF(L75="","缺少流量",""),IF(L75="","",IF(NOT(ISNUMBER(L75)),"流量应为数值",IF(L75&lt;=0,"流量应大于0",""))),IF(M75="","缺少风机压力pF",""),IF(M75="","",IF(NOT(ISNUMBER(M75)),"风机压力pF应为数值",IF(M75&lt;=0,"风机压力pF应大于0",""))),IF(N75="","缺少额定功率",""),IF(N75="","",IF(NOT(ISNUMBER(N75)),"额定功率应为数值",IF(N75&lt;=0,"额定功率应大于0",""))),IF(O75="","缺少叶轮功率",""),IF(O75="","",IF(NOT(ISNUMBER(O75)),"叶轮功率应为数值",IF(O75&lt;=0,"叶轮功率应大于0",""))),IF(P75="","缺少转速",""),IF(P75="","",IF(NOT(ISNUMBER(P75)),"转速应为数值",IF(P75&lt;=0,"转速应大于0",""))),IF(Q75="","缺少机号",""),IF(Q75="","",IF(NOT(ISNUMBER(Q75)),"机号应为数值",IF(Q75&lt;=0,"机号应大于0",""))),IF(R75="","缺少进口滞止密度",""),IF(R75="","",IF(NOT(ISNUMBER(R75)),"进口滞止密度应为数值",IF(R75&lt;=0,"进口滞止密度应大于0",""))),IF(S75="","缺少等熵指数k",""),IF(S75="","",IF(NOT(ISNUMBER(S75)),"等熵指数k应为数值",IF(OR(S75&lt;1,S75&gt;2),"等熵指数k应为1～2",""))),IF(T75="","缺少轮毂比",""),IF(T75="","",IF(NOT(ISNUMBER(T75)),"轮毂比应为数值",IF(OR(T75&lt;0,T75&gt;1),"轮毂比应为0～1",""))),IF(U75="","缺少最高通风机效率ηr",""),IF(U75="","",IF(NOT(ISNUMBER(U75)),"最高通风机效率ηr应为数值",IF(OR(U75&lt;1,U75&gt;100),"最高通风机效率ηr应为1～100的百分数本值",""))),IF(AC75="","缺少铭牌照片",""),IF(AND(ISTEXT(AD75),OR(AD75&lt;&gt;TRIM(AD75),ISNUMBER(SEARCH("　",AD75)))),"填表备注含首尾空格或全角空格",""),IF(AND(ISNUMBER(M75),M75&gt;30000),"风机压力超过30kPa，超出通风机标准范围",""),IF(AND(J75="是",H75="是"),"动叶可调特殊效率规则要求进口无进气箱",""),IF(AND(J75="是",I75="是"),"动叶可调特殊效率规则要求出口无扩散筒","")),"")</f>
        <v/>
      </c>
    </row>
    <row r="76" ht="42" customHeight="1" s="184">
      <c r="A76" s="224">
        <f>IF(COUNTA(B76,C76,D76,E76,F76,G76,H76,I76,J76,K76,L76,M76,N76,O76,P76,Q76,R76,S76,T76,U76,AC76,AD76)&gt;0,ROW()-3,"")</f>
        <v/>
      </c>
      <c r="B76" s="176" t="n"/>
      <c r="C76" s="176" t="n"/>
      <c r="D76" s="228" t="n"/>
      <c r="E76" s="176" t="n"/>
      <c r="F76" s="218" t="n"/>
      <c r="G76" s="218" t="n"/>
      <c r="H76" s="218" t="n"/>
      <c r="I76" s="218" t="n"/>
      <c r="J76" s="218" t="n"/>
      <c r="K76" s="218" t="n"/>
      <c r="L76" s="229" t="n"/>
      <c r="M76" s="229" t="n"/>
      <c r="N76" s="229" t="n"/>
      <c r="O76" s="229" t="n"/>
      <c r="P76" s="229" t="n"/>
      <c r="Q76" s="229" t="n"/>
      <c r="R76" s="229" t="n"/>
      <c r="S76" s="235" t="n"/>
      <c r="T76" s="235" t="n"/>
      <c r="U76" s="229" t="n"/>
      <c r="V76" s="113" t="n"/>
      <c r="W76" s="113" t="n"/>
      <c r="X76" s="113" t="n"/>
      <c r="Y76" s="227" t="n"/>
      <c r="Z76" s="227" t="n"/>
      <c r="AA76" s="227" t="n"/>
      <c r="AB76" s="81" t="n"/>
      <c r="AC76" s="180" t="n"/>
      <c r="AD76" s="180" t="n"/>
      <c r="AE76" s="99">
        <f>IF(COUNTA(B76,C76,D76,E76,F76,G76,H76,I76,J76,K76,L76,M76,N76,O76,P76,Q76,R76,S76,T76,U76,AC76,AD76)&gt;0,TEXTJOIN("；",TRUE,IF(B76="","缺少设备名称",""),IF(AND(ISTEXT(B76),OR(B76&lt;&gt;TRIM(B76),ISNUMBER(SEARCH("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",E76)))),"安装位置含首尾空格或全角空格",""),IF(F76="","缺少设备类别",""),IF(F76="","",IF(COUNTIF(EV_AXIAL_FAN_CATEGORY,F76)=0,"设备类别不在标准枚举中","")),IF(AND(ISTEXT(F76),OR(F76&lt;&gt;TRIM(F76),ISNUMBER(SEARCH("　",F76)))),"设备类别含首尾空格或全角空格",""),IF(G76="","缺少传动方式",""),IF(G76="","",IF(COUNTIF(EV_TRANSMISSION,G76)=0,"传动方式不在标准枚举中","")),IF(AND(ISTEXT(G76),OR(G76&lt;&gt;TRIM(G76),ISNUMBER(SEARCH("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",G76)))),"传动方式含首尾空格或全角空格",""),IF(H76="","缺少是否带进气箱",""),IF(H76="","",IF(COUNTIF(EV_YES_NO,H76)=0,"是否带进气箱不在标准枚举中","")),IF(AND(ISTEXT(H76),OR(H76&lt;&gt;TRIM(H76),ISNUMBER(SEARCH("　",H76)))),"是否带进气箱含首尾空格或全角空格",""),IF(I76="","缺少是否带扩散筒",""),IF(I76="","",IF(COUNTIF(EV_YES_NO,I76)=0,"是否带扩散筒不在标准枚举中","")),IF(AND(ISTEXT(I76),OR(I76&lt;&gt;TRIM(I76),ISNUMBER(SEARCH("　",I76)))),"是否带扩散筒含首尾空格或全角空格",""),IF(J76="","缺少是否动叶可调",""),IF(J76="","",IF(COUNTIF(EV_YES_NO,J76)=0,"是否动叶可调不在标准枚举中","")),IF(AND(ISTEXT(J76),OR(J76&lt;&gt;TRIM(J76),ISNUMBER(SEARCH("　",J76)))),"是否动叶可调含首尾空格或全角空格",""),IF(K76="","缺少是否可逆转",""),IF(K76="","",IF(COUNTIF(EV_YES_NO,K76)=0,"是否可逆转不在标准枚举中","")),IF(AND(ISTEXT(K76),OR(K76&lt;&gt;TRIM(K76),ISNUMBER(SEARCH("　",K76)))),"是否可逆转含首尾空格或全角空格",""),IF(L76="","缺少流量",""),IF(L76="","",IF(NOT(ISNUMBER(L76)),"流量应为数值",IF(L76&lt;=0,"流量应大于0",""))),IF(M76="","缺少风机压力pF",""),IF(M76="","",IF(NOT(ISNUMBER(M76)),"风机压力pF应为数值",IF(M76&lt;=0,"风机压力pF应大于0",""))),IF(N76="","缺少额定功率",""),IF(N76="","",IF(NOT(ISNUMBER(N76)),"额定功率应为数值",IF(N76&lt;=0,"额定功率应大于0",""))),IF(O76="","缺少叶轮功率",""),IF(O76="","",IF(NOT(ISNUMBER(O76)),"叶轮功率应为数值",IF(O76&lt;=0,"叶轮功率应大于0",""))),IF(P76="","缺少转速",""),IF(P76="","",IF(NOT(ISNUMBER(P76)),"转速应为数值",IF(P76&lt;=0,"转速应大于0",""))),IF(Q76="","缺少机号",""),IF(Q76="","",IF(NOT(ISNUMBER(Q76)),"机号应为数值",IF(Q76&lt;=0,"机号应大于0",""))),IF(R76="","缺少进口滞止密度",""),IF(R76="","",IF(NOT(ISNUMBER(R76)),"进口滞止密度应为数值",IF(R76&lt;=0,"进口滞止密度应大于0",""))),IF(S76="","缺少等熵指数k",""),IF(S76="","",IF(NOT(ISNUMBER(S76)),"等熵指数k应为数值",IF(OR(S76&lt;1,S76&gt;2),"等熵指数k应为1～2",""))),IF(T76="","缺少轮毂比",""),IF(T76="","",IF(NOT(ISNUMBER(T76)),"轮毂比应为数值",IF(OR(T76&lt;0,T76&gt;1),"轮毂比应为0～1",""))),IF(U76="","缺少最高通风机效率ηr",""),IF(U76="","",IF(NOT(ISNUMBER(U76)),"最高通风机效率ηr应为数值",IF(OR(U76&lt;1,U76&gt;100),"最高通风机效率ηr应为1～100的百分数本值",""))),IF(AC76="","缺少铭牌照片",""),IF(AND(ISTEXT(AD76),OR(AD76&lt;&gt;TRIM(AD76),ISNUMBER(SEARCH("　",AD76)))),"填表备注含首尾空格或全角空格",""),IF(AND(ISNUMBER(M76),M76&gt;30000),"风机压力超过30kPa，超出通风机标准范围",""),IF(AND(J76="是",H76="是"),"动叶可调特殊效率规则要求进口无进气箱",""),IF(AND(J76="是",I76="是"),"动叶可调特殊效率规则要求出口无扩散筒","")),"")</f>
        <v/>
      </c>
    </row>
    <row r="77" ht="42" customHeight="1" s="184">
      <c r="A77" s="224">
        <f>IF(COUNTA(B77,C77,D77,E77,F77,G77,H77,I77,J77,K77,L77,M77,N77,O77,P77,Q77,R77,S77,T77,U77,AC77,AD77)&gt;0,ROW()-3,"")</f>
        <v/>
      </c>
      <c r="B77" s="176" t="n"/>
      <c r="C77" s="176" t="n"/>
      <c r="D77" s="228" t="n"/>
      <c r="E77" s="176" t="n"/>
      <c r="F77" s="218" t="n"/>
      <c r="G77" s="218" t="n"/>
      <c r="H77" s="218" t="n"/>
      <c r="I77" s="218" t="n"/>
      <c r="J77" s="218" t="n"/>
      <c r="K77" s="218" t="n"/>
      <c r="L77" s="229" t="n"/>
      <c r="M77" s="229" t="n"/>
      <c r="N77" s="229" t="n"/>
      <c r="O77" s="229" t="n"/>
      <c r="P77" s="229" t="n"/>
      <c r="Q77" s="229" t="n"/>
      <c r="R77" s="229" t="n"/>
      <c r="S77" s="235" t="n"/>
      <c r="T77" s="235" t="n"/>
      <c r="U77" s="229" t="n"/>
      <c r="V77" s="113" t="n"/>
      <c r="W77" s="113" t="n"/>
      <c r="X77" s="113" t="n"/>
      <c r="Y77" s="227" t="n"/>
      <c r="Z77" s="227" t="n"/>
      <c r="AA77" s="227" t="n"/>
      <c r="AB77" s="81" t="n"/>
      <c r="AC77" s="180" t="n"/>
      <c r="AD77" s="180" t="n"/>
      <c r="AE77" s="99">
        <f>IF(COUNTA(B77,C77,D77,E77,F77,G77,H77,I77,J77,K77,L77,M77,N77,O77,P77,Q77,R77,S77,T77,U77,AC77,AD77)&gt;0,TEXTJOIN("；",TRUE,IF(B77="","缺少设备名称",""),IF(AND(ISTEXT(B77),OR(B77&lt;&gt;TRIM(B77),ISNUMBER(SEARCH("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",E77)))),"安装位置含首尾空格或全角空格",""),IF(F77="","缺少设备类别",""),IF(F77="","",IF(COUNTIF(EV_AXIAL_FAN_CATEGORY,F77)=0,"设备类别不在标准枚举中","")),IF(AND(ISTEXT(F77),OR(F77&lt;&gt;TRIM(F77),ISNUMBER(SEARCH("　",F77)))),"设备类别含首尾空格或全角空格",""),IF(G77="","缺少传动方式",""),IF(G77="","",IF(COUNTIF(EV_TRANSMISSION,G77)=0,"传动方式不在标准枚举中","")),IF(AND(ISTEXT(G77),OR(G77&lt;&gt;TRIM(G77),ISNUMBER(SEARCH("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",G77)))),"传动方式含首尾空格或全角空格",""),IF(H77="","缺少是否带进气箱",""),IF(H77="","",IF(COUNTIF(EV_YES_NO,H77)=0,"是否带进气箱不在标准枚举中","")),IF(AND(ISTEXT(H77),OR(H77&lt;&gt;TRIM(H77),ISNUMBER(SEARCH("　",H77)))),"是否带进气箱含首尾空格或全角空格",""),IF(I77="","缺少是否带扩散筒",""),IF(I77="","",IF(COUNTIF(EV_YES_NO,I77)=0,"是否带扩散筒不在标准枚举中","")),IF(AND(ISTEXT(I77),OR(I77&lt;&gt;TRIM(I77),ISNUMBER(SEARCH("　",I77)))),"是否带扩散筒含首尾空格或全角空格",""),IF(J77="","缺少是否动叶可调",""),IF(J77="","",IF(COUNTIF(EV_YES_NO,J77)=0,"是否动叶可调不在标准枚举中","")),IF(AND(ISTEXT(J77),OR(J77&lt;&gt;TRIM(J77),ISNUMBER(SEARCH("　",J77)))),"是否动叶可调含首尾空格或全角空格",""),IF(K77="","缺少是否可逆转",""),IF(K77="","",IF(COUNTIF(EV_YES_NO,K77)=0,"是否可逆转不在标准枚举中","")),IF(AND(ISTEXT(K77),OR(K77&lt;&gt;TRIM(K77),ISNUMBER(SEARCH("　",K77)))),"是否可逆转含首尾空格或全角空格",""),IF(L77="","缺少流量",""),IF(L77="","",IF(NOT(ISNUMBER(L77)),"流量应为数值",IF(L77&lt;=0,"流量应大于0",""))),IF(M77="","缺少风机压力pF",""),IF(M77="","",IF(NOT(ISNUMBER(M77)),"风机压力pF应为数值",IF(M77&lt;=0,"风机压力pF应大于0",""))),IF(N77="","缺少额定功率",""),IF(N77="","",IF(NOT(ISNUMBER(N77)),"额定功率应为数值",IF(N77&lt;=0,"额定功率应大于0",""))),IF(O77="","缺少叶轮功率",""),IF(O77="","",IF(NOT(ISNUMBER(O77)),"叶轮功率应为数值",IF(O77&lt;=0,"叶轮功率应大于0",""))),IF(P77="","缺少转速",""),IF(P77="","",IF(NOT(ISNUMBER(P77)),"转速应为数值",IF(P77&lt;=0,"转速应大于0",""))),IF(Q77="","缺少机号",""),IF(Q77="","",IF(NOT(ISNUMBER(Q77)),"机号应为数值",IF(Q77&lt;=0,"机号应大于0",""))),IF(R77="","缺少进口滞止密度",""),IF(R77="","",IF(NOT(ISNUMBER(R77)),"进口滞止密度应为数值",IF(R77&lt;=0,"进口滞止密度应大于0",""))),IF(S77="","缺少等熵指数k",""),IF(S77="","",IF(NOT(ISNUMBER(S77)),"等熵指数k应为数值",IF(OR(S77&lt;1,S77&gt;2),"等熵指数k应为1～2",""))),IF(T77="","缺少轮毂比",""),IF(T77="","",IF(NOT(ISNUMBER(T77)),"轮毂比应为数值",IF(OR(T77&lt;0,T77&gt;1),"轮毂比应为0～1",""))),IF(U77="","缺少最高通风机效率ηr",""),IF(U77="","",IF(NOT(ISNUMBER(U77)),"最高通风机效率ηr应为数值",IF(OR(U77&lt;1,U77&gt;100),"最高通风机效率ηr应为1～100的百分数本值",""))),IF(AC77="","缺少铭牌照片",""),IF(AND(ISTEXT(AD77),OR(AD77&lt;&gt;TRIM(AD77),ISNUMBER(SEARCH("　",AD77)))),"填表备注含首尾空格或全角空格",""),IF(AND(ISNUMBER(M77),M77&gt;30000),"风机压力超过30kPa，超出通风机标准范围",""),IF(AND(J77="是",H77="是"),"动叶可调特殊效率规则要求进口无进气箱",""),IF(AND(J77="是",I77="是"),"动叶可调特殊效率规则要求出口无扩散筒","")),"")</f>
        <v/>
      </c>
    </row>
    <row r="78" ht="42" customHeight="1" s="184">
      <c r="A78" s="224">
        <f>IF(COUNTA(B78,C78,D78,E78,F78,G78,H78,I78,J78,K78,L78,M78,N78,O78,P78,Q78,R78,S78,T78,U78,AC78,AD78)&gt;0,ROW()-3,"")</f>
        <v/>
      </c>
      <c r="B78" s="176" t="n"/>
      <c r="C78" s="176" t="n"/>
      <c r="D78" s="228" t="n"/>
      <c r="E78" s="176" t="n"/>
      <c r="F78" s="218" t="n"/>
      <c r="G78" s="218" t="n"/>
      <c r="H78" s="218" t="n"/>
      <c r="I78" s="218" t="n"/>
      <c r="J78" s="218" t="n"/>
      <c r="K78" s="218" t="n"/>
      <c r="L78" s="229" t="n"/>
      <c r="M78" s="229" t="n"/>
      <c r="N78" s="229" t="n"/>
      <c r="O78" s="229" t="n"/>
      <c r="P78" s="229" t="n"/>
      <c r="Q78" s="229" t="n"/>
      <c r="R78" s="229" t="n"/>
      <c r="S78" s="235" t="n"/>
      <c r="T78" s="235" t="n"/>
      <c r="U78" s="229" t="n"/>
      <c r="V78" s="113" t="n"/>
      <c r="W78" s="113" t="n"/>
      <c r="X78" s="113" t="n"/>
      <c r="Y78" s="227" t="n"/>
      <c r="Z78" s="227" t="n"/>
      <c r="AA78" s="227" t="n"/>
      <c r="AB78" s="81" t="n"/>
      <c r="AC78" s="180" t="n"/>
      <c r="AD78" s="180" t="n"/>
      <c r="AE78" s="99">
        <f>IF(COUNTA(B78,C78,D78,E78,F78,G78,H78,I78,J78,K78,L78,M78,N78,O78,P78,Q78,R78,S78,T78,U78,AC78,AD78)&gt;0,TEXTJOIN("；",TRUE,IF(B78="","缺少设备名称",""),IF(AND(ISTEXT(B78),OR(B78&lt;&gt;TRIM(B78),ISNUMBER(SEARCH("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",E78)))),"安装位置含首尾空格或全角空格",""),IF(F78="","缺少设备类别",""),IF(F78="","",IF(COUNTIF(EV_AXIAL_FAN_CATEGORY,F78)=0,"设备类别不在标准枚举中","")),IF(AND(ISTEXT(F78),OR(F78&lt;&gt;TRIM(F78),ISNUMBER(SEARCH("　",F78)))),"设备类别含首尾空格或全角空格",""),IF(G78="","缺少传动方式",""),IF(G78="","",IF(COUNTIF(EV_TRANSMISSION,G78)=0,"传动方式不在标准枚举中","")),IF(AND(ISTEXT(G78),OR(G78&lt;&gt;TRIM(G78),ISNUMBER(SEARCH("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",G78)))),"传动方式含首尾空格或全角空格",""),IF(H78="","缺少是否带进气箱",""),IF(H78="","",IF(COUNTIF(EV_YES_NO,H78)=0,"是否带进气箱不在标准枚举中","")),IF(AND(ISTEXT(H78),OR(H78&lt;&gt;TRIM(H78),ISNUMBER(SEARCH("　",H78)))),"是否带进气箱含首尾空格或全角空格",""),IF(I78="","缺少是否带扩散筒",""),IF(I78="","",IF(COUNTIF(EV_YES_NO,I78)=0,"是否带扩散筒不在标准枚举中","")),IF(AND(ISTEXT(I78),OR(I78&lt;&gt;TRIM(I78),ISNUMBER(SEARCH("　",I78)))),"是否带扩散筒含首尾空格或全角空格",""),IF(J78="","缺少是否动叶可调",""),IF(J78="","",IF(COUNTIF(EV_YES_NO,J78)=0,"是否动叶可调不在标准枚举中","")),IF(AND(ISTEXT(J78),OR(J78&lt;&gt;TRIM(J78),ISNUMBER(SEARCH("　",J78)))),"是否动叶可调含首尾空格或全角空格",""),IF(K78="","缺少是否可逆转",""),IF(K78="","",IF(COUNTIF(EV_YES_NO,K78)=0,"是否可逆转不在标准枚举中","")),IF(AND(ISTEXT(K78),OR(K78&lt;&gt;TRIM(K78),ISNUMBER(SEARCH("　",K78)))),"是否可逆转含首尾空格或全角空格",""),IF(L78="","缺少流量",""),IF(L78="","",IF(NOT(ISNUMBER(L78)),"流量应为数值",IF(L78&lt;=0,"流量应大于0",""))),IF(M78="","缺少风机压力pF",""),IF(M78="","",IF(NOT(ISNUMBER(M78)),"风机压力pF应为数值",IF(M78&lt;=0,"风机压力pF应大于0",""))),IF(N78="","缺少额定功率",""),IF(N78="","",IF(NOT(ISNUMBER(N78)),"额定功率应为数值",IF(N78&lt;=0,"额定功率应大于0",""))),IF(O78="","缺少叶轮功率",""),IF(O78="","",IF(NOT(ISNUMBER(O78)),"叶轮功率应为数值",IF(O78&lt;=0,"叶轮功率应大于0",""))),IF(P78="","缺少转速",""),IF(P78="","",IF(NOT(ISNUMBER(P78)),"转速应为数值",IF(P78&lt;=0,"转速应大于0",""))),IF(Q78="","缺少机号",""),IF(Q78="","",IF(NOT(ISNUMBER(Q78)),"机号应为数值",IF(Q78&lt;=0,"机号应大于0",""))),IF(R78="","缺少进口滞止密度",""),IF(R78="","",IF(NOT(ISNUMBER(R78)),"进口滞止密度应为数值",IF(R78&lt;=0,"进口滞止密度应大于0",""))),IF(S78="","缺少等熵指数k",""),IF(S78="","",IF(NOT(ISNUMBER(S78)),"等熵指数k应为数值",IF(OR(S78&lt;1,S78&gt;2),"等熵指数k应为1～2",""))),IF(T78="","缺少轮毂比",""),IF(T78="","",IF(NOT(ISNUMBER(T78)),"轮毂比应为数值",IF(OR(T78&lt;0,T78&gt;1),"轮毂比应为0～1",""))),IF(U78="","缺少最高通风机效率ηr",""),IF(U78="","",IF(NOT(ISNUMBER(U78)),"最高通风机效率ηr应为数值",IF(OR(U78&lt;1,U78&gt;100),"最高通风机效率ηr应为1～100的百分数本值",""))),IF(AC78="","缺少铭牌照片",""),IF(AND(ISTEXT(AD78),OR(AD78&lt;&gt;TRIM(AD78),ISNUMBER(SEARCH("　",AD78)))),"填表备注含首尾空格或全角空格",""),IF(AND(ISNUMBER(M78),M78&gt;30000),"风机压力超过30kPa，超出通风机标准范围",""),IF(AND(J78="是",H78="是"),"动叶可调特殊效率规则要求进口无进气箱",""),IF(AND(J78="是",I78="是"),"动叶可调特殊效率规则要求出口无扩散筒","")),"")</f>
        <v/>
      </c>
    </row>
    <row r="79" ht="42" customHeight="1" s="184">
      <c r="A79" s="224">
        <f>IF(COUNTA(B79,C79,D79,E79,F79,G79,H79,I79,J79,K79,L79,M79,N79,O79,P79,Q79,R79,S79,T79,U79,AC79,AD79)&gt;0,ROW()-3,"")</f>
        <v/>
      </c>
      <c r="B79" s="176" t="n"/>
      <c r="C79" s="176" t="n"/>
      <c r="D79" s="228" t="n"/>
      <c r="E79" s="176" t="n"/>
      <c r="F79" s="218" t="n"/>
      <c r="G79" s="218" t="n"/>
      <c r="H79" s="218" t="n"/>
      <c r="I79" s="218" t="n"/>
      <c r="J79" s="218" t="n"/>
      <c r="K79" s="218" t="n"/>
      <c r="L79" s="229" t="n"/>
      <c r="M79" s="229" t="n"/>
      <c r="N79" s="229" t="n"/>
      <c r="O79" s="229" t="n"/>
      <c r="P79" s="229" t="n"/>
      <c r="Q79" s="229" t="n"/>
      <c r="R79" s="229" t="n"/>
      <c r="S79" s="235" t="n"/>
      <c r="T79" s="235" t="n"/>
      <c r="U79" s="229" t="n"/>
      <c r="V79" s="113" t="n"/>
      <c r="W79" s="113" t="n"/>
      <c r="X79" s="113" t="n"/>
      <c r="Y79" s="227" t="n"/>
      <c r="Z79" s="227" t="n"/>
      <c r="AA79" s="227" t="n"/>
      <c r="AB79" s="81" t="n"/>
      <c r="AC79" s="180" t="n"/>
      <c r="AD79" s="180" t="n"/>
      <c r="AE79" s="99">
        <f>IF(COUNTA(B79,C79,D79,E79,F79,G79,H79,I79,J79,K79,L79,M79,N79,O79,P79,Q79,R79,S79,T79,U79,AC79,AD79)&gt;0,TEXTJOIN("；",TRUE,IF(B79="","缺少设备名称",""),IF(AND(ISTEXT(B79),OR(B79&lt;&gt;TRIM(B79),ISNUMBER(SEARCH("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",E79)))),"安装位置含首尾空格或全角空格",""),IF(F79="","缺少设备类别",""),IF(F79="","",IF(COUNTIF(EV_AXIAL_FAN_CATEGORY,F79)=0,"设备类别不在标准枚举中","")),IF(AND(ISTEXT(F79),OR(F79&lt;&gt;TRIM(F79),ISNUMBER(SEARCH("　",F79)))),"设备类别含首尾空格或全角空格",""),IF(G79="","缺少传动方式",""),IF(G79="","",IF(COUNTIF(EV_TRANSMISSION,G79)=0,"传动方式不在标准枚举中","")),IF(AND(ISTEXT(G79),OR(G79&lt;&gt;TRIM(G79),ISNUMBER(SEARCH("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",G79)))),"传动方式含首尾空格或全角空格",""),IF(H79="","缺少是否带进气箱",""),IF(H79="","",IF(COUNTIF(EV_YES_NO,H79)=0,"是否带进气箱不在标准枚举中","")),IF(AND(ISTEXT(H79),OR(H79&lt;&gt;TRIM(H79),ISNUMBER(SEARCH("　",H79)))),"是否带进气箱含首尾空格或全角空格",""),IF(I79="","缺少是否带扩散筒",""),IF(I79="","",IF(COUNTIF(EV_YES_NO,I79)=0,"是否带扩散筒不在标准枚举中","")),IF(AND(ISTEXT(I79),OR(I79&lt;&gt;TRIM(I79),ISNUMBER(SEARCH("　",I79)))),"是否带扩散筒含首尾空格或全角空格",""),IF(J79="","缺少是否动叶可调",""),IF(J79="","",IF(COUNTIF(EV_YES_NO,J79)=0,"是否动叶可调不在标准枚举中","")),IF(AND(ISTEXT(J79),OR(J79&lt;&gt;TRIM(J79),ISNUMBER(SEARCH("　",J79)))),"是否动叶可调含首尾空格或全角空格",""),IF(K79="","缺少是否可逆转",""),IF(K79="","",IF(COUNTIF(EV_YES_NO,K79)=0,"是否可逆转不在标准枚举中","")),IF(AND(ISTEXT(K79),OR(K79&lt;&gt;TRIM(K79),ISNUMBER(SEARCH("　",K79)))),"是否可逆转含首尾空格或全角空格",""),IF(L79="","缺少流量",""),IF(L79="","",IF(NOT(ISNUMBER(L79)),"流量应为数值",IF(L79&lt;=0,"流量应大于0",""))),IF(M79="","缺少风机压力pF",""),IF(M79="","",IF(NOT(ISNUMBER(M79)),"风机压力pF应为数值",IF(M79&lt;=0,"风机压力pF应大于0",""))),IF(N79="","缺少额定功率",""),IF(N79="","",IF(NOT(ISNUMBER(N79)),"额定功率应为数值",IF(N79&lt;=0,"额定功率应大于0",""))),IF(O79="","缺少叶轮功率",""),IF(O79="","",IF(NOT(ISNUMBER(O79)),"叶轮功率应为数值",IF(O79&lt;=0,"叶轮功率应大于0",""))),IF(P79="","缺少转速",""),IF(P79="","",IF(NOT(ISNUMBER(P79)),"转速应为数值",IF(P79&lt;=0,"转速应大于0",""))),IF(Q79="","缺少机号",""),IF(Q79="","",IF(NOT(ISNUMBER(Q79)),"机号应为数值",IF(Q79&lt;=0,"机号应大于0",""))),IF(R79="","缺少进口滞止密度",""),IF(R79="","",IF(NOT(ISNUMBER(R79)),"进口滞止密度应为数值",IF(R79&lt;=0,"进口滞止密度应大于0",""))),IF(S79="","缺少等熵指数k",""),IF(S79="","",IF(NOT(ISNUMBER(S79)),"等熵指数k应为数值",IF(OR(S79&lt;1,S79&gt;2),"等熵指数k应为1～2",""))),IF(T79="","缺少轮毂比",""),IF(T79="","",IF(NOT(ISNUMBER(T79)),"轮毂比应为数值",IF(OR(T79&lt;0,T79&gt;1),"轮毂比应为0～1",""))),IF(U79="","缺少最高通风机效率ηr",""),IF(U79="","",IF(NOT(ISNUMBER(U79)),"最高通风机效率ηr应为数值",IF(OR(U79&lt;1,U79&gt;100),"最高通风机效率ηr应为1～100的百分数本值",""))),IF(AC79="","缺少铭牌照片",""),IF(AND(ISTEXT(AD79),OR(AD79&lt;&gt;TRIM(AD79),ISNUMBER(SEARCH("　",AD79)))),"填表备注含首尾空格或全角空格",""),IF(AND(ISNUMBER(M79),M79&gt;30000),"风机压力超过30kPa，超出通风机标准范围",""),IF(AND(J79="是",H79="是"),"动叶可调特殊效率规则要求进口无进气箱",""),IF(AND(J79="是",I79="是"),"动叶可调特殊效率规则要求出口无扩散筒","")),"")</f>
        <v/>
      </c>
    </row>
    <row r="80" ht="42" customHeight="1" s="184">
      <c r="A80" s="224">
        <f>IF(COUNTA(B80,C80,D80,E80,F80,G80,H80,I80,J80,K80,L80,M80,N80,O80,P80,Q80,R80,S80,T80,U80,AC80,AD80)&gt;0,ROW()-3,"")</f>
        <v/>
      </c>
      <c r="B80" s="176" t="n"/>
      <c r="C80" s="176" t="n"/>
      <c r="D80" s="228" t="n"/>
      <c r="E80" s="176" t="n"/>
      <c r="F80" s="218" t="n"/>
      <c r="G80" s="218" t="n"/>
      <c r="H80" s="218" t="n"/>
      <c r="I80" s="218" t="n"/>
      <c r="J80" s="218" t="n"/>
      <c r="K80" s="218" t="n"/>
      <c r="L80" s="229" t="n"/>
      <c r="M80" s="229" t="n"/>
      <c r="N80" s="229" t="n"/>
      <c r="O80" s="229" t="n"/>
      <c r="P80" s="229" t="n"/>
      <c r="Q80" s="229" t="n"/>
      <c r="R80" s="229" t="n"/>
      <c r="S80" s="235" t="n"/>
      <c r="T80" s="235" t="n"/>
      <c r="U80" s="229" t="n"/>
      <c r="V80" s="113" t="n"/>
      <c r="W80" s="113" t="n"/>
      <c r="X80" s="113" t="n"/>
      <c r="Y80" s="227" t="n"/>
      <c r="Z80" s="227" t="n"/>
      <c r="AA80" s="227" t="n"/>
      <c r="AB80" s="81" t="n"/>
      <c r="AC80" s="180" t="n"/>
      <c r="AD80" s="180" t="n"/>
      <c r="AE80" s="99">
        <f>IF(COUNTA(B80,C80,D80,E80,F80,G80,H80,I80,J80,K80,L80,M80,N80,O80,P80,Q80,R80,S80,T80,U80,AC80,AD80)&gt;0,TEXTJOIN("；",TRUE,IF(B80="","缺少设备名称",""),IF(AND(ISTEXT(B80),OR(B80&lt;&gt;TRIM(B80),ISNUMBER(SEARCH("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",E80)))),"安装位置含首尾空格或全角空格",""),IF(F80="","缺少设备类别",""),IF(F80="","",IF(COUNTIF(EV_AXIAL_FAN_CATEGORY,F80)=0,"设备类别不在标准枚举中","")),IF(AND(ISTEXT(F80),OR(F80&lt;&gt;TRIM(F80),ISNUMBER(SEARCH("　",F80)))),"设备类别含首尾空格或全角空格",""),IF(G80="","缺少传动方式",""),IF(G80="","",IF(COUNTIF(EV_TRANSMISSION,G80)=0,"传动方式不在标准枚举中","")),IF(AND(ISTEXT(G80),OR(G80&lt;&gt;TRIM(G80),ISNUMBER(SEARCH("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",G80)))),"传动方式含首尾空格或全角空格",""),IF(H80="","缺少是否带进气箱",""),IF(H80="","",IF(COUNTIF(EV_YES_NO,H80)=0,"是否带进气箱不在标准枚举中","")),IF(AND(ISTEXT(H80),OR(H80&lt;&gt;TRIM(H80),ISNUMBER(SEARCH("　",H80)))),"是否带进气箱含首尾空格或全角空格",""),IF(I80="","缺少是否带扩散筒",""),IF(I80="","",IF(COUNTIF(EV_YES_NO,I80)=0,"是否带扩散筒不在标准枚举中","")),IF(AND(ISTEXT(I80),OR(I80&lt;&gt;TRIM(I80),ISNUMBER(SEARCH("　",I80)))),"是否带扩散筒含首尾空格或全角空格",""),IF(J80="","缺少是否动叶可调",""),IF(J80="","",IF(COUNTIF(EV_YES_NO,J80)=0,"是否动叶可调不在标准枚举中","")),IF(AND(ISTEXT(J80),OR(J80&lt;&gt;TRIM(J80),ISNUMBER(SEARCH("　",J80)))),"是否动叶可调含首尾空格或全角空格",""),IF(K80="","缺少是否可逆转",""),IF(K80="","",IF(COUNTIF(EV_YES_NO,K80)=0,"是否可逆转不在标准枚举中","")),IF(AND(ISTEXT(K80),OR(K80&lt;&gt;TRIM(K80),ISNUMBER(SEARCH("　",K80)))),"是否可逆转含首尾空格或全角空格",""),IF(L80="","缺少流量",""),IF(L80="","",IF(NOT(ISNUMBER(L80)),"流量应为数值",IF(L80&lt;=0,"流量应大于0",""))),IF(M80="","缺少风机压力pF",""),IF(M80="","",IF(NOT(ISNUMBER(M80)),"风机压力pF应为数值",IF(M80&lt;=0,"风机压力pF应大于0",""))),IF(N80="","缺少额定功率",""),IF(N80="","",IF(NOT(ISNUMBER(N80)),"额定功率应为数值",IF(N80&lt;=0,"额定功率应大于0",""))),IF(O80="","缺少叶轮功率",""),IF(O80="","",IF(NOT(ISNUMBER(O80)),"叶轮功率应为数值",IF(O80&lt;=0,"叶轮功率应大于0",""))),IF(P80="","缺少转速",""),IF(P80="","",IF(NOT(ISNUMBER(P80)),"转速应为数值",IF(P80&lt;=0,"转速应大于0",""))),IF(Q80="","缺少机号",""),IF(Q80="","",IF(NOT(ISNUMBER(Q80)),"机号应为数值",IF(Q80&lt;=0,"机号应大于0",""))),IF(R80="","缺少进口滞止密度",""),IF(R80="","",IF(NOT(ISNUMBER(R80)),"进口滞止密度应为数值",IF(R80&lt;=0,"进口滞止密度应大于0",""))),IF(S80="","缺少等熵指数k",""),IF(S80="","",IF(NOT(ISNUMBER(S80)),"等熵指数k应为数值",IF(OR(S80&lt;1,S80&gt;2),"等熵指数k应为1～2",""))),IF(T80="","缺少轮毂比",""),IF(T80="","",IF(NOT(ISNUMBER(T80)),"轮毂比应为数值",IF(OR(T80&lt;0,T80&gt;1),"轮毂比应为0～1",""))),IF(U80="","缺少最高通风机效率ηr",""),IF(U80="","",IF(NOT(ISNUMBER(U80)),"最高通风机效率ηr应为数值",IF(OR(U80&lt;1,U80&gt;100),"最高通风机效率ηr应为1～100的百分数本值",""))),IF(AC80="","缺少铭牌照片",""),IF(AND(ISTEXT(AD80),OR(AD80&lt;&gt;TRIM(AD80),ISNUMBER(SEARCH("　",AD80)))),"填表备注含首尾空格或全角空格",""),IF(AND(ISNUMBER(M80),M80&gt;30000),"风机压力超过30kPa，超出通风机标准范围",""),IF(AND(J80="是",H80="是"),"动叶可调特殊效率规则要求进口无进气箱",""),IF(AND(J80="是",I80="是"),"动叶可调特殊效率规则要求出口无扩散筒","")),"")</f>
        <v/>
      </c>
    </row>
    <row r="81" ht="42" customHeight="1" s="184">
      <c r="A81" s="224">
        <f>IF(COUNTA(B81,C81,D81,E81,F81,G81,H81,I81,J81,K81,L81,M81,N81,O81,P81,Q81,R81,S81,T81,U81,AC81,AD81)&gt;0,ROW()-3,"")</f>
        <v/>
      </c>
      <c r="B81" s="176" t="n"/>
      <c r="C81" s="176" t="n"/>
      <c r="D81" s="228" t="n"/>
      <c r="E81" s="176" t="n"/>
      <c r="F81" s="218" t="n"/>
      <c r="G81" s="218" t="n"/>
      <c r="H81" s="218" t="n"/>
      <c r="I81" s="218" t="n"/>
      <c r="J81" s="218" t="n"/>
      <c r="K81" s="218" t="n"/>
      <c r="L81" s="229" t="n"/>
      <c r="M81" s="229" t="n"/>
      <c r="N81" s="229" t="n"/>
      <c r="O81" s="229" t="n"/>
      <c r="P81" s="229" t="n"/>
      <c r="Q81" s="229" t="n"/>
      <c r="R81" s="229" t="n"/>
      <c r="S81" s="235" t="n"/>
      <c r="T81" s="235" t="n"/>
      <c r="U81" s="229" t="n"/>
      <c r="V81" s="113" t="n"/>
      <c r="W81" s="113" t="n"/>
      <c r="X81" s="113" t="n"/>
      <c r="Y81" s="227" t="n"/>
      <c r="Z81" s="227" t="n"/>
      <c r="AA81" s="227" t="n"/>
      <c r="AB81" s="81" t="n"/>
      <c r="AC81" s="180" t="n"/>
      <c r="AD81" s="180" t="n"/>
      <c r="AE81" s="99">
        <f>IF(COUNTA(B81,C81,D81,E81,F81,G81,H81,I81,J81,K81,L81,M81,N81,O81,P81,Q81,R81,S81,T81,U81,AC81,AD81)&gt;0,TEXTJOIN("；",TRUE,IF(B81="","缺少设备名称",""),IF(AND(ISTEXT(B81),OR(B81&lt;&gt;TRIM(B81),ISNUMBER(SEARCH("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",E81)))),"安装位置含首尾空格或全角空格",""),IF(F81="","缺少设备类别",""),IF(F81="","",IF(COUNTIF(EV_AXIAL_FAN_CATEGORY,F81)=0,"设备类别不在标准枚举中","")),IF(AND(ISTEXT(F81),OR(F81&lt;&gt;TRIM(F81),ISNUMBER(SEARCH("　",F81)))),"设备类别含首尾空格或全角空格",""),IF(G81="","缺少传动方式",""),IF(G81="","",IF(COUNTIF(EV_TRANSMISSION,G81)=0,"传动方式不在标准枚举中","")),IF(AND(ISTEXT(G81),OR(G81&lt;&gt;TRIM(G81),ISNUMBER(SEARCH("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",G81)))),"传动方式含首尾空格或全角空格",""),IF(H81="","缺少是否带进气箱",""),IF(H81="","",IF(COUNTIF(EV_YES_NO,H81)=0,"是否带进气箱不在标准枚举中","")),IF(AND(ISTEXT(H81),OR(H81&lt;&gt;TRIM(H81),ISNUMBER(SEARCH("　",H81)))),"是否带进气箱含首尾空格或全角空格",""),IF(I81="","缺少是否带扩散筒",""),IF(I81="","",IF(COUNTIF(EV_YES_NO,I81)=0,"是否带扩散筒不在标准枚举中","")),IF(AND(ISTEXT(I81),OR(I81&lt;&gt;TRIM(I81),ISNUMBER(SEARCH("　",I81)))),"是否带扩散筒含首尾空格或全角空格",""),IF(J81="","缺少是否动叶可调",""),IF(J81="","",IF(COUNTIF(EV_YES_NO,J81)=0,"是否动叶可调不在标准枚举中","")),IF(AND(ISTEXT(J81),OR(J81&lt;&gt;TRIM(J81),ISNUMBER(SEARCH("　",J81)))),"是否动叶可调含首尾空格或全角空格",""),IF(K81="","缺少是否可逆转",""),IF(K81="","",IF(COUNTIF(EV_YES_NO,K81)=0,"是否可逆转不在标准枚举中","")),IF(AND(ISTEXT(K81),OR(K81&lt;&gt;TRIM(K81),ISNUMBER(SEARCH("　",K81)))),"是否可逆转含首尾空格或全角空格",""),IF(L81="","缺少流量",""),IF(L81="","",IF(NOT(ISNUMBER(L81)),"流量应为数值",IF(L81&lt;=0,"流量应大于0",""))),IF(M81="","缺少风机压力pF",""),IF(M81="","",IF(NOT(ISNUMBER(M81)),"风机压力pF应为数值",IF(M81&lt;=0,"风机压力pF应大于0",""))),IF(N81="","缺少额定功率",""),IF(N81="","",IF(NOT(ISNUMBER(N81)),"额定功率应为数值",IF(N81&lt;=0,"额定功率应大于0",""))),IF(O81="","缺少叶轮功率",""),IF(O81="","",IF(NOT(ISNUMBER(O81)),"叶轮功率应为数值",IF(O81&lt;=0,"叶轮功率应大于0",""))),IF(P81="","缺少转速",""),IF(P81="","",IF(NOT(ISNUMBER(P81)),"转速应为数值",IF(P81&lt;=0,"转速应大于0",""))),IF(Q81="","缺少机号",""),IF(Q81="","",IF(NOT(ISNUMBER(Q81)),"机号应为数值",IF(Q81&lt;=0,"机号应大于0",""))),IF(R81="","缺少进口滞止密度",""),IF(R81="","",IF(NOT(ISNUMBER(R81)),"进口滞止密度应为数值",IF(R81&lt;=0,"进口滞止密度应大于0",""))),IF(S81="","缺少等熵指数k",""),IF(S81="","",IF(NOT(ISNUMBER(S81)),"等熵指数k应为数值",IF(OR(S81&lt;1,S81&gt;2),"等熵指数k应为1～2",""))),IF(T81="","缺少轮毂比",""),IF(T81="","",IF(NOT(ISNUMBER(T81)),"轮毂比应为数值",IF(OR(T81&lt;0,T81&gt;1),"轮毂比应为0～1",""))),IF(U81="","缺少最高通风机效率ηr",""),IF(U81="","",IF(NOT(ISNUMBER(U81)),"最高通风机效率ηr应为数值",IF(OR(U81&lt;1,U81&gt;100),"最高通风机效率ηr应为1～100的百分数本值",""))),IF(AC81="","缺少铭牌照片",""),IF(AND(ISTEXT(AD81),OR(AD81&lt;&gt;TRIM(AD81),ISNUMBER(SEARCH("　",AD81)))),"填表备注含首尾空格或全角空格",""),IF(AND(ISNUMBER(M81),M81&gt;30000),"风机压力超过30kPa，超出通风机标准范围",""),IF(AND(J81="是",H81="是"),"动叶可调特殊效率规则要求进口无进气箱",""),IF(AND(J81="是",I81="是"),"动叶可调特殊效率规则要求出口无扩散筒","")),"")</f>
        <v/>
      </c>
    </row>
    <row r="82" ht="42" customHeight="1" s="184">
      <c r="A82" s="224">
        <f>IF(COUNTA(B82,C82,D82,E82,F82,G82,H82,I82,J82,K82,L82,M82,N82,O82,P82,Q82,R82,S82,T82,U82,AC82,AD82)&gt;0,ROW()-3,"")</f>
        <v/>
      </c>
      <c r="B82" s="176" t="n"/>
      <c r="C82" s="176" t="n"/>
      <c r="D82" s="228" t="n"/>
      <c r="E82" s="176" t="n"/>
      <c r="F82" s="218" t="n"/>
      <c r="G82" s="218" t="n"/>
      <c r="H82" s="218" t="n"/>
      <c r="I82" s="218" t="n"/>
      <c r="J82" s="218" t="n"/>
      <c r="K82" s="218" t="n"/>
      <c r="L82" s="229" t="n"/>
      <c r="M82" s="229" t="n"/>
      <c r="N82" s="229" t="n"/>
      <c r="O82" s="229" t="n"/>
      <c r="P82" s="229" t="n"/>
      <c r="Q82" s="229" t="n"/>
      <c r="R82" s="229" t="n"/>
      <c r="S82" s="235" t="n"/>
      <c r="T82" s="235" t="n"/>
      <c r="U82" s="229" t="n"/>
      <c r="V82" s="113" t="n"/>
      <c r="W82" s="113" t="n"/>
      <c r="X82" s="113" t="n"/>
      <c r="Y82" s="227" t="n"/>
      <c r="Z82" s="227" t="n"/>
      <c r="AA82" s="227" t="n"/>
      <c r="AB82" s="81" t="n"/>
      <c r="AC82" s="180" t="n"/>
      <c r="AD82" s="180" t="n"/>
      <c r="AE82" s="99">
        <f>IF(COUNTA(B82,C82,D82,E82,F82,G82,H82,I82,J82,K82,L82,M82,N82,O82,P82,Q82,R82,S82,T82,U82,AC82,AD82)&gt;0,TEXTJOIN("；",TRUE,IF(B82="","缺少设备名称",""),IF(AND(ISTEXT(B82),OR(B82&lt;&gt;TRIM(B82),ISNUMBER(SEARCH("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",E82)))),"安装位置含首尾空格或全角空格",""),IF(F82="","缺少设备类别",""),IF(F82="","",IF(COUNTIF(EV_AXIAL_FAN_CATEGORY,F82)=0,"设备类别不在标准枚举中","")),IF(AND(ISTEXT(F82),OR(F82&lt;&gt;TRIM(F82),ISNUMBER(SEARCH("　",F82)))),"设备类别含首尾空格或全角空格",""),IF(G82="","缺少传动方式",""),IF(G82="","",IF(COUNTIF(EV_TRANSMISSION,G82)=0,"传动方式不在标准枚举中","")),IF(AND(ISTEXT(G82),OR(G82&lt;&gt;TRIM(G82),ISNUMBER(SEARCH("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",G82)))),"传动方式含首尾空格或全角空格",""),IF(H82="","缺少是否带进气箱",""),IF(H82="","",IF(COUNTIF(EV_YES_NO,H82)=0,"是否带进气箱不在标准枚举中","")),IF(AND(ISTEXT(H82),OR(H82&lt;&gt;TRIM(H82),ISNUMBER(SEARCH("　",H82)))),"是否带进气箱含首尾空格或全角空格",""),IF(I82="","缺少是否带扩散筒",""),IF(I82="","",IF(COUNTIF(EV_YES_NO,I82)=0,"是否带扩散筒不在标准枚举中","")),IF(AND(ISTEXT(I82),OR(I82&lt;&gt;TRIM(I82),ISNUMBER(SEARCH("　",I82)))),"是否带扩散筒含首尾空格或全角空格",""),IF(J82="","缺少是否动叶可调",""),IF(J82="","",IF(COUNTIF(EV_YES_NO,J82)=0,"是否动叶可调不在标准枚举中","")),IF(AND(ISTEXT(J82),OR(J82&lt;&gt;TRIM(J82),ISNUMBER(SEARCH("　",J82)))),"是否动叶可调含首尾空格或全角空格",""),IF(K82="","缺少是否可逆转",""),IF(K82="","",IF(COUNTIF(EV_YES_NO,K82)=0,"是否可逆转不在标准枚举中","")),IF(AND(ISTEXT(K82),OR(K82&lt;&gt;TRIM(K82),ISNUMBER(SEARCH("　",K82)))),"是否可逆转含首尾空格或全角空格",""),IF(L82="","缺少流量",""),IF(L82="","",IF(NOT(ISNUMBER(L82)),"流量应为数值",IF(L82&lt;=0,"流量应大于0",""))),IF(M82="","缺少风机压力pF",""),IF(M82="","",IF(NOT(ISNUMBER(M82)),"风机压力pF应为数值",IF(M82&lt;=0,"风机压力pF应大于0",""))),IF(N82="","缺少额定功率",""),IF(N82="","",IF(NOT(ISNUMBER(N82)),"额定功率应为数值",IF(N82&lt;=0,"额定功率应大于0",""))),IF(O82="","缺少叶轮功率",""),IF(O82="","",IF(NOT(ISNUMBER(O82)),"叶轮功率应为数值",IF(O82&lt;=0,"叶轮功率应大于0",""))),IF(P82="","缺少转速",""),IF(P82="","",IF(NOT(ISNUMBER(P82)),"转速应为数值",IF(P82&lt;=0,"转速应大于0",""))),IF(Q82="","缺少机号",""),IF(Q82="","",IF(NOT(ISNUMBER(Q82)),"机号应为数值",IF(Q82&lt;=0,"机号应大于0",""))),IF(R82="","缺少进口滞止密度",""),IF(R82="","",IF(NOT(ISNUMBER(R82)),"进口滞止密度应为数值",IF(R82&lt;=0,"进口滞止密度应大于0",""))),IF(S82="","缺少等熵指数k",""),IF(S82="","",IF(NOT(ISNUMBER(S82)),"等熵指数k应为数值",IF(OR(S82&lt;1,S82&gt;2),"等熵指数k应为1～2",""))),IF(T82="","缺少轮毂比",""),IF(T82="","",IF(NOT(ISNUMBER(T82)),"轮毂比应为数值",IF(OR(T82&lt;0,T82&gt;1),"轮毂比应为0～1",""))),IF(U82="","缺少最高通风机效率ηr",""),IF(U82="","",IF(NOT(ISNUMBER(U82)),"最高通风机效率ηr应为数值",IF(OR(U82&lt;1,U82&gt;100),"最高通风机效率ηr应为1～100的百分数本值",""))),IF(AC82="","缺少铭牌照片",""),IF(AND(ISTEXT(AD82),OR(AD82&lt;&gt;TRIM(AD82),ISNUMBER(SEARCH("　",AD82)))),"填表备注含首尾空格或全角空格",""),IF(AND(ISNUMBER(M82),M82&gt;30000),"风机压力超过30kPa，超出通风机标准范围",""),IF(AND(J82="是",H82="是"),"动叶可调特殊效率规则要求进口无进气箱",""),IF(AND(J82="是",I82="是"),"动叶可调特殊效率规则要求出口无扩散筒","")),"")</f>
        <v/>
      </c>
    </row>
    <row r="83" ht="42" customHeight="1" s="184">
      <c r="A83" s="224">
        <f>IF(COUNTA(B83,C83,D83,E83,F83,G83,H83,I83,J83,K83,L83,M83,N83,O83,P83,Q83,R83,S83,T83,U83,AC83,AD83)&gt;0,ROW()-3,"")</f>
        <v/>
      </c>
      <c r="B83" s="176" t="n"/>
      <c r="C83" s="176" t="n"/>
      <c r="D83" s="228" t="n"/>
      <c r="E83" s="176" t="n"/>
      <c r="F83" s="218" t="n"/>
      <c r="G83" s="218" t="n"/>
      <c r="H83" s="218" t="n"/>
      <c r="I83" s="218" t="n"/>
      <c r="J83" s="218" t="n"/>
      <c r="K83" s="218" t="n"/>
      <c r="L83" s="229" t="n"/>
      <c r="M83" s="229" t="n"/>
      <c r="N83" s="229" t="n"/>
      <c r="O83" s="229" t="n"/>
      <c r="P83" s="229" t="n"/>
      <c r="Q83" s="229" t="n"/>
      <c r="R83" s="229" t="n"/>
      <c r="S83" s="235" t="n"/>
      <c r="T83" s="235" t="n"/>
      <c r="U83" s="229" t="n"/>
      <c r="V83" s="113" t="n"/>
      <c r="W83" s="113" t="n"/>
      <c r="X83" s="113" t="n"/>
      <c r="Y83" s="227" t="n"/>
      <c r="Z83" s="227" t="n"/>
      <c r="AA83" s="227" t="n"/>
      <c r="AB83" s="81" t="n"/>
      <c r="AC83" s="180" t="n"/>
      <c r="AD83" s="180" t="n"/>
      <c r="AE83" s="99">
        <f>IF(COUNTA(B83,C83,D83,E83,F83,G83,H83,I83,J83,K83,L83,M83,N83,O83,P83,Q83,R83,S83,T83,U83,AC83,AD83)&gt;0,TEXTJOIN("；",TRUE,IF(B83="","缺少设备名称",""),IF(AND(ISTEXT(B83),OR(B83&lt;&gt;TRIM(B83),ISNUMBER(SEARCH("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",E83)))),"安装位置含首尾空格或全角空格",""),IF(F83="","缺少设备类别",""),IF(F83="","",IF(COUNTIF(EV_AXIAL_FAN_CATEGORY,F83)=0,"设备类别不在标准枚举中","")),IF(AND(ISTEXT(F83),OR(F83&lt;&gt;TRIM(F83),ISNUMBER(SEARCH("　",F83)))),"设备类别含首尾空格或全角空格",""),IF(G83="","缺少传动方式",""),IF(G83="","",IF(COUNTIF(EV_TRANSMISSION,G83)=0,"传动方式不在标准枚举中","")),IF(AND(ISTEXT(G83),OR(G83&lt;&gt;TRIM(G83),ISNUMBER(SEARCH("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",G83)))),"传动方式含首尾空格或全角空格",""),IF(H83="","缺少是否带进气箱",""),IF(H83="","",IF(COUNTIF(EV_YES_NO,H83)=0,"是否带进气箱不在标准枚举中","")),IF(AND(ISTEXT(H83),OR(H83&lt;&gt;TRIM(H83),ISNUMBER(SEARCH("　",H83)))),"是否带进气箱含首尾空格或全角空格",""),IF(I83="","缺少是否带扩散筒",""),IF(I83="","",IF(COUNTIF(EV_YES_NO,I83)=0,"是否带扩散筒不在标准枚举中","")),IF(AND(ISTEXT(I83),OR(I83&lt;&gt;TRIM(I83),ISNUMBER(SEARCH("　",I83)))),"是否带扩散筒含首尾空格或全角空格",""),IF(J83="","缺少是否动叶可调",""),IF(J83="","",IF(COUNTIF(EV_YES_NO,J83)=0,"是否动叶可调不在标准枚举中","")),IF(AND(ISTEXT(J83),OR(J83&lt;&gt;TRIM(J83),ISNUMBER(SEARCH("　",J83)))),"是否动叶可调含首尾空格或全角空格",""),IF(K83="","缺少是否可逆转",""),IF(K83="","",IF(COUNTIF(EV_YES_NO,K83)=0,"是否可逆转不在标准枚举中","")),IF(AND(ISTEXT(K83),OR(K83&lt;&gt;TRIM(K83),ISNUMBER(SEARCH("　",K83)))),"是否可逆转含首尾空格或全角空格",""),IF(L83="","缺少流量",""),IF(L83="","",IF(NOT(ISNUMBER(L83)),"流量应为数值",IF(L83&lt;=0,"流量应大于0",""))),IF(M83="","缺少风机压力pF",""),IF(M83="","",IF(NOT(ISNUMBER(M83)),"风机压力pF应为数值",IF(M83&lt;=0,"风机压力pF应大于0",""))),IF(N83="","缺少额定功率",""),IF(N83="","",IF(NOT(ISNUMBER(N83)),"额定功率应为数值",IF(N83&lt;=0,"额定功率应大于0",""))),IF(O83="","缺少叶轮功率",""),IF(O83="","",IF(NOT(ISNUMBER(O83)),"叶轮功率应为数值",IF(O83&lt;=0,"叶轮功率应大于0",""))),IF(P83="","缺少转速",""),IF(P83="","",IF(NOT(ISNUMBER(P83)),"转速应为数值",IF(P83&lt;=0,"转速应大于0",""))),IF(Q83="","缺少机号",""),IF(Q83="","",IF(NOT(ISNUMBER(Q83)),"机号应为数值",IF(Q83&lt;=0,"机号应大于0",""))),IF(R83="","缺少进口滞止密度",""),IF(R83="","",IF(NOT(ISNUMBER(R83)),"进口滞止密度应为数值",IF(R83&lt;=0,"进口滞止密度应大于0",""))),IF(S83="","缺少等熵指数k",""),IF(S83="","",IF(NOT(ISNUMBER(S83)),"等熵指数k应为数值",IF(OR(S83&lt;1,S83&gt;2),"等熵指数k应为1～2",""))),IF(T83="","缺少轮毂比",""),IF(T83="","",IF(NOT(ISNUMBER(T83)),"轮毂比应为数值",IF(OR(T83&lt;0,T83&gt;1),"轮毂比应为0～1",""))),IF(U83="","缺少最高通风机效率ηr",""),IF(U83="","",IF(NOT(ISNUMBER(U83)),"最高通风机效率ηr应为数值",IF(OR(U83&lt;1,U83&gt;100),"最高通风机效率ηr应为1～100的百分数本值",""))),IF(AC83="","缺少铭牌照片",""),IF(AND(ISTEXT(AD83),OR(AD83&lt;&gt;TRIM(AD83),ISNUMBER(SEARCH("　",AD83)))),"填表备注含首尾空格或全角空格",""),IF(AND(ISNUMBER(M83),M83&gt;30000),"风机压力超过30kPa，超出通风机标准范围",""),IF(AND(J83="是",H83="是"),"动叶可调特殊效率规则要求进口无进气箱",""),IF(AND(J83="是",I83="是"),"动叶可调特殊效率规则要求出口无扩散筒","")),"")</f>
        <v/>
      </c>
    </row>
    <row r="84" ht="42" customHeight="1" s="184">
      <c r="A84" s="224">
        <f>IF(COUNTA(B84,C84,D84,E84,F84,G84,H84,I84,J84,K84,L84,M84,N84,O84,P84,Q84,R84,S84,T84,U84,AC84,AD84)&gt;0,ROW()-3,"")</f>
        <v/>
      </c>
      <c r="B84" s="176" t="n"/>
      <c r="C84" s="176" t="n"/>
      <c r="D84" s="228" t="n"/>
      <c r="E84" s="176" t="n"/>
      <c r="F84" s="218" t="n"/>
      <c r="G84" s="218" t="n"/>
      <c r="H84" s="218" t="n"/>
      <c r="I84" s="218" t="n"/>
      <c r="J84" s="218" t="n"/>
      <c r="K84" s="218" t="n"/>
      <c r="L84" s="229" t="n"/>
      <c r="M84" s="229" t="n"/>
      <c r="N84" s="229" t="n"/>
      <c r="O84" s="229" t="n"/>
      <c r="P84" s="229" t="n"/>
      <c r="Q84" s="229" t="n"/>
      <c r="R84" s="229" t="n"/>
      <c r="S84" s="235" t="n"/>
      <c r="T84" s="235" t="n"/>
      <c r="U84" s="229" t="n"/>
      <c r="V84" s="113" t="n"/>
      <c r="W84" s="113" t="n"/>
      <c r="X84" s="113" t="n"/>
      <c r="Y84" s="227" t="n"/>
      <c r="Z84" s="227" t="n"/>
      <c r="AA84" s="227" t="n"/>
      <c r="AB84" s="81" t="n"/>
      <c r="AC84" s="180" t="n"/>
      <c r="AD84" s="180" t="n"/>
      <c r="AE84" s="99">
        <f>IF(COUNTA(B84,C84,D84,E84,F84,G84,H84,I84,J84,K84,L84,M84,N84,O84,P84,Q84,R84,S84,T84,U84,AC84,AD84)&gt;0,TEXTJOIN("；",TRUE,IF(B84="","缺少设备名称",""),IF(AND(ISTEXT(B84),OR(B84&lt;&gt;TRIM(B84),ISNUMBER(SEARCH("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",E84)))),"安装位置含首尾空格或全角空格",""),IF(F84="","缺少设备类别",""),IF(F84="","",IF(COUNTIF(EV_AXIAL_FAN_CATEGORY,F84)=0,"设备类别不在标准枚举中","")),IF(AND(ISTEXT(F84),OR(F84&lt;&gt;TRIM(F84),ISNUMBER(SEARCH("　",F84)))),"设备类别含首尾空格或全角空格",""),IF(G84="","缺少传动方式",""),IF(G84="","",IF(COUNTIF(EV_TRANSMISSION,G84)=0,"传动方式不在标准枚举中","")),IF(AND(ISTEXT(G84),OR(G84&lt;&gt;TRIM(G84),ISNUMBER(SEARCH("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",G84)))),"传动方式含首尾空格或全角空格",""),IF(H84="","缺少是否带进气箱",""),IF(H84="","",IF(COUNTIF(EV_YES_NO,H84)=0,"是否带进气箱不在标准枚举中","")),IF(AND(ISTEXT(H84),OR(H84&lt;&gt;TRIM(H84),ISNUMBER(SEARCH("　",H84)))),"是否带进气箱含首尾空格或全角空格",""),IF(I84="","缺少是否带扩散筒",""),IF(I84="","",IF(COUNTIF(EV_YES_NO,I84)=0,"是否带扩散筒不在标准枚举中","")),IF(AND(ISTEXT(I84),OR(I84&lt;&gt;TRIM(I84),ISNUMBER(SEARCH("　",I84)))),"是否带扩散筒含首尾空格或全角空格",""),IF(J84="","缺少是否动叶可调",""),IF(J84="","",IF(COUNTIF(EV_YES_NO,J84)=0,"是否动叶可调不在标准枚举中","")),IF(AND(ISTEXT(J84),OR(J84&lt;&gt;TRIM(J84),ISNUMBER(SEARCH("　",J84)))),"是否动叶可调含首尾空格或全角空格",""),IF(K84="","缺少是否可逆转",""),IF(K84="","",IF(COUNTIF(EV_YES_NO,K84)=0,"是否可逆转不在标准枚举中","")),IF(AND(ISTEXT(K84),OR(K84&lt;&gt;TRIM(K84),ISNUMBER(SEARCH("　",K84)))),"是否可逆转含首尾空格或全角空格",""),IF(L84="","缺少流量",""),IF(L84="","",IF(NOT(ISNUMBER(L84)),"流量应为数值",IF(L84&lt;=0,"流量应大于0",""))),IF(M84="","缺少风机压力pF",""),IF(M84="","",IF(NOT(ISNUMBER(M84)),"风机压力pF应为数值",IF(M84&lt;=0,"风机压力pF应大于0",""))),IF(N84="","缺少额定功率",""),IF(N84="","",IF(NOT(ISNUMBER(N84)),"额定功率应为数值",IF(N84&lt;=0,"额定功率应大于0",""))),IF(O84="","缺少叶轮功率",""),IF(O84="","",IF(NOT(ISNUMBER(O84)),"叶轮功率应为数值",IF(O84&lt;=0,"叶轮功率应大于0",""))),IF(P84="","缺少转速",""),IF(P84="","",IF(NOT(ISNUMBER(P84)),"转速应为数值",IF(P84&lt;=0,"转速应大于0",""))),IF(Q84="","缺少机号",""),IF(Q84="","",IF(NOT(ISNUMBER(Q84)),"机号应为数值",IF(Q84&lt;=0,"机号应大于0",""))),IF(R84="","缺少进口滞止密度",""),IF(R84="","",IF(NOT(ISNUMBER(R84)),"进口滞止密度应为数值",IF(R84&lt;=0,"进口滞止密度应大于0",""))),IF(S84="","缺少等熵指数k",""),IF(S84="","",IF(NOT(ISNUMBER(S84)),"等熵指数k应为数值",IF(OR(S84&lt;1,S84&gt;2),"等熵指数k应为1～2",""))),IF(T84="","缺少轮毂比",""),IF(T84="","",IF(NOT(ISNUMBER(T84)),"轮毂比应为数值",IF(OR(T84&lt;0,T84&gt;1),"轮毂比应为0～1",""))),IF(U84="","缺少最高通风机效率ηr",""),IF(U84="","",IF(NOT(ISNUMBER(U84)),"最高通风机效率ηr应为数值",IF(OR(U84&lt;1,U84&gt;100),"最高通风机效率ηr应为1～100的百分数本值",""))),IF(AC84="","缺少铭牌照片",""),IF(AND(ISTEXT(AD84),OR(AD84&lt;&gt;TRIM(AD84),ISNUMBER(SEARCH("　",AD84)))),"填表备注含首尾空格或全角空格",""),IF(AND(ISNUMBER(M84),M84&gt;30000),"风机压力超过30kPa，超出通风机标准范围",""),IF(AND(J84="是",H84="是"),"动叶可调特殊效率规则要求进口无进气箱",""),IF(AND(J84="是",I84="是"),"动叶可调特殊效率规则要求出口无扩散筒","")),"")</f>
        <v/>
      </c>
    </row>
    <row r="85" ht="42" customHeight="1" s="184">
      <c r="A85" s="224">
        <f>IF(COUNTA(B85,C85,D85,E85,F85,G85,H85,I85,J85,K85,L85,M85,N85,O85,P85,Q85,R85,S85,T85,U85,AC85,AD85)&gt;0,ROW()-3,"")</f>
        <v/>
      </c>
      <c r="B85" s="176" t="n"/>
      <c r="C85" s="176" t="n"/>
      <c r="D85" s="228" t="n"/>
      <c r="E85" s="176" t="n"/>
      <c r="F85" s="218" t="n"/>
      <c r="G85" s="218" t="n"/>
      <c r="H85" s="218" t="n"/>
      <c r="I85" s="218" t="n"/>
      <c r="J85" s="218" t="n"/>
      <c r="K85" s="218" t="n"/>
      <c r="L85" s="229" t="n"/>
      <c r="M85" s="229" t="n"/>
      <c r="N85" s="229" t="n"/>
      <c r="O85" s="229" t="n"/>
      <c r="P85" s="229" t="n"/>
      <c r="Q85" s="229" t="n"/>
      <c r="R85" s="229" t="n"/>
      <c r="S85" s="235" t="n"/>
      <c r="T85" s="235" t="n"/>
      <c r="U85" s="229" t="n"/>
      <c r="V85" s="113" t="n"/>
      <c r="W85" s="113" t="n"/>
      <c r="X85" s="113" t="n"/>
      <c r="Y85" s="227" t="n"/>
      <c r="Z85" s="227" t="n"/>
      <c r="AA85" s="227" t="n"/>
      <c r="AB85" s="81" t="n"/>
      <c r="AC85" s="180" t="n"/>
      <c r="AD85" s="180" t="n"/>
      <c r="AE85" s="99">
        <f>IF(COUNTA(B85,C85,D85,E85,F85,G85,H85,I85,J85,K85,L85,M85,N85,O85,P85,Q85,R85,S85,T85,U85,AC85,AD85)&gt;0,TEXTJOIN("；",TRUE,IF(B85="","缺少设备名称",""),IF(AND(ISTEXT(B85),OR(B85&lt;&gt;TRIM(B85),ISNUMBER(SEARCH("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",E85)))),"安装位置含首尾空格或全角空格",""),IF(F85="","缺少设备类别",""),IF(F85="","",IF(COUNTIF(EV_AXIAL_FAN_CATEGORY,F85)=0,"设备类别不在标准枚举中","")),IF(AND(ISTEXT(F85),OR(F85&lt;&gt;TRIM(F85),ISNUMBER(SEARCH("　",F85)))),"设备类别含首尾空格或全角空格",""),IF(G85="","缺少传动方式",""),IF(G85="","",IF(COUNTIF(EV_TRANSMISSION,G85)=0,"传动方式不在标准枚举中","")),IF(AND(ISTEXT(G85),OR(G85&lt;&gt;TRIM(G85),ISNUMBER(SEARCH("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",G85)))),"传动方式含首尾空格或全角空格",""),IF(H85="","缺少是否带进气箱",""),IF(H85="","",IF(COUNTIF(EV_YES_NO,H85)=0,"是否带进气箱不在标准枚举中","")),IF(AND(ISTEXT(H85),OR(H85&lt;&gt;TRIM(H85),ISNUMBER(SEARCH("　",H85)))),"是否带进气箱含首尾空格或全角空格",""),IF(I85="","缺少是否带扩散筒",""),IF(I85="","",IF(COUNTIF(EV_YES_NO,I85)=0,"是否带扩散筒不在标准枚举中","")),IF(AND(ISTEXT(I85),OR(I85&lt;&gt;TRIM(I85),ISNUMBER(SEARCH("　",I85)))),"是否带扩散筒含首尾空格或全角空格",""),IF(J85="","缺少是否动叶可调",""),IF(J85="","",IF(COUNTIF(EV_YES_NO,J85)=0,"是否动叶可调不在标准枚举中","")),IF(AND(ISTEXT(J85),OR(J85&lt;&gt;TRIM(J85),ISNUMBER(SEARCH("　",J85)))),"是否动叶可调含首尾空格或全角空格",""),IF(K85="","缺少是否可逆转",""),IF(K85="","",IF(COUNTIF(EV_YES_NO,K85)=0,"是否可逆转不在标准枚举中","")),IF(AND(ISTEXT(K85),OR(K85&lt;&gt;TRIM(K85),ISNUMBER(SEARCH("　",K85)))),"是否可逆转含首尾空格或全角空格",""),IF(L85="","缺少流量",""),IF(L85="","",IF(NOT(ISNUMBER(L85)),"流量应为数值",IF(L85&lt;=0,"流量应大于0",""))),IF(M85="","缺少风机压力pF",""),IF(M85="","",IF(NOT(ISNUMBER(M85)),"风机压力pF应为数值",IF(M85&lt;=0,"风机压力pF应大于0",""))),IF(N85="","缺少额定功率",""),IF(N85="","",IF(NOT(ISNUMBER(N85)),"额定功率应为数值",IF(N85&lt;=0,"额定功率应大于0",""))),IF(O85="","缺少叶轮功率",""),IF(O85="","",IF(NOT(ISNUMBER(O85)),"叶轮功率应为数值",IF(O85&lt;=0,"叶轮功率应大于0",""))),IF(P85="","缺少转速",""),IF(P85="","",IF(NOT(ISNUMBER(P85)),"转速应为数值",IF(P85&lt;=0,"转速应大于0",""))),IF(Q85="","缺少机号",""),IF(Q85="","",IF(NOT(ISNUMBER(Q85)),"机号应为数值",IF(Q85&lt;=0,"机号应大于0",""))),IF(R85="","缺少进口滞止密度",""),IF(R85="","",IF(NOT(ISNUMBER(R85)),"进口滞止密度应为数值",IF(R85&lt;=0,"进口滞止密度应大于0",""))),IF(S85="","缺少等熵指数k",""),IF(S85="","",IF(NOT(ISNUMBER(S85)),"等熵指数k应为数值",IF(OR(S85&lt;1,S85&gt;2),"等熵指数k应为1～2",""))),IF(T85="","缺少轮毂比",""),IF(T85="","",IF(NOT(ISNUMBER(T85)),"轮毂比应为数值",IF(OR(T85&lt;0,T85&gt;1),"轮毂比应为0～1",""))),IF(U85="","缺少最高通风机效率ηr",""),IF(U85="","",IF(NOT(ISNUMBER(U85)),"最高通风机效率ηr应为数值",IF(OR(U85&lt;1,U85&gt;100),"最高通风机效率ηr应为1～100的百分数本值",""))),IF(AC85="","缺少铭牌照片",""),IF(AND(ISTEXT(AD85),OR(AD85&lt;&gt;TRIM(AD85),ISNUMBER(SEARCH("　",AD85)))),"填表备注含首尾空格或全角空格",""),IF(AND(ISNUMBER(M85),M85&gt;30000),"风机压力超过30kPa，超出通风机标准范围",""),IF(AND(J85="是",H85="是"),"动叶可调特殊效率规则要求进口无进气箱",""),IF(AND(J85="是",I85="是"),"动叶可调特殊效率规则要求出口无扩散筒","")),"")</f>
        <v/>
      </c>
    </row>
    <row r="86" ht="42" customHeight="1" s="184">
      <c r="A86" s="224">
        <f>IF(COUNTA(B86,C86,D86,E86,F86,G86,H86,I86,J86,K86,L86,M86,N86,O86,P86,Q86,R86,S86,T86,U86,AC86,AD86)&gt;0,ROW()-3,"")</f>
        <v/>
      </c>
      <c r="B86" s="176" t="n"/>
      <c r="C86" s="176" t="n"/>
      <c r="D86" s="228" t="n"/>
      <c r="E86" s="176" t="n"/>
      <c r="F86" s="218" t="n"/>
      <c r="G86" s="218" t="n"/>
      <c r="H86" s="218" t="n"/>
      <c r="I86" s="218" t="n"/>
      <c r="J86" s="218" t="n"/>
      <c r="K86" s="218" t="n"/>
      <c r="L86" s="229" t="n"/>
      <c r="M86" s="229" t="n"/>
      <c r="N86" s="229" t="n"/>
      <c r="O86" s="229" t="n"/>
      <c r="P86" s="229" t="n"/>
      <c r="Q86" s="229" t="n"/>
      <c r="R86" s="229" t="n"/>
      <c r="S86" s="235" t="n"/>
      <c r="T86" s="235" t="n"/>
      <c r="U86" s="229" t="n"/>
      <c r="V86" s="113" t="n"/>
      <c r="W86" s="113" t="n"/>
      <c r="X86" s="113" t="n"/>
      <c r="Y86" s="227" t="n"/>
      <c r="Z86" s="227" t="n"/>
      <c r="AA86" s="227" t="n"/>
      <c r="AB86" s="81" t="n"/>
      <c r="AC86" s="180" t="n"/>
      <c r="AD86" s="180" t="n"/>
      <c r="AE86" s="99">
        <f>IF(COUNTA(B86,C86,D86,E86,F86,G86,H86,I86,J86,K86,L86,M86,N86,O86,P86,Q86,R86,S86,T86,U86,AC86,AD86)&gt;0,TEXTJOIN("；",TRUE,IF(B86="","缺少设备名称",""),IF(AND(ISTEXT(B86),OR(B86&lt;&gt;TRIM(B86),ISNUMBER(SEARCH("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",E86)))),"安装位置含首尾空格或全角空格",""),IF(F86="","缺少设备类别",""),IF(F86="","",IF(COUNTIF(EV_AXIAL_FAN_CATEGORY,F86)=0,"设备类别不在标准枚举中","")),IF(AND(ISTEXT(F86),OR(F86&lt;&gt;TRIM(F86),ISNUMBER(SEARCH("　",F86)))),"设备类别含首尾空格或全角空格",""),IF(G86="","缺少传动方式",""),IF(G86="","",IF(COUNTIF(EV_TRANSMISSION,G86)=0,"传动方式不在标准枚举中","")),IF(AND(ISTEXT(G86),OR(G86&lt;&gt;TRIM(G86),ISNUMBER(SEARCH("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",G86)))),"传动方式含首尾空格或全角空格",""),IF(H86="","缺少是否带进气箱",""),IF(H86="","",IF(COUNTIF(EV_YES_NO,H86)=0,"是否带进气箱不在标准枚举中","")),IF(AND(ISTEXT(H86),OR(H86&lt;&gt;TRIM(H86),ISNUMBER(SEARCH("　",H86)))),"是否带进气箱含首尾空格或全角空格",""),IF(I86="","缺少是否带扩散筒",""),IF(I86="","",IF(COUNTIF(EV_YES_NO,I86)=0,"是否带扩散筒不在标准枚举中","")),IF(AND(ISTEXT(I86),OR(I86&lt;&gt;TRIM(I86),ISNUMBER(SEARCH("　",I86)))),"是否带扩散筒含首尾空格或全角空格",""),IF(J86="","缺少是否动叶可调",""),IF(J86="","",IF(COUNTIF(EV_YES_NO,J86)=0,"是否动叶可调不在标准枚举中","")),IF(AND(ISTEXT(J86),OR(J86&lt;&gt;TRIM(J86),ISNUMBER(SEARCH("　",J86)))),"是否动叶可调含首尾空格或全角空格",""),IF(K86="","缺少是否可逆转",""),IF(K86="","",IF(COUNTIF(EV_YES_NO,K86)=0,"是否可逆转不在标准枚举中","")),IF(AND(ISTEXT(K86),OR(K86&lt;&gt;TRIM(K86),ISNUMBER(SEARCH("　",K86)))),"是否可逆转含首尾空格或全角空格",""),IF(L86="","缺少流量",""),IF(L86="","",IF(NOT(ISNUMBER(L86)),"流量应为数值",IF(L86&lt;=0,"流量应大于0",""))),IF(M86="","缺少风机压力pF",""),IF(M86="","",IF(NOT(ISNUMBER(M86)),"风机压力pF应为数值",IF(M86&lt;=0,"风机压力pF应大于0",""))),IF(N86="","缺少额定功率",""),IF(N86="","",IF(NOT(ISNUMBER(N86)),"额定功率应为数值",IF(N86&lt;=0,"额定功率应大于0",""))),IF(O86="","缺少叶轮功率",""),IF(O86="","",IF(NOT(ISNUMBER(O86)),"叶轮功率应为数值",IF(O86&lt;=0,"叶轮功率应大于0",""))),IF(P86="","缺少转速",""),IF(P86="","",IF(NOT(ISNUMBER(P86)),"转速应为数值",IF(P86&lt;=0,"转速应大于0",""))),IF(Q86="","缺少机号",""),IF(Q86="","",IF(NOT(ISNUMBER(Q86)),"机号应为数值",IF(Q86&lt;=0,"机号应大于0",""))),IF(R86="","缺少进口滞止密度",""),IF(R86="","",IF(NOT(ISNUMBER(R86)),"进口滞止密度应为数值",IF(R86&lt;=0,"进口滞止密度应大于0",""))),IF(S86="","缺少等熵指数k",""),IF(S86="","",IF(NOT(ISNUMBER(S86)),"等熵指数k应为数值",IF(OR(S86&lt;1,S86&gt;2),"等熵指数k应为1～2",""))),IF(T86="","缺少轮毂比",""),IF(T86="","",IF(NOT(ISNUMBER(T86)),"轮毂比应为数值",IF(OR(T86&lt;0,T86&gt;1),"轮毂比应为0～1",""))),IF(U86="","缺少最高通风机效率ηr",""),IF(U86="","",IF(NOT(ISNUMBER(U86)),"最高通风机效率ηr应为数值",IF(OR(U86&lt;1,U86&gt;100),"最高通风机效率ηr应为1～100的百分数本值",""))),IF(AC86="","缺少铭牌照片",""),IF(AND(ISTEXT(AD86),OR(AD86&lt;&gt;TRIM(AD86),ISNUMBER(SEARCH("　",AD86)))),"填表备注含首尾空格或全角空格",""),IF(AND(ISNUMBER(M86),M86&gt;30000),"风机压力超过30kPa，超出通风机标准范围",""),IF(AND(J86="是",H86="是"),"动叶可调特殊效率规则要求进口无进气箱",""),IF(AND(J86="是",I86="是"),"动叶可调特殊效率规则要求出口无扩散筒","")),"")</f>
        <v/>
      </c>
    </row>
    <row r="87" ht="42" customHeight="1" s="184">
      <c r="A87" s="224">
        <f>IF(COUNTA(B87,C87,D87,E87,F87,G87,H87,I87,J87,K87,L87,M87,N87,O87,P87,Q87,R87,S87,T87,U87,AC87,AD87)&gt;0,ROW()-3,"")</f>
        <v/>
      </c>
      <c r="B87" s="176" t="n"/>
      <c r="C87" s="176" t="n"/>
      <c r="D87" s="228" t="n"/>
      <c r="E87" s="176" t="n"/>
      <c r="F87" s="218" t="n"/>
      <c r="G87" s="218" t="n"/>
      <c r="H87" s="218" t="n"/>
      <c r="I87" s="218" t="n"/>
      <c r="J87" s="218" t="n"/>
      <c r="K87" s="218" t="n"/>
      <c r="L87" s="229" t="n"/>
      <c r="M87" s="229" t="n"/>
      <c r="N87" s="229" t="n"/>
      <c r="O87" s="229" t="n"/>
      <c r="P87" s="229" t="n"/>
      <c r="Q87" s="229" t="n"/>
      <c r="R87" s="229" t="n"/>
      <c r="S87" s="235" t="n"/>
      <c r="T87" s="235" t="n"/>
      <c r="U87" s="229" t="n"/>
      <c r="V87" s="113" t="n"/>
      <c r="W87" s="113" t="n"/>
      <c r="X87" s="113" t="n"/>
      <c r="Y87" s="227" t="n"/>
      <c r="Z87" s="227" t="n"/>
      <c r="AA87" s="227" t="n"/>
      <c r="AB87" s="81" t="n"/>
      <c r="AC87" s="180" t="n"/>
      <c r="AD87" s="180" t="n"/>
      <c r="AE87" s="99">
        <f>IF(COUNTA(B87,C87,D87,E87,F87,G87,H87,I87,J87,K87,L87,M87,N87,O87,P87,Q87,R87,S87,T87,U87,AC87,AD87)&gt;0,TEXTJOIN("；",TRUE,IF(B87="","缺少设备名称",""),IF(AND(ISTEXT(B87),OR(B87&lt;&gt;TRIM(B87),ISNUMBER(SEARCH("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",E87)))),"安装位置含首尾空格或全角空格",""),IF(F87="","缺少设备类别",""),IF(F87="","",IF(COUNTIF(EV_AXIAL_FAN_CATEGORY,F87)=0,"设备类别不在标准枚举中","")),IF(AND(ISTEXT(F87),OR(F87&lt;&gt;TRIM(F87),ISNUMBER(SEARCH("　",F87)))),"设备类别含首尾空格或全角空格",""),IF(G87="","缺少传动方式",""),IF(G87="","",IF(COUNTIF(EV_TRANSMISSION,G87)=0,"传动方式不在标准枚举中","")),IF(AND(ISTEXT(G87),OR(G87&lt;&gt;TRIM(G87),ISNUMBER(SEARCH("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",G87)))),"传动方式含首尾空格或全角空格",""),IF(H87="","缺少是否带进气箱",""),IF(H87="","",IF(COUNTIF(EV_YES_NO,H87)=0,"是否带进气箱不在标准枚举中","")),IF(AND(ISTEXT(H87),OR(H87&lt;&gt;TRIM(H87),ISNUMBER(SEARCH("　",H87)))),"是否带进气箱含首尾空格或全角空格",""),IF(I87="","缺少是否带扩散筒",""),IF(I87="","",IF(COUNTIF(EV_YES_NO,I87)=0,"是否带扩散筒不在标准枚举中","")),IF(AND(ISTEXT(I87),OR(I87&lt;&gt;TRIM(I87),ISNUMBER(SEARCH("　",I87)))),"是否带扩散筒含首尾空格或全角空格",""),IF(J87="","缺少是否动叶可调",""),IF(J87="","",IF(COUNTIF(EV_YES_NO,J87)=0,"是否动叶可调不在标准枚举中","")),IF(AND(ISTEXT(J87),OR(J87&lt;&gt;TRIM(J87),ISNUMBER(SEARCH("　",J87)))),"是否动叶可调含首尾空格或全角空格",""),IF(K87="","缺少是否可逆转",""),IF(K87="","",IF(COUNTIF(EV_YES_NO,K87)=0,"是否可逆转不在标准枚举中","")),IF(AND(ISTEXT(K87),OR(K87&lt;&gt;TRIM(K87),ISNUMBER(SEARCH("　",K87)))),"是否可逆转含首尾空格或全角空格",""),IF(L87="","缺少流量",""),IF(L87="","",IF(NOT(ISNUMBER(L87)),"流量应为数值",IF(L87&lt;=0,"流量应大于0",""))),IF(M87="","缺少风机压力pF",""),IF(M87="","",IF(NOT(ISNUMBER(M87)),"风机压力pF应为数值",IF(M87&lt;=0,"风机压力pF应大于0",""))),IF(N87="","缺少额定功率",""),IF(N87="","",IF(NOT(ISNUMBER(N87)),"额定功率应为数值",IF(N87&lt;=0,"额定功率应大于0",""))),IF(O87="","缺少叶轮功率",""),IF(O87="","",IF(NOT(ISNUMBER(O87)),"叶轮功率应为数值",IF(O87&lt;=0,"叶轮功率应大于0",""))),IF(P87="","缺少转速",""),IF(P87="","",IF(NOT(ISNUMBER(P87)),"转速应为数值",IF(P87&lt;=0,"转速应大于0",""))),IF(Q87="","缺少机号",""),IF(Q87="","",IF(NOT(ISNUMBER(Q87)),"机号应为数值",IF(Q87&lt;=0,"机号应大于0",""))),IF(R87="","缺少进口滞止密度",""),IF(R87="","",IF(NOT(ISNUMBER(R87)),"进口滞止密度应为数值",IF(R87&lt;=0,"进口滞止密度应大于0",""))),IF(S87="","缺少等熵指数k",""),IF(S87="","",IF(NOT(ISNUMBER(S87)),"等熵指数k应为数值",IF(OR(S87&lt;1,S87&gt;2),"等熵指数k应为1～2",""))),IF(T87="","缺少轮毂比",""),IF(T87="","",IF(NOT(ISNUMBER(T87)),"轮毂比应为数值",IF(OR(T87&lt;0,T87&gt;1),"轮毂比应为0～1",""))),IF(U87="","缺少最高通风机效率ηr",""),IF(U87="","",IF(NOT(ISNUMBER(U87)),"最高通风机效率ηr应为数值",IF(OR(U87&lt;1,U87&gt;100),"最高通风机效率ηr应为1～100的百分数本值",""))),IF(AC87="","缺少铭牌照片",""),IF(AND(ISTEXT(AD87),OR(AD87&lt;&gt;TRIM(AD87),ISNUMBER(SEARCH("　",AD87)))),"填表备注含首尾空格或全角空格",""),IF(AND(ISNUMBER(M87),M87&gt;30000),"风机压力超过30kPa，超出通风机标准范围",""),IF(AND(J87="是",H87="是"),"动叶可调特殊效率规则要求进口无进气箱",""),IF(AND(J87="是",I87="是"),"动叶可调特殊效率规则要求出口无扩散筒","")),"")</f>
        <v/>
      </c>
    </row>
    <row r="88" ht="42" customHeight="1" s="184">
      <c r="A88" s="224">
        <f>IF(COUNTA(B88,C88,D88,E88,F88,G88,H88,I88,J88,K88,L88,M88,N88,O88,P88,Q88,R88,S88,T88,U88,AC88,AD88)&gt;0,ROW()-3,"")</f>
        <v/>
      </c>
      <c r="B88" s="176" t="n"/>
      <c r="C88" s="176" t="n"/>
      <c r="D88" s="228" t="n"/>
      <c r="E88" s="176" t="n"/>
      <c r="F88" s="218" t="n"/>
      <c r="G88" s="218" t="n"/>
      <c r="H88" s="218" t="n"/>
      <c r="I88" s="218" t="n"/>
      <c r="J88" s="218" t="n"/>
      <c r="K88" s="218" t="n"/>
      <c r="L88" s="229" t="n"/>
      <c r="M88" s="229" t="n"/>
      <c r="N88" s="229" t="n"/>
      <c r="O88" s="229" t="n"/>
      <c r="P88" s="229" t="n"/>
      <c r="Q88" s="229" t="n"/>
      <c r="R88" s="229" t="n"/>
      <c r="S88" s="235" t="n"/>
      <c r="T88" s="235" t="n"/>
      <c r="U88" s="229" t="n"/>
      <c r="V88" s="113" t="n"/>
      <c r="W88" s="113" t="n"/>
      <c r="X88" s="113" t="n"/>
      <c r="Y88" s="227" t="n"/>
      <c r="Z88" s="227" t="n"/>
      <c r="AA88" s="227" t="n"/>
      <c r="AB88" s="81" t="n"/>
      <c r="AC88" s="180" t="n"/>
      <c r="AD88" s="180" t="n"/>
      <c r="AE88" s="99">
        <f>IF(COUNTA(B88,C88,D88,E88,F88,G88,H88,I88,J88,K88,L88,M88,N88,O88,P88,Q88,R88,S88,T88,U88,AC88,AD88)&gt;0,TEXTJOIN("；",TRUE,IF(B88="","缺少设备名称",""),IF(AND(ISTEXT(B88),OR(B88&lt;&gt;TRIM(B88),ISNUMBER(SEARCH("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",E88)))),"安装位置含首尾空格或全角空格",""),IF(F88="","缺少设备类别",""),IF(F88="","",IF(COUNTIF(EV_AXIAL_FAN_CATEGORY,F88)=0,"设备类别不在标准枚举中","")),IF(AND(ISTEXT(F88),OR(F88&lt;&gt;TRIM(F88),ISNUMBER(SEARCH("　",F88)))),"设备类别含首尾空格或全角空格",""),IF(G88="","缺少传动方式",""),IF(G88="","",IF(COUNTIF(EV_TRANSMISSION,G88)=0,"传动方式不在标准枚举中","")),IF(AND(ISTEXT(G88),OR(G88&lt;&gt;TRIM(G88),ISNUMBER(SEARCH("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",G88)))),"传动方式含首尾空格或全角空格",""),IF(H88="","缺少是否带进气箱",""),IF(H88="","",IF(COUNTIF(EV_YES_NO,H88)=0,"是否带进气箱不在标准枚举中","")),IF(AND(ISTEXT(H88),OR(H88&lt;&gt;TRIM(H88),ISNUMBER(SEARCH("　",H88)))),"是否带进气箱含首尾空格或全角空格",""),IF(I88="","缺少是否带扩散筒",""),IF(I88="","",IF(COUNTIF(EV_YES_NO,I88)=0,"是否带扩散筒不在标准枚举中","")),IF(AND(ISTEXT(I88),OR(I88&lt;&gt;TRIM(I88),ISNUMBER(SEARCH("　",I88)))),"是否带扩散筒含首尾空格或全角空格",""),IF(J88="","缺少是否动叶可调",""),IF(J88="","",IF(COUNTIF(EV_YES_NO,J88)=0,"是否动叶可调不在标准枚举中","")),IF(AND(ISTEXT(J88),OR(J88&lt;&gt;TRIM(J88),ISNUMBER(SEARCH("　",J88)))),"是否动叶可调含首尾空格或全角空格",""),IF(K88="","缺少是否可逆转",""),IF(K88="","",IF(COUNTIF(EV_YES_NO,K88)=0,"是否可逆转不在标准枚举中","")),IF(AND(ISTEXT(K88),OR(K88&lt;&gt;TRIM(K88),ISNUMBER(SEARCH("　",K88)))),"是否可逆转含首尾空格或全角空格",""),IF(L88="","缺少流量",""),IF(L88="","",IF(NOT(ISNUMBER(L88)),"流量应为数值",IF(L88&lt;=0,"流量应大于0",""))),IF(M88="","缺少风机压力pF",""),IF(M88="","",IF(NOT(ISNUMBER(M88)),"风机压力pF应为数值",IF(M88&lt;=0,"风机压力pF应大于0",""))),IF(N88="","缺少额定功率",""),IF(N88="","",IF(NOT(ISNUMBER(N88)),"额定功率应为数值",IF(N88&lt;=0,"额定功率应大于0",""))),IF(O88="","缺少叶轮功率",""),IF(O88="","",IF(NOT(ISNUMBER(O88)),"叶轮功率应为数值",IF(O88&lt;=0,"叶轮功率应大于0",""))),IF(P88="","缺少转速",""),IF(P88="","",IF(NOT(ISNUMBER(P88)),"转速应为数值",IF(P88&lt;=0,"转速应大于0",""))),IF(Q88="","缺少机号",""),IF(Q88="","",IF(NOT(ISNUMBER(Q88)),"机号应为数值",IF(Q88&lt;=0,"机号应大于0",""))),IF(R88="","缺少进口滞止密度",""),IF(R88="","",IF(NOT(ISNUMBER(R88)),"进口滞止密度应为数值",IF(R88&lt;=0,"进口滞止密度应大于0",""))),IF(S88="","缺少等熵指数k",""),IF(S88="","",IF(NOT(ISNUMBER(S88)),"等熵指数k应为数值",IF(OR(S88&lt;1,S88&gt;2),"等熵指数k应为1～2",""))),IF(T88="","缺少轮毂比",""),IF(T88="","",IF(NOT(ISNUMBER(T88)),"轮毂比应为数值",IF(OR(T88&lt;0,T88&gt;1),"轮毂比应为0～1",""))),IF(U88="","缺少最高通风机效率ηr",""),IF(U88="","",IF(NOT(ISNUMBER(U88)),"最高通风机效率ηr应为数值",IF(OR(U88&lt;1,U88&gt;100),"最高通风机效率ηr应为1～100的百分数本值",""))),IF(AC88="","缺少铭牌照片",""),IF(AND(ISTEXT(AD88),OR(AD88&lt;&gt;TRIM(AD88),ISNUMBER(SEARCH("　",AD88)))),"填表备注含首尾空格或全角空格",""),IF(AND(ISNUMBER(M88),M88&gt;30000),"风机压力超过30kPa，超出通风机标准范围",""),IF(AND(J88="是",H88="是"),"动叶可调特殊效率规则要求进口无进气箱",""),IF(AND(J88="是",I88="是"),"动叶可调特殊效率规则要求出口无扩散筒","")),"")</f>
        <v/>
      </c>
    </row>
    <row r="89" ht="42" customHeight="1" s="184">
      <c r="A89" s="224">
        <f>IF(COUNTA(B89,C89,D89,E89,F89,G89,H89,I89,J89,K89,L89,M89,N89,O89,P89,Q89,R89,S89,T89,U89,AC89,AD89)&gt;0,ROW()-3,"")</f>
        <v/>
      </c>
      <c r="B89" s="176" t="n"/>
      <c r="C89" s="176" t="n"/>
      <c r="D89" s="228" t="n"/>
      <c r="E89" s="176" t="n"/>
      <c r="F89" s="218" t="n"/>
      <c r="G89" s="218" t="n"/>
      <c r="H89" s="218" t="n"/>
      <c r="I89" s="218" t="n"/>
      <c r="J89" s="218" t="n"/>
      <c r="K89" s="218" t="n"/>
      <c r="L89" s="229" t="n"/>
      <c r="M89" s="229" t="n"/>
      <c r="N89" s="229" t="n"/>
      <c r="O89" s="229" t="n"/>
      <c r="P89" s="229" t="n"/>
      <c r="Q89" s="229" t="n"/>
      <c r="R89" s="229" t="n"/>
      <c r="S89" s="235" t="n"/>
      <c r="T89" s="235" t="n"/>
      <c r="U89" s="229" t="n"/>
      <c r="V89" s="113" t="n"/>
      <c r="W89" s="113" t="n"/>
      <c r="X89" s="113" t="n"/>
      <c r="Y89" s="227" t="n"/>
      <c r="Z89" s="227" t="n"/>
      <c r="AA89" s="227" t="n"/>
      <c r="AB89" s="81" t="n"/>
      <c r="AC89" s="180" t="n"/>
      <c r="AD89" s="180" t="n"/>
      <c r="AE89" s="99">
        <f>IF(COUNTA(B89,C89,D89,E89,F89,G89,H89,I89,J89,K89,L89,M89,N89,O89,P89,Q89,R89,S89,T89,U89,AC89,AD89)&gt;0,TEXTJOIN("；",TRUE,IF(B89="","缺少设备名称",""),IF(AND(ISTEXT(B89),OR(B89&lt;&gt;TRIM(B89),ISNUMBER(SEARCH("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",E89)))),"安装位置含首尾空格或全角空格",""),IF(F89="","缺少设备类别",""),IF(F89="","",IF(COUNTIF(EV_AXIAL_FAN_CATEGORY,F89)=0,"设备类别不在标准枚举中","")),IF(AND(ISTEXT(F89),OR(F89&lt;&gt;TRIM(F89),ISNUMBER(SEARCH("　",F89)))),"设备类别含首尾空格或全角空格",""),IF(G89="","缺少传动方式",""),IF(G89="","",IF(COUNTIF(EV_TRANSMISSION,G89)=0,"传动方式不在标准枚举中","")),IF(AND(ISTEXT(G89),OR(G89&lt;&gt;TRIM(G89),ISNUMBER(SEARCH("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",G89)))),"传动方式含首尾空格或全角空格",""),IF(H89="","缺少是否带进气箱",""),IF(H89="","",IF(COUNTIF(EV_YES_NO,H89)=0,"是否带进气箱不在标准枚举中","")),IF(AND(ISTEXT(H89),OR(H89&lt;&gt;TRIM(H89),ISNUMBER(SEARCH("　",H89)))),"是否带进气箱含首尾空格或全角空格",""),IF(I89="","缺少是否带扩散筒",""),IF(I89="","",IF(COUNTIF(EV_YES_NO,I89)=0,"是否带扩散筒不在标准枚举中","")),IF(AND(ISTEXT(I89),OR(I89&lt;&gt;TRIM(I89),ISNUMBER(SEARCH("　",I89)))),"是否带扩散筒含首尾空格或全角空格",""),IF(J89="","缺少是否动叶可调",""),IF(J89="","",IF(COUNTIF(EV_YES_NO,J89)=0,"是否动叶可调不在标准枚举中","")),IF(AND(ISTEXT(J89),OR(J89&lt;&gt;TRIM(J89),ISNUMBER(SEARCH("　",J89)))),"是否动叶可调含首尾空格或全角空格",""),IF(K89="","缺少是否可逆转",""),IF(K89="","",IF(COUNTIF(EV_YES_NO,K89)=0,"是否可逆转不在标准枚举中","")),IF(AND(ISTEXT(K89),OR(K89&lt;&gt;TRIM(K89),ISNUMBER(SEARCH("　",K89)))),"是否可逆转含首尾空格或全角空格",""),IF(L89="","缺少流量",""),IF(L89="","",IF(NOT(ISNUMBER(L89)),"流量应为数值",IF(L89&lt;=0,"流量应大于0",""))),IF(M89="","缺少风机压力pF",""),IF(M89="","",IF(NOT(ISNUMBER(M89)),"风机压力pF应为数值",IF(M89&lt;=0,"风机压力pF应大于0",""))),IF(N89="","缺少额定功率",""),IF(N89="","",IF(NOT(ISNUMBER(N89)),"额定功率应为数值",IF(N89&lt;=0,"额定功率应大于0",""))),IF(O89="","缺少叶轮功率",""),IF(O89="","",IF(NOT(ISNUMBER(O89)),"叶轮功率应为数值",IF(O89&lt;=0,"叶轮功率应大于0",""))),IF(P89="","缺少转速",""),IF(P89="","",IF(NOT(ISNUMBER(P89)),"转速应为数值",IF(P89&lt;=0,"转速应大于0",""))),IF(Q89="","缺少机号",""),IF(Q89="","",IF(NOT(ISNUMBER(Q89)),"机号应为数值",IF(Q89&lt;=0,"机号应大于0",""))),IF(R89="","缺少进口滞止密度",""),IF(R89="","",IF(NOT(ISNUMBER(R89)),"进口滞止密度应为数值",IF(R89&lt;=0,"进口滞止密度应大于0",""))),IF(S89="","缺少等熵指数k",""),IF(S89="","",IF(NOT(ISNUMBER(S89)),"等熵指数k应为数值",IF(OR(S89&lt;1,S89&gt;2),"等熵指数k应为1～2",""))),IF(T89="","缺少轮毂比",""),IF(T89="","",IF(NOT(ISNUMBER(T89)),"轮毂比应为数值",IF(OR(T89&lt;0,T89&gt;1),"轮毂比应为0～1",""))),IF(U89="","缺少最高通风机效率ηr",""),IF(U89="","",IF(NOT(ISNUMBER(U89)),"最高通风机效率ηr应为数值",IF(OR(U89&lt;1,U89&gt;100),"最高通风机效率ηr应为1～100的百分数本值",""))),IF(AC89="","缺少铭牌照片",""),IF(AND(ISTEXT(AD89),OR(AD89&lt;&gt;TRIM(AD89),ISNUMBER(SEARCH("　",AD89)))),"填表备注含首尾空格或全角空格",""),IF(AND(ISNUMBER(M89),M89&gt;30000),"风机压力超过30kPa，超出通风机标准范围",""),IF(AND(J89="是",H89="是"),"动叶可调特殊效率规则要求进口无进气箱",""),IF(AND(J89="是",I89="是"),"动叶可调特殊效率规则要求出口无扩散筒","")),"")</f>
        <v/>
      </c>
    </row>
    <row r="90" ht="42" customHeight="1" s="184">
      <c r="A90" s="224">
        <f>IF(COUNTA(B90,C90,D90,E90,F90,G90,H90,I90,J90,K90,L90,M90,N90,O90,P90,Q90,R90,S90,T90,U90,AC90,AD90)&gt;0,ROW()-3,"")</f>
        <v/>
      </c>
      <c r="B90" s="176" t="n"/>
      <c r="C90" s="176" t="n"/>
      <c r="D90" s="228" t="n"/>
      <c r="E90" s="176" t="n"/>
      <c r="F90" s="218" t="n"/>
      <c r="G90" s="218" t="n"/>
      <c r="H90" s="218" t="n"/>
      <c r="I90" s="218" t="n"/>
      <c r="J90" s="218" t="n"/>
      <c r="K90" s="218" t="n"/>
      <c r="L90" s="229" t="n"/>
      <c r="M90" s="229" t="n"/>
      <c r="N90" s="229" t="n"/>
      <c r="O90" s="229" t="n"/>
      <c r="P90" s="229" t="n"/>
      <c r="Q90" s="229" t="n"/>
      <c r="R90" s="229" t="n"/>
      <c r="S90" s="235" t="n"/>
      <c r="T90" s="235" t="n"/>
      <c r="U90" s="229" t="n"/>
      <c r="V90" s="113" t="n"/>
      <c r="W90" s="113" t="n"/>
      <c r="X90" s="113" t="n"/>
      <c r="Y90" s="227" t="n"/>
      <c r="Z90" s="227" t="n"/>
      <c r="AA90" s="227" t="n"/>
      <c r="AB90" s="81" t="n"/>
      <c r="AC90" s="180" t="n"/>
      <c r="AD90" s="180" t="n"/>
      <c r="AE90" s="99">
        <f>IF(COUNTA(B90,C90,D90,E90,F90,G90,H90,I90,J90,K90,L90,M90,N90,O90,P90,Q90,R90,S90,T90,U90,AC90,AD90)&gt;0,TEXTJOIN("；",TRUE,IF(B90="","缺少设备名称",""),IF(AND(ISTEXT(B90),OR(B90&lt;&gt;TRIM(B90),ISNUMBER(SEARCH("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",E90)))),"安装位置含首尾空格或全角空格",""),IF(F90="","缺少设备类别",""),IF(F90="","",IF(COUNTIF(EV_AXIAL_FAN_CATEGORY,F90)=0,"设备类别不在标准枚举中","")),IF(AND(ISTEXT(F90),OR(F90&lt;&gt;TRIM(F90),ISNUMBER(SEARCH("　",F90)))),"设备类别含首尾空格或全角空格",""),IF(G90="","缺少传动方式",""),IF(G90="","",IF(COUNTIF(EV_TRANSMISSION,G90)=0,"传动方式不在标准枚举中","")),IF(AND(ISTEXT(G90),OR(G90&lt;&gt;TRIM(G90),ISNUMBER(SEARCH("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",G90)))),"传动方式含首尾空格或全角空格",""),IF(H90="","缺少是否带进气箱",""),IF(H90="","",IF(COUNTIF(EV_YES_NO,H90)=0,"是否带进气箱不在标准枚举中","")),IF(AND(ISTEXT(H90),OR(H90&lt;&gt;TRIM(H90),ISNUMBER(SEARCH("　",H90)))),"是否带进气箱含首尾空格或全角空格",""),IF(I90="","缺少是否带扩散筒",""),IF(I90="","",IF(COUNTIF(EV_YES_NO,I90)=0,"是否带扩散筒不在标准枚举中","")),IF(AND(ISTEXT(I90),OR(I90&lt;&gt;TRIM(I90),ISNUMBER(SEARCH("　",I90)))),"是否带扩散筒含首尾空格或全角空格",""),IF(J90="","缺少是否动叶可调",""),IF(J90="","",IF(COUNTIF(EV_YES_NO,J90)=0,"是否动叶可调不在标准枚举中","")),IF(AND(ISTEXT(J90),OR(J90&lt;&gt;TRIM(J90),ISNUMBER(SEARCH("　",J90)))),"是否动叶可调含首尾空格或全角空格",""),IF(K90="","缺少是否可逆转",""),IF(K90="","",IF(COUNTIF(EV_YES_NO,K90)=0,"是否可逆转不在标准枚举中","")),IF(AND(ISTEXT(K90),OR(K90&lt;&gt;TRIM(K90),ISNUMBER(SEARCH("　",K90)))),"是否可逆转含首尾空格或全角空格",""),IF(L90="","缺少流量",""),IF(L90="","",IF(NOT(ISNUMBER(L90)),"流量应为数值",IF(L90&lt;=0,"流量应大于0",""))),IF(M90="","缺少风机压力pF",""),IF(M90="","",IF(NOT(ISNUMBER(M90)),"风机压力pF应为数值",IF(M90&lt;=0,"风机压力pF应大于0",""))),IF(N90="","缺少额定功率",""),IF(N90="","",IF(NOT(ISNUMBER(N90)),"额定功率应为数值",IF(N90&lt;=0,"额定功率应大于0",""))),IF(O90="","缺少叶轮功率",""),IF(O90="","",IF(NOT(ISNUMBER(O90)),"叶轮功率应为数值",IF(O90&lt;=0,"叶轮功率应大于0",""))),IF(P90="","缺少转速",""),IF(P90="","",IF(NOT(ISNUMBER(P90)),"转速应为数值",IF(P90&lt;=0,"转速应大于0",""))),IF(Q90="","缺少机号",""),IF(Q90="","",IF(NOT(ISNUMBER(Q90)),"机号应为数值",IF(Q90&lt;=0,"机号应大于0",""))),IF(R90="","缺少进口滞止密度",""),IF(R90="","",IF(NOT(ISNUMBER(R90)),"进口滞止密度应为数值",IF(R90&lt;=0,"进口滞止密度应大于0",""))),IF(S90="","缺少等熵指数k",""),IF(S90="","",IF(NOT(ISNUMBER(S90)),"等熵指数k应为数值",IF(OR(S90&lt;1,S90&gt;2),"等熵指数k应为1～2",""))),IF(T90="","缺少轮毂比",""),IF(T90="","",IF(NOT(ISNUMBER(T90)),"轮毂比应为数值",IF(OR(T90&lt;0,T90&gt;1),"轮毂比应为0～1",""))),IF(U90="","缺少最高通风机效率ηr",""),IF(U90="","",IF(NOT(ISNUMBER(U90)),"最高通风机效率ηr应为数值",IF(OR(U90&lt;1,U90&gt;100),"最高通风机效率ηr应为1～100的百分数本值",""))),IF(AC90="","缺少铭牌照片",""),IF(AND(ISTEXT(AD90),OR(AD90&lt;&gt;TRIM(AD90),ISNUMBER(SEARCH("　",AD90)))),"填表备注含首尾空格或全角空格",""),IF(AND(ISNUMBER(M90),M90&gt;30000),"风机压力超过30kPa，超出通风机标准范围",""),IF(AND(J90="是",H90="是"),"动叶可调特殊效率规则要求进口无进气箱",""),IF(AND(J90="是",I90="是"),"动叶可调特殊效率规则要求出口无扩散筒","")),"")</f>
        <v/>
      </c>
    </row>
    <row r="91" ht="42" customHeight="1" s="184">
      <c r="A91" s="224">
        <f>IF(COUNTA(B91,C91,D91,E91,F91,G91,H91,I91,J91,K91,L91,M91,N91,O91,P91,Q91,R91,S91,T91,U91,AC91,AD91)&gt;0,ROW()-3,"")</f>
        <v/>
      </c>
      <c r="B91" s="176" t="n"/>
      <c r="C91" s="176" t="n"/>
      <c r="D91" s="228" t="n"/>
      <c r="E91" s="176" t="n"/>
      <c r="F91" s="218" t="n"/>
      <c r="G91" s="218" t="n"/>
      <c r="H91" s="218" t="n"/>
      <c r="I91" s="218" t="n"/>
      <c r="J91" s="218" t="n"/>
      <c r="K91" s="218" t="n"/>
      <c r="L91" s="229" t="n"/>
      <c r="M91" s="229" t="n"/>
      <c r="N91" s="229" t="n"/>
      <c r="O91" s="229" t="n"/>
      <c r="P91" s="229" t="n"/>
      <c r="Q91" s="229" t="n"/>
      <c r="R91" s="229" t="n"/>
      <c r="S91" s="235" t="n"/>
      <c r="T91" s="235" t="n"/>
      <c r="U91" s="229" t="n"/>
      <c r="V91" s="113" t="n"/>
      <c r="W91" s="113" t="n"/>
      <c r="X91" s="113" t="n"/>
      <c r="Y91" s="227" t="n"/>
      <c r="Z91" s="227" t="n"/>
      <c r="AA91" s="227" t="n"/>
      <c r="AB91" s="81" t="n"/>
      <c r="AC91" s="180" t="n"/>
      <c r="AD91" s="180" t="n"/>
      <c r="AE91" s="99">
        <f>IF(COUNTA(B91,C91,D91,E91,F91,G91,H91,I91,J91,K91,L91,M91,N91,O91,P91,Q91,R91,S91,T91,U91,AC91,AD91)&gt;0,TEXTJOIN("；",TRUE,IF(B91="","缺少设备名称",""),IF(AND(ISTEXT(B91),OR(B91&lt;&gt;TRIM(B91),ISNUMBER(SEARCH("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",E91)))),"安装位置含首尾空格或全角空格",""),IF(F91="","缺少设备类别",""),IF(F91="","",IF(COUNTIF(EV_AXIAL_FAN_CATEGORY,F91)=0,"设备类别不在标准枚举中","")),IF(AND(ISTEXT(F91),OR(F91&lt;&gt;TRIM(F91),ISNUMBER(SEARCH("　",F91)))),"设备类别含首尾空格或全角空格",""),IF(G91="","缺少传动方式",""),IF(G91="","",IF(COUNTIF(EV_TRANSMISSION,G91)=0,"传动方式不在标准枚举中","")),IF(AND(ISTEXT(G91),OR(G91&lt;&gt;TRIM(G91),ISNUMBER(SEARCH("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",G91)))),"传动方式含首尾空格或全角空格",""),IF(H91="","缺少是否带进气箱",""),IF(H91="","",IF(COUNTIF(EV_YES_NO,H91)=0,"是否带进气箱不在标准枚举中","")),IF(AND(ISTEXT(H91),OR(H91&lt;&gt;TRIM(H91),ISNUMBER(SEARCH("　",H91)))),"是否带进气箱含首尾空格或全角空格",""),IF(I91="","缺少是否带扩散筒",""),IF(I91="","",IF(COUNTIF(EV_YES_NO,I91)=0,"是否带扩散筒不在标准枚举中","")),IF(AND(ISTEXT(I91),OR(I91&lt;&gt;TRIM(I91),ISNUMBER(SEARCH("　",I91)))),"是否带扩散筒含首尾空格或全角空格",""),IF(J91="","缺少是否动叶可调",""),IF(J91="","",IF(COUNTIF(EV_YES_NO,J91)=0,"是否动叶可调不在标准枚举中","")),IF(AND(ISTEXT(J91),OR(J91&lt;&gt;TRIM(J91),ISNUMBER(SEARCH("　",J91)))),"是否动叶可调含首尾空格或全角空格",""),IF(K91="","缺少是否可逆转",""),IF(K91="","",IF(COUNTIF(EV_YES_NO,K91)=0,"是否可逆转不在标准枚举中","")),IF(AND(ISTEXT(K91),OR(K91&lt;&gt;TRIM(K91),ISNUMBER(SEARCH("　",K91)))),"是否可逆转含首尾空格或全角空格",""),IF(L91="","缺少流量",""),IF(L91="","",IF(NOT(ISNUMBER(L91)),"流量应为数值",IF(L91&lt;=0,"流量应大于0",""))),IF(M91="","缺少风机压力pF",""),IF(M91="","",IF(NOT(ISNUMBER(M91)),"风机压力pF应为数值",IF(M91&lt;=0,"风机压力pF应大于0",""))),IF(N91="","缺少额定功率",""),IF(N91="","",IF(NOT(ISNUMBER(N91)),"额定功率应为数值",IF(N91&lt;=0,"额定功率应大于0",""))),IF(O91="","缺少叶轮功率",""),IF(O91="","",IF(NOT(ISNUMBER(O91)),"叶轮功率应为数值",IF(O91&lt;=0,"叶轮功率应大于0",""))),IF(P91="","缺少转速",""),IF(P91="","",IF(NOT(ISNUMBER(P91)),"转速应为数值",IF(P91&lt;=0,"转速应大于0",""))),IF(Q91="","缺少机号",""),IF(Q91="","",IF(NOT(ISNUMBER(Q91)),"机号应为数值",IF(Q91&lt;=0,"机号应大于0",""))),IF(R91="","缺少进口滞止密度",""),IF(R91="","",IF(NOT(ISNUMBER(R91)),"进口滞止密度应为数值",IF(R91&lt;=0,"进口滞止密度应大于0",""))),IF(S91="","缺少等熵指数k",""),IF(S91="","",IF(NOT(ISNUMBER(S91)),"等熵指数k应为数值",IF(OR(S91&lt;1,S91&gt;2),"等熵指数k应为1～2",""))),IF(T91="","缺少轮毂比",""),IF(T91="","",IF(NOT(ISNUMBER(T91)),"轮毂比应为数值",IF(OR(T91&lt;0,T91&gt;1),"轮毂比应为0～1",""))),IF(U91="","缺少最高通风机效率ηr",""),IF(U91="","",IF(NOT(ISNUMBER(U91)),"最高通风机效率ηr应为数值",IF(OR(U91&lt;1,U91&gt;100),"最高通风机效率ηr应为1～100的百分数本值",""))),IF(AC91="","缺少铭牌照片",""),IF(AND(ISTEXT(AD91),OR(AD91&lt;&gt;TRIM(AD91),ISNUMBER(SEARCH("　",AD91)))),"填表备注含首尾空格或全角空格",""),IF(AND(ISNUMBER(M91),M91&gt;30000),"风机压力超过30kPa，超出通风机标准范围",""),IF(AND(J91="是",H91="是"),"动叶可调特殊效率规则要求进口无进气箱",""),IF(AND(J91="是",I91="是"),"动叶可调特殊效率规则要求出口无扩散筒","")),"")</f>
        <v/>
      </c>
    </row>
    <row r="92" ht="42" customHeight="1" s="184">
      <c r="A92" s="224">
        <f>IF(COUNTA(B92,C92,D92,E92,F92,G92,H92,I92,J92,K92,L92,M92,N92,O92,P92,Q92,R92,S92,T92,U92,AC92,AD92)&gt;0,ROW()-3,"")</f>
        <v/>
      </c>
      <c r="B92" s="176" t="n"/>
      <c r="C92" s="176" t="n"/>
      <c r="D92" s="228" t="n"/>
      <c r="E92" s="176" t="n"/>
      <c r="F92" s="218" t="n"/>
      <c r="G92" s="218" t="n"/>
      <c r="H92" s="218" t="n"/>
      <c r="I92" s="218" t="n"/>
      <c r="J92" s="218" t="n"/>
      <c r="K92" s="218" t="n"/>
      <c r="L92" s="229" t="n"/>
      <c r="M92" s="229" t="n"/>
      <c r="N92" s="229" t="n"/>
      <c r="O92" s="229" t="n"/>
      <c r="P92" s="229" t="n"/>
      <c r="Q92" s="229" t="n"/>
      <c r="R92" s="229" t="n"/>
      <c r="S92" s="235" t="n"/>
      <c r="T92" s="235" t="n"/>
      <c r="U92" s="229" t="n"/>
      <c r="V92" s="113" t="n"/>
      <c r="W92" s="113" t="n"/>
      <c r="X92" s="113" t="n"/>
      <c r="Y92" s="227" t="n"/>
      <c r="Z92" s="227" t="n"/>
      <c r="AA92" s="227" t="n"/>
      <c r="AB92" s="81" t="n"/>
      <c r="AC92" s="180" t="n"/>
      <c r="AD92" s="180" t="n"/>
      <c r="AE92" s="99">
        <f>IF(COUNTA(B92,C92,D92,E92,F92,G92,H92,I92,J92,K92,L92,M92,N92,O92,P92,Q92,R92,S92,T92,U92,AC92,AD92)&gt;0,TEXTJOIN("；",TRUE,IF(B92="","缺少设备名称",""),IF(AND(ISTEXT(B92),OR(B92&lt;&gt;TRIM(B92),ISNUMBER(SEARCH("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",E92)))),"安装位置含首尾空格或全角空格",""),IF(F92="","缺少设备类别",""),IF(F92="","",IF(COUNTIF(EV_AXIAL_FAN_CATEGORY,F92)=0,"设备类别不在标准枚举中","")),IF(AND(ISTEXT(F92),OR(F92&lt;&gt;TRIM(F92),ISNUMBER(SEARCH("　",F92)))),"设备类别含首尾空格或全角空格",""),IF(G92="","缺少传动方式",""),IF(G92="","",IF(COUNTIF(EV_TRANSMISSION,G92)=0,"传动方式不在标准枚举中","")),IF(AND(ISTEXT(G92),OR(G92&lt;&gt;TRIM(G92),ISNUMBER(SEARCH("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",G92)))),"传动方式含首尾空格或全角空格",""),IF(H92="","缺少是否带进气箱",""),IF(H92="","",IF(COUNTIF(EV_YES_NO,H92)=0,"是否带进气箱不在标准枚举中","")),IF(AND(ISTEXT(H92),OR(H92&lt;&gt;TRIM(H92),ISNUMBER(SEARCH("　",H92)))),"是否带进气箱含首尾空格或全角空格",""),IF(I92="","缺少是否带扩散筒",""),IF(I92="","",IF(COUNTIF(EV_YES_NO,I92)=0,"是否带扩散筒不在标准枚举中","")),IF(AND(ISTEXT(I92),OR(I92&lt;&gt;TRIM(I92),ISNUMBER(SEARCH("　",I92)))),"是否带扩散筒含首尾空格或全角空格",""),IF(J92="","缺少是否动叶可调",""),IF(J92="","",IF(COUNTIF(EV_YES_NO,J92)=0,"是否动叶可调不在标准枚举中","")),IF(AND(ISTEXT(J92),OR(J92&lt;&gt;TRIM(J92),ISNUMBER(SEARCH("　",J92)))),"是否动叶可调含首尾空格或全角空格",""),IF(K92="","缺少是否可逆转",""),IF(K92="","",IF(COUNTIF(EV_YES_NO,K92)=0,"是否可逆转不在标准枚举中","")),IF(AND(ISTEXT(K92),OR(K92&lt;&gt;TRIM(K92),ISNUMBER(SEARCH("　",K92)))),"是否可逆转含首尾空格或全角空格",""),IF(L92="","缺少流量",""),IF(L92="","",IF(NOT(ISNUMBER(L92)),"流量应为数值",IF(L92&lt;=0,"流量应大于0",""))),IF(M92="","缺少风机压力pF",""),IF(M92="","",IF(NOT(ISNUMBER(M92)),"风机压力pF应为数值",IF(M92&lt;=0,"风机压力pF应大于0",""))),IF(N92="","缺少额定功率",""),IF(N92="","",IF(NOT(ISNUMBER(N92)),"额定功率应为数值",IF(N92&lt;=0,"额定功率应大于0",""))),IF(O92="","缺少叶轮功率",""),IF(O92="","",IF(NOT(ISNUMBER(O92)),"叶轮功率应为数值",IF(O92&lt;=0,"叶轮功率应大于0",""))),IF(P92="","缺少转速",""),IF(P92="","",IF(NOT(ISNUMBER(P92)),"转速应为数值",IF(P92&lt;=0,"转速应大于0",""))),IF(Q92="","缺少机号",""),IF(Q92="","",IF(NOT(ISNUMBER(Q92)),"机号应为数值",IF(Q92&lt;=0,"机号应大于0",""))),IF(R92="","缺少进口滞止密度",""),IF(R92="","",IF(NOT(ISNUMBER(R92)),"进口滞止密度应为数值",IF(R92&lt;=0,"进口滞止密度应大于0",""))),IF(S92="","缺少等熵指数k",""),IF(S92="","",IF(NOT(ISNUMBER(S92)),"等熵指数k应为数值",IF(OR(S92&lt;1,S92&gt;2),"等熵指数k应为1～2",""))),IF(T92="","缺少轮毂比",""),IF(T92="","",IF(NOT(ISNUMBER(T92)),"轮毂比应为数值",IF(OR(T92&lt;0,T92&gt;1),"轮毂比应为0～1",""))),IF(U92="","缺少最高通风机效率ηr",""),IF(U92="","",IF(NOT(ISNUMBER(U92)),"最高通风机效率ηr应为数值",IF(OR(U92&lt;1,U92&gt;100),"最高通风机效率ηr应为1～100的百分数本值",""))),IF(AC92="","缺少铭牌照片",""),IF(AND(ISTEXT(AD92),OR(AD92&lt;&gt;TRIM(AD92),ISNUMBER(SEARCH("　",AD92)))),"填表备注含首尾空格或全角空格",""),IF(AND(ISNUMBER(M92),M92&gt;30000),"风机压力超过30kPa，超出通风机标准范围",""),IF(AND(J92="是",H92="是"),"动叶可调特殊效率规则要求进口无进气箱",""),IF(AND(J92="是",I92="是"),"动叶可调特殊效率规则要求出口无扩散筒","")),"")</f>
        <v/>
      </c>
    </row>
    <row r="93" ht="42" customHeight="1" s="184">
      <c r="A93" s="224">
        <f>IF(COUNTA(B93,C93,D93,E93,F93,G93,H93,I93,J93,K93,L93,M93,N93,O93,P93,Q93,R93,S93,T93,U93,AC93,AD93)&gt;0,ROW()-3,"")</f>
        <v/>
      </c>
      <c r="B93" s="176" t="n"/>
      <c r="C93" s="176" t="n"/>
      <c r="D93" s="228" t="n"/>
      <c r="E93" s="176" t="n"/>
      <c r="F93" s="218" t="n"/>
      <c r="G93" s="218" t="n"/>
      <c r="H93" s="218" t="n"/>
      <c r="I93" s="218" t="n"/>
      <c r="J93" s="218" t="n"/>
      <c r="K93" s="218" t="n"/>
      <c r="L93" s="229" t="n"/>
      <c r="M93" s="229" t="n"/>
      <c r="N93" s="229" t="n"/>
      <c r="O93" s="229" t="n"/>
      <c r="P93" s="229" t="n"/>
      <c r="Q93" s="229" t="n"/>
      <c r="R93" s="229" t="n"/>
      <c r="S93" s="235" t="n"/>
      <c r="T93" s="235" t="n"/>
      <c r="U93" s="229" t="n"/>
      <c r="V93" s="113" t="n"/>
      <c r="W93" s="113" t="n"/>
      <c r="X93" s="113" t="n"/>
      <c r="Y93" s="227" t="n"/>
      <c r="Z93" s="227" t="n"/>
      <c r="AA93" s="227" t="n"/>
      <c r="AB93" s="81" t="n"/>
      <c r="AC93" s="180" t="n"/>
      <c r="AD93" s="180" t="n"/>
      <c r="AE93" s="99">
        <f>IF(COUNTA(B93,C93,D93,E93,F93,G93,H93,I93,J93,K93,L93,M93,N93,O93,P93,Q93,R93,S93,T93,U93,AC93,AD93)&gt;0,TEXTJOIN("；",TRUE,IF(B93="","缺少设备名称",""),IF(AND(ISTEXT(B93),OR(B93&lt;&gt;TRIM(B93),ISNUMBER(SEARCH("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",E93)))),"安装位置含首尾空格或全角空格",""),IF(F93="","缺少设备类别",""),IF(F93="","",IF(COUNTIF(EV_AXIAL_FAN_CATEGORY,F93)=0,"设备类别不在标准枚举中","")),IF(AND(ISTEXT(F93),OR(F93&lt;&gt;TRIM(F93),ISNUMBER(SEARCH("　",F93)))),"设备类别含首尾空格或全角空格",""),IF(G93="","缺少传动方式",""),IF(G93="","",IF(COUNTIF(EV_TRANSMISSION,G93)=0,"传动方式不在标准枚举中","")),IF(AND(ISTEXT(G93),OR(G93&lt;&gt;TRIM(G93),ISNUMBER(SEARCH("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",G93)))),"传动方式含首尾空格或全角空格",""),IF(H93="","缺少是否带进气箱",""),IF(H93="","",IF(COUNTIF(EV_YES_NO,H93)=0,"是否带进气箱不在标准枚举中","")),IF(AND(ISTEXT(H93),OR(H93&lt;&gt;TRIM(H93),ISNUMBER(SEARCH("　",H93)))),"是否带进气箱含首尾空格或全角空格",""),IF(I93="","缺少是否带扩散筒",""),IF(I93="","",IF(COUNTIF(EV_YES_NO,I93)=0,"是否带扩散筒不在标准枚举中","")),IF(AND(ISTEXT(I93),OR(I93&lt;&gt;TRIM(I93),ISNUMBER(SEARCH("　",I93)))),"是否带扩散筒含首尾空格或全角空格",""),IF(J93="","缺少是否动叶可调",""),IF(J93="","",IF(COUNTIF(EV_YES_NO,J93)=0,"是否动叶可调不在标准枚举中","")),IF(AND(ISTEXT(J93),OR(J93&lt;&gt;TRIM(J93),ISNUMBER(SEARCH("　",J93)))),"是否动叶可调含首尾空格或全角空格",""),IF(K93="","缺少是否可逆转",""),IF(K93="","",IF(COUNTIF(EV_YES_NO,K93)=0,"是否可逆转不在标准枚举中","")),IF(AND(ISTEXT(K93),OR(K93&lt;&gt;TRIM(K93),ISNUMBER(SEARCH("　",K93)))),"是否可逆转含首尾空格或全角空格",""),IF(L93="","缺少流量",""),IF(L93="","",IF(NOT(ISNUMBER(L93)),"流量应为数值",IF(L93&lt;=0,"流量应大于0",""))),IF(M93="","缺少风机压力pF",""),IF(M93="","",IF(NOT(ISNUMBER(M93)),"风机压力pF应为数值",IF(M93&lt;=0,"风机压力pF应大于0",""))),IF(N93="","缺少额定功率",""),IF(N93="","",IF(NOT(ISNUMBER(N93)),"额定功率应为数值",IF(N93&lt;=0,"额定功率应大于0",""))),IF(O93="","缺少叶轮功率",""),IF(O93="","",IF(NOT(ISNUMBER(O93)),"叶轮功率应为数值",IF(O93&lt;=0,"叶轮功率应大于0",""))),IF(P93="","缺少转速",""),IF(P93="","",IF(NOT(ISNUMBER(P93)),"转速应为数值",IF(P93&lt;=0,"转速应大于0",""))),IF(Q93="","缺少机号",""),IF(Q93="","",IF(NOT(ISNUMBER(Q93)),"机号应为数值",IF(Q93&lt;=0,"机号应大于0",""))),IF(R93="","缺少进口滞止密度",""),IF(R93="","",IF(NOT(ISNUMBER(R93)),"进口滞止密度应为数值",IF(R93&lt;=0,"进口滞止密度应大于0",""))),IF(S93="","缺少等熵指数k",""),IF(S93="","",IF(NOT(ISNUMBER(S93)),"等熵指数k应为数值",IF(OR(S93&lt;1,S93&gt;2),"等熵指数k应为1～2",""))),IF(T93="","缺少轮毂比",""),IF(T93="","",IF(NOT(ISNUMBER(T93)),"轮毂比应为数值",IF(OR(T93&lt;0,T93&gt;1),"轮毂比应为0～1",""))),IF(U93="","缺少最高通风机效率ηr",""),IF(U93="","",IF(NOT(ISNUMBER(U93)),"最高通风机效率ηr应为数值",IF(OR(U93&lt;1,U93&gt;100),"最高通风机效率ηr应为1～100的百分数本值",""))),IF(AC93="","缺少铭牌照片",""),IF(AND(ISTEXT(AD93),OR(AD93&lt;&gt;TRIM(AD93),ISNUMBER(SEARCH("　",AD93)))),"填表备注含首尾空格或全角空格",""),IF(AND(ISNUMBER(M93),M93&gt;30000),"风机压力超过30kPa，超出通风机标准范围",""),IF(AND(J93="是",H93="是"),"动叶可调特殊效率规则要求进口无进气箱",""),IF(AND(J93="是",I93="是"),"动叶可调特殊效率规则要求出口无扩散筒","")),"")</f>
        <v/>
      </c>
    </row>
    <row r="94" ht="42" customHeight="1" s="184">
      <c r="A94" s="224">
        <f>IF(COUNTA(B94,C94,D94,E94,F94,G94,H94,I94,J94,K94,L94,M94,N94,O94,P94,Q94,R94,S94,T94,U94,AC94,AD94)&gt;0,ROW()-3,"")</f>
        <v/>
      </c>
      <c r="B94" s="176" t="n"/>
      <c r="C94" s="176" t="n"/>
      <c r="D94" s="228" t="n"/>
      <c r="E94" s="176" t="n"/>
      <c r="F94" s="218" t="n"/>
      <c r="G94" s="218" t="n"/>
      <c r="H94" s="218" t="n"/>
      <c r="I94" s="218" t="n"/>
      <c r="J94" s="218" t="n"/>
      <c r="K94" s="218" t="n"/>
      <c r="L94" s="229" t="n"/>
      <c r="M94" s="229" t="n"/>
      <c r="N94" s="229" t="n"/>
      <c r="O94" s="229" t="n"/>
      <c r="P94" s="229" t="n"/>
      <c r="Q94" s="229" t="n"/>
      <c r="R94" s="229" t="n"/>
      <c r="S94" s="235" t="n"/>
      <c r="T94" s="235" t="n"/>
      <c r="U94" s="229" t="n"/>
      <c r="V94" s="113" t="n"/>
      <c r="W94" s="113" t="n"/>
      <c r="X94" s="113" t="n"/>
      <c r="Y94" s="227" t="n"/>
      <c r="Z94" s="227" t="n"/>
      <c r="AA94" s="227" t="n"/>
      <c r="AB94" s="81" t="n"/>
      <c r="AC94" s="180" t="n"/>
      <c r="AD94" s="180" t="n"/>
      <c r="AE94" s="99">
        <f>IF(COUNTA(B94,C94,D94,E94,F94,G94,H94,I94,J94,K94,L94,M94,N94,O94,P94,Q94,R94,S94,T94,U94,AC94,AD94)&gt;0,TEXTJOIN("；",TRUE,IF(B94="","缺少设备名称",""),IF(AND(ISTEXT(B94),OR(B94&lt;&gt;TRIM(B94),ISNUMBER(SEARCH("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",E94)))),"安装位置含首尾空格或全角空格",""),IF(F94="","缺少设备类别",""),IF(F94="","",IF(COUNTIF(EV_AXIAL_FAN_CATEGORY,F94)=0,"设备类别不在标准枚举中","")),IF(AND(ISTEXT(F94),OR(F94&lt;&gt;TRIM(F94),ISNUMBER(SEARCH("　",F94)))),"设备类别含首尾空格或全角空格",""),IF(G94="","缺少传动方式",""),IF(G94="","",IF(COUNTIF(EV_TRANSMISSION,G94)=0,"传动方式不在标准枚举中","")),IF(AND(ISTEXT(G94),OR(G94&lt;&gt;TRIM(G94),ISNUMBER(SEARCH("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",G94)))),"传动方式含首尾空格或全角空格",""),IF(H94="","缺少是否带进气箱",""),IF(H94="","",IF(COUNTIF(EV_YES_NO,H94)=0,"是否带进气箱不在标准枚举中","")),IF(AND(ISTEXT(H94),OR(H94&lt;&gt;TRIM(H94),ISNUMBER(SEARCH("　",H94)))),"是否带进气箱含首尾空格或全角空格",""),IF(I94="","缺少是否带扩散筒",""),IF(I94="","",IF(COUNTIF(EV_YES_NO,I94)=0,"是否带扩散筒不在标准枚举中","")),IF(AND(ISTEXT(I94),OR(I94&lt;&gt;TRIM(I94),ISNUMBER(SEARCH("　",I94)))),"是否带扩散筒含首尾空格或全角空格",""),IF(J94="","缺少是否动叶可调",""),IF(J94="","",IF(COUNTIF(EV_YES_NO,J94)=0,"是否动叶可调不在标准枚举中","")),IF(AND(ISTEXT(J94),OR(J94&lt;&gt;TRIM(J94),ISNUMBER(SEARCH("　",J94)))),"是否动叶可调含首尾空格或全角空格",""),IF(K94="","缺少是否可逆转",""),IF(K94="","",IF(COUNTIF(EV_YES_NO,K94)=0,"是否可逆转不在标准枚举中","")),IF(AND(ISTEXT(K94),OR(K94&lt;&gt;TRIM(K94),ISNUMBER(SEARCH("　",K94)))),"是否可逆转含首尾空格或全角空格",""),IF(L94="","缺少流量",""),IF(L94="","",IF(NOT(ISNUMBER(L94)),"流量应为数值",IF(L94&lt;=0,"流量应大于0",""))),IF(M94="","缺少风机压力pF",""),IF(M94="","",IF(NOT(ISNUMBER(M94)),"风机压力pF应为数值",IF(M94&lt;=0,"风机压力pF应大于0",""))),IF(N94="","缺少额定功率",""),IF(N94="","",IF(NOT(ISNUMBER(N94)),"额定功率应为数值",IF(N94&lt;=0,"额定功率应大于0",""))),IF(O94="","缺少叶轮功率",""),IF(O94="","",IF(NOT(ISNUMBER(O94)),"叶轮功率应为数值",IF(O94&lt;=0,"叶轮功率应大于0",""))),IF(P94="","缺少转速",""),IF(P94="","",IF(NOT(ISNUMBER(P94)),"转速应为数值",IF(P94&lt;=0,"转速应大于0",""))),IF(Q94="","缺少机号",""),IF(Q94="","",IF(NOT(ISNUMBER(Q94)),"机号应为数值",IF(Q94&lt;=0,"机号应大于0",""))),IF(R94="","缺少进口滞止密度",""),IF(R94="","",IF(NOT(ISNUMBER(R94)),"进口滞止密度应为数值",IF(R94&lt;=0,"进口滞止密度应大于0",""))),IF(S94="","缺少等熵指数k",""),IF(S94="","",IF(NOT(ISNUMBER(S94)),"等熵指数k应为数值",IF(OR(S94&lt;1,S94&gt;2),"等熵指数k应为1～2",""))),IF(T94="","缺少轮毂比",""),IF(T94="","",IF(NOT(ISNUMBER(T94)),"轮毂比应为数值",IF(OR(T94&lt;0,T94&gt;1),"轮毂比应为0～1",""))),IF(U94="","缺少最高通风机效率ηr",""),IF(U94="","",IF(NOT(ISNUMBER(U94)),"最高通风机效率ηr应为数值",IF(OR(U94&lt;1,U94&gt;100),"最高通风机效率ηr应为1～100的百分数本值",""))),IF(AC94="","缺少铭牌照片",""),IF(AND(ISTEXT(AD94),OR(AD94&lt;&gt;TRIM(AD94),ISNUMBER(SEARCH("　",AD94)))),"填表备注含首尾空格或全角空格",""),IF(AND(ISNUMBER(M94),M94&gt;30000),"风机压力超过30kPa，超出通风机标准范围",""),IF(AND(J94="是",H94="是"),"动叶可调特殊效率规则要求进口无进气箱",""),IF(AND(J94="是",I94="是"),"动叶可调特殊效率规则要求出口无扩散筒","")),"")</f>
        <v/>
      </c>
    </row>
    <row r="95" ht="42" customHeight="1" s="184">
      <c r="A95" s="224">
        <f>IF(COUNTA(B95,C95,D95,E95,F95,G95,H95,I95,J95,K95,L95,M95,N95,O95,P95,Q95,R95,S95,T95,U95,AC95,AD95)&gt;0,ROW()-3,"")</f>
        <v/>
      </c>
      <c r="B95" s="176" t="n"/>
      <c r="C95" s="176" t="n"/>
      <c r="D95" s="228" t="n"/>
      <c r="E95" s="176" t="n"/>
      <c r="F95" s="218" t="n"/>
      <c r="G95" s="218" t="n"/>
      <c r="H95" s="218" t="n"/>
      <c r="I95" s="218" t="n"/>
      <c r="J95" s="218" t="n"/>
      <c r="K95" s="218" t="n"/>
      <c r="L95" s="229" t="n"/>
      <c r="M95" s="229" t="n"/>
      <c r="N95" s="229" t="n"/>
      <c r="O95" s="229" t="n"/>
      <c r="P95" s="229" t="n"/>
      <c r="Q95" s="229" t="n"/>
      <c r="R95" s="229" t="n"/>
      <c r="S95" s="235" t="n"/>
      <c r="T95" s="235" t="n"/>
      <c r="U95" s="229" t="n"/>
      <c r="V95" s="113" t="n"/>
      <c r="W95" s="113" t="n"/>
      <c r="X95" s="113" t="n"/>
      <c r="Y95" s="227" t="n"/>
      <c r="Z95" s="227" t="n"/>
      <c r="AA95" s="227" t="n"/>
      <c r="AB95" s="81" t="n"/>
      <c r="AC95" s="180" t="n"/>
      <c r="AD95" s="180" t="n"/>
      <c r="AE95" s="99">
        <f>IF(COUNTA(B95,C95,D95,E95,F95,G95,H95,I95,J95,K95,L95,M95,N95,O95,P95,Q95,R95,S95,T95,U95,AC95,AD95)&gt;0,TEXTJOIN("；",TRUE,IF(B95="","缺少设备名称",""),IF(AND(ISTEXT(B95),OR(B95&lt;&gt;TRIM(B95),ISNUMBER(SEARCH("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",E95)))),"安装位置含首尾空格或全角空格",""),IF(F95="","缺少设备类别",""),IF(F95="","",IF(COUNTIF(EV_AXIAL_FAN_CATEGORY,F95)=0,"设备类别不在标准枚举中","")),IF(AND(ISTEXT(F95),OR(F95&lt;&gt;TRIM(F95),ISNUMBER(SEARCH("　",F95)))),"设备类别含首尾空格或全角空格",""),IF(G95="","缺少传动方式",""),IF(G95="","",IF(COUNTIF(EV_TRANSMISSION,G95)=0,"传动方式不在标准枚举中","")),IF(AND(ISTEXT(G95),OR(G95&lt;&gt;TRIM(G95),ISNUMBER(SEARCH("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",G95)))),"传动方式含首尾空格或全角空格",""),IF(H95="","缺少是否带进气箱",""),IF(H95="","",IF(COUNTIF(EV_YES_NO,H95)=0,"是否带进气箱不在标准枚举中","")),IF(AND(ISTEXT(H95),OR(H95&lt;&gt;TRIM(H95),ISNUMBER(SEARCH("　",H95)))),"是否带进气箱含首尾空格或全角空格",""),IF(I95="","缺少是否带扩散筒",""),IF(I95="","",IF(COUNTIF(EV_YES_NO,I95)=0,"是否带扩散筒不在标准枚举中","")),IF(AND(ISTEXT(I95),OR(I95&lt;&gt;TRIM(I95),ISNUMBER(SEARCH("　",I95)))),"是否带扩散筒含首尾空格或全角空格",""),IF(J95="","缺少是否动叶可调",""),IF(J95="","",IF(COUNTIF(EV_YES_NO,J95)=0,"是否动叶可调不在标准枚举中","")),IF(AND(ISTEXT(J95),OR(J95&lt;&gt;TRIM(J95),ISNUMBER(SEARCH("　",J95)))),"是否动叶可调含首尾空格或全角空格",""),IF(K95="","缺少是否可逆转",""),IF(K95="","",IF(COUNTIF(EV_YES_NO,K95)=0,"是否可逆转不在标准枚举中","")),IF(AND(ISTEXT(K95),OR(K95&lt;&gt;TRIM(K95),ISNUMBER(SEARCH("　",K95)))),"是否可逆转含首尾空格或全角空格",""),IF(L95="","缺少流量",""),IF(L95="","",IF(NOT(ISNUMBER(L95)),"流量应为数值",IF(L95&lt;=0,"流量应大于0",""))),IF(M95="","缺少风机压力pF",""),IF(M95="","",IF(NOT(ISNUMBER(M95)),"风机压力pF应为数值",IF(M95&lt;=0,"风机压力pF应大于0",""))),IF(N95="","缺少额定功率",""),IF(N95="","",IF(NOT(ISNUMBER(N95)),"额定功率应为数值",IF(N95&lt;=0,"额定功率应大于0",""))),IF(O95="","缺少叶轮功率",""),IF(O95="","",IF(NOT(ISNUMBER(O95)),"叶轮功率应为数值",IF(O95&lt;=0,"叶轮功率应大于0",""))),IF(P95="","缺少转速",""),IF(P95="","",IF(NOT(ISNUMBER(P95)),"转速应为数值",IF(P95&lt;=0,"转速应大于0",""))),IF(Q95="","缺少机号",""),IF(Q95="","",IF(NOT(ISNUMBER(Q95)),"机号应为数值",IF(Q95&lt;=0,"机号应大于0",""))),IF(R95="","缺少进口滞止密度",""),IF(R95="","",IF(NOT(ISNUMBER(R95)),"进口滞止密度应为数值",IF(R95&lt;=0,"进口滞止密度应大于0",""))),IF(S95="","缺少等熵指数k",""),IF(S95="","",IF(NOT(ISNUMBER(S95)),"等熵指数k应为数值",IF(OR(S95&lt;1,S95&gt;2),"等熵指数k应为1～2",""))),IF(T95="","缺少轮毂比",""),IF(T95="","",IF(NOT(ISNUMBER(T95)),"轮毂比应为数值",IF(OR(T95&lt;0,T95&gt;1),"轮毂比应为0～1",""))),IF(U95="","缺少最高通风机效率ηr",""),IF(U95="","",IF(NOT(ISNUMBER(U95)),"最高通风机效率ηr应为数值",IF(OR(U95&lt;1,U95&gt;100),"最高通风机效率ηr应为1～100的百分数本值",""))),IF(AC95="","缺少铭牌照片",""),IF(AND(ISTEXT(AD95),OR(AD95&lt;&gt;TRIM(AD95),ISNUMBER(SEARCH("　",AD95)))),"填表备注含首尾空格或全角空格",""),IF(AND(ISNUMBER(M95),M95&gt;30000),"风机压力超过30kPa，超出通风机标准范围",""),IF(AND(J95="是",H95="是"),"动叶可调特殊效率规则要求进口无进气箱",""),IF(AND(J95="是",I95="是"),"动叶可调特殊效率规则要求出口无扩散筒","")),"")</f>
        <v/>
      </c>
    </row>
    <row r="96" ht="42" customHeight="1" s="184">
      <c r="A96" s="224">
        <f>IF(COUNTA(B96,C96,D96,E96,F96,G96,H96,I96,J96,K96,L96,M96,N96,O96,P96,Q96,R96,S96,T96,U96,AC96,AD96)&gt;0,ROW()-3,"")</f>
        <v/>
      </c>
      <c r="B96" s="176" t="n"/>
      <c r="C96" s="176" t="n"/>
      <c r="D96" s="228" t="n"/>
      <c r="E96" s="176" t="n"/>
      <c r="F96" s="218" t="n"/>
      <c r="G96" s="218" t="n"/>
      <c r="H96" s="218" t="n"/>
      <c r="I96" s="218" t="n"/>
      <c r="J96" s="218" t="n"/>
      <c r="K96" s="218" t="n"/>
      <c r="L96" s="229" t="n"/>
      <c r="M96" s="229" t="n"/>
      <c r="N96" s="229" t="n"/>
      <c r="O96" s="229" t="n"/>
      <c r="P96" s="229" t="n"/>
      <c r="Q96" s="229" t="n"/>
      <c r="R96" s="229" t="n"/>
      <c r="S96" s="235" t="n"/>
      <c r="T96" s="235" t="n"/>
      <c r="U96" s="229" t="n"/>
      <c r="V96" s="113" t="n"/>
      <c r="W96" s="113" t="n"/>
      <c r="X96" s="113" t="n"/>
      <c r="Y96" s="227" t="n"/>
      <c r="Z96" s="227" t="n"/>
      <c r="AA96" s="227" t="n"/>
      <c r="AB96" s="81" t="n"/>
      <c r="AC96" s="180" t="n"/>
      <c r="AD96" s="180" t="n"/>
      <c r="AE96" s="99">
        <f>IF(COUNTA(B96,C96,D96,E96,F96,G96,H96,I96,J96,K96,L96,M96,N96,O96,P96,Q96,R96,S96,T96,U96,AC96,AD96)&gt;0,TEXTJOIN("；",TRUE,IF(B96="","缺少设备名称",""),IF(AND(ISTEXT(B96),OR(B96&lt;&gt;TRIM(B96),ISNUMBER(SEARCH("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",E96)))),"安装位置含首尾空格或全角空格",""),IF(F96="","缺少设备类别",""),IF(F96="","",IF(COUNTIF(EV_AXIAL_FAN_CATEGORY,F96)=0,"设备类别不在标准枚举中","")),IF(AND(ISTEXT(F96),OR(F96&lt;&gt;TRIM(F96),ISNUMBER(SEARCH("　",F96)))),"设备类别含首尾空格或全角空格",""),IF(G96="","缺少传动方式",""),IF(G96="","",IF(COUNTIF(EV_TRANSMISSION,G96)=0,"传动方式不在标准枚举中","")),IF(AND(ISTEXT(G96),OR(G96&lt;&gt;TRIM(G96),ISNUMBER(SEARCH("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",G96)))),"传动方式含首尾空格或全角空格",""),IF(H96="","缺少是否带进气箱",""),IF(H96="","",IF(COUNTIF(EV_YES_NO,H96)=0,"是否带进气箱不在标准枚举中","")),IF(AND(ISTEXT(H96),OR(H96&lt;&gt;TRIM(H96),ISNUMBER(SEARCH("　",H96)))),"是否带进气箱含首尾空格或全角空格",""),IF(I96="","缺少是否带扩散筒",""),IF(I96="","",IF(COUNTIF(EV_YES_NO,I96)=0,"是否带扩散筒不在标准枚举中","")),IF(AND(ISTEXT(I96),OR(I96&lt;&gt;TRIM(I96),ISNUMBER(SEARCH("　",I96)))),"是否带扩散筒含首尾空格或全角空格",""),IF(J96="","缺少是否动叶可调",""),IF(J96="","",IF(COUNTIF(EV_YES_NO,J96)=0,"是否动叶可调不在标准枚举中","")),IF(AND(ISTEXT(J96),OR(J96&lt;&gt;TRIM(J96),ISNUMBER(SEARCH("　",J96)))),"是否动叶可调含首尾空格或全角空格",""),IF(K96="","缺少是否可逆转",""),IF(K96="","",IF(COUNTIF(EV_YES_NO,K96)=0,"是否可逆转不在标准枚举中","")),IF(AND(ISTEXT(K96),OR(K96&lt;&gt;TRIM(K96),ISNUMBER(SEARCH("　",K96)))),"是否可逆转含首尾空格或全角空格",""),IF(L96="","缺少流量",""),IF(L96="","",IF(NOT(ISNUMBER(L96)),"流量应为数值",IF(L96&lt;=0,"流量应大于0",""))),IF(M96="","缺少风机压力pF",""),IF(M96="","",IF(NOT(ISNUMBER(M96)),"风机压力pF应为数值",IF(M96&lt;=0,"风机压力pF应大于0",""))),IF(N96="","缺少额定功率",""),IF(N96="","",IF(NOT(ISNUMBER(N96)),"额定功率应为数值",IF(N96&lt;=0,"额定功率应大于0",""))),IF(O96="","缺少叶轮功率",""),IF(O96="","",IF(NOT(ISNUMBER(O96)),"叶轮功率应为数值",IF(O96&lt;=0,"叶轮功率应大于0",""))),IF(P96="","缺少转速",""),IF(P96="","",IF(NOT(ISNUMBER(P96)),"转速应为数值",IF(P96&lt;=0,"转速应大于0",""))),IF(Q96="","缺少机号",""),IF(Q96="","",IF(NOT(ISNUMBER(Q96)),"机号应为数值",IF(Q96&lt;=0,"机号应大于0",""))),IF(R96="","缺少进口滞止密度",""),IF(R96="","",IF(NOT(ISNUMBER(R96)),"进口滞止密度应为数值",IF(R96&lt;=0,"进口滞止密度应大于0",""))),IF(S96="","缺少等熵指数k",""),IF(S96="","",IF(NOT(ISNUMBER(S96)),"等熵指数k应为数值",IF(OR(S96&lt;1,S96&gt;2),"等熵指数k应为1～2",""))),IF(T96="","缺少轮毂比",""),IF(T96="","",IF(NOT(ISNUMBER(T96)),"轮毂比应为数值",IF(OR(T96&lt;0,T96&gt;1),"轮毂比应为0～1",""))),IF(U96="","缺少最高通风机效率ηr",""),IF(U96="","",IF(NOT(ISNUMBER(U96)),"最高通风机效率ηr应为数值",IF(OR(U96&lt;1,U96&gt;100),"最高通风机效率ηr应为1～100的百分数本值",""))),IF(AC96="","缺少铭牌照片",""),IF(AND(ISTEXT(AD96),OR(AD96&lt;&gt;TRIM(AD96),ISNUMBER(SEARCH("　",AD96)))),"填表备注含首尾空格或全角空格",""),IF(AND(ISNUMBER(M96),M96&gt;30000),"风机压力超过30kPa，超出通风机标准范围",""),IF(AND(J96="是",H96="是"),"动叶可调特殊效率规则要求进口无进气箱",""),IF(AND(J96="是",I96="是"),"动叶可调特殊效率规则要求出口无扩散筒","")),"")</f>
        <v/>
      </c>
    </row>
    <row r="97" ht="42" customHeight="1" s="184">
      <c r="A97" s="224">
        <f>IF(COUNTA(B97,C97,D97,E97,F97,G97,H97,I97,J97,K97,L97,M97,N97,O97,P97,Q97,R97,S97,T97,U97,AC97,AD97)&gt;0,ROW()-3,"")</f>
        <v/>
      </c>
      <c r="B97" s="176" t="n"/>
      <c r="C97" s="176" t="n"/>
      <c r="D97" s="228" t="n"/>
      <c r="E97" s="176" t="n"/>
      <c r="F97" s="218" t="n"/>
      <c r="G97" s="218" t="n"/>
      <c r="H97" s="218" t="n"/>
      <c r="I97" s="218" t="n"/>
      <c r="J97" s="218" t="n"/>
      <c r="K97" s="218" t="n"/>
      <c r="L97" s="229" t="n"/>
      <c r="M97" s="229" t="n"/>
      <c r="N97" s="229" t="n"/>
      <c r="O97" s="229" t="n"/>
      <c r="P97" s="229" t="n"/>
      <c r="Q97" s="229" t="n"/>
      <c r="R97" s="229" t="n"/>
      <c r="S97" s="235" t="n"/>
      <c r="T97" s="235" t="n"/>
      <c r="U97" s="229" t="n"/>
      <c r="V97" s="113" t="n"/>
      <c r="W97" s="113" t="n"/>
      <c r="X97" s="113" t="n"/>
      <c r="Y97" s="227" t="n"/>
      <c r="Z97" s="227" t="n"/>
      <c r="AA97" s="227" t="n"/>
      <c r="AB97" s="81" t="n"/>
      <c r="AC97" s="180" t="n"/>
      <c r="AD97" s="180" t="n"/>
      <c r="AE97" s="99">
        <f>IF(COUNTA(B97,C97,D97,E97,F97,G97,H97,I97,J97,K97,L97,M97,N97,O97,P97,Q97,R97,S97,T97,U97,AC97,AD97)&gt;0,TEXTJOIN("；",TRUE,IF(B97="","缺少设备名称",""),IF(AND(ISTEXT(B97),OR(B97&lt;&gt;TRIM(B97),ISNUMBER(SEARCH("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",E97)))),"安装位置含首尾空格或全角空格",""),IF(F97="","缺少设备类别",""),IF(F97="","",IF(COUNTIF(EV_AXIAL_FAN_CATEGORY,F97)=0,"设备类别不在标准枚举中","")),IF(AND(ISTEXT(F97),OR(F97&lt;&gt;TRIM(F97),ISNUMBER(SEARCH("　",F97)))),"设备类别含首尾空格或全角空格",""),IF(G97="","缺少传动方式",""),IF(G97="","",IF(COUNTIF(EV_TRANSMISSION,G97)=0,"传动方式不在标准枚举中","")),IF(AND(ISTEXT(G97),OR(G97&lt;&gt;TRIM(G97),ISNUMBER(SEARCH("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",G97)))),"传动方式含首尾空格或全角空格",""),IF(H97="","缺少是否带进气箱",""),IF(H97="","",IF(COUNTIF(EV_YES_NO,H97)=0,"是否带进气箱不在标准枚举中","")),IF(AND(ISTEXT(H97),OR(H97&lt;&gt;TRIM(H97),ISNUMBER(SEARCH("　",H97)))),"是否带进气箱含首尾空格或全角空格",""),IF(I97="","缺少是否带扩散筒",""),IF(I97="","",IF(COUNTIF(EV_YES_NO,I97)=0,"是否带扩散筒不在标准枚举中","")),IF(AND(ISTEXT(I97),OR(I97&lt;&gt;TRIM(I97),ISNUMBER(SEARCH("　",I97)))),"是否带扩散筒含首尾空格或全角空格",""),IF(J97="","缺少是否动叶可调",""),IF(J97="","",IF(COUNTIF(EV_YES_NO,J97)=0,"是否动叶可调不在标准枚举中","")),IF(AND(ISTEXT(J97),OR(J97&lt;&gt;TRIM(J97),ISNUMBER(SEARCH("　",J97)))),"是否动叶可调含首尾空格或全角空格",""),IF(K97="","缺少是否可逆转",""),IF(K97="","",IF(COUNTIF(EV_YES_NO,K97)=0,"是否可逆转不在标准枚举中","")),IF(AND(ISTEXT(K97),OR(K97&lt;&gt;TRIM(K97),ISNUMBER(SEARCH("　",K97)))),"是否可逆转含首尾空格或全角空格",""),IF(L97="","缺少流量",""),IF(L97="","",IF(NOT(ISNUMBER(L97)),"流量应为数值",IF(L97&lt;=0,"流量应大于0",""))),IF(M97="","缺少风机压力pF",""),IF(M97="","",IF(NOT(ISNUMBER(M97)),"风机压力pF应为数值",IF(M97&lt;=0,"风机压力pF应大于0",""))),IF(N97="","缺少额定功率",""),IF(N97="","",IF(NOT(ISNUMBER(N97)),"额定功率应为数值",IF(N97&lt;=0,"额定功率应大于0",""))),IF(O97="","缺少叶轮功率",""),IF(O97="","",IF(NOT(ISNUMBER(O97)),"叶轮功率应为数值",IF(O97&lt;=0,"叶轮功率应大于0",""))),IF(P97="","缺少转速",""),IF(P97="","",IF(NOT(ISNUMBER(P97)),"转速应为数值",IF(P97&lt;=0,"转速应大于0",""))),IF(Q97="","缺少机号",""),IF(Q97="","",IF(NOT(ISNUMBER(Q97)),"机号应为数值",IF(Q97&lt;=0,"机号应大于0",""))),IF(R97="","缺少进口滞止密度",""),IF(R97="","",IF(NOT(ISNUMBER(R97)),"进口滞止密度应为数值",IF(R97&lt;=0,"进口滞止密度应大于0",""))),IF(S97="","缺少等熵指数k",""),IF(S97="","",IF(NOT(ISNUMBER(S97)),"等熵指数k应为数值",IF(OR(S97&lt;1,S97&gt;2),"等熵指数k应为1～2",""))),IF(T97="","缺少轮毂比",""),IF(T97="","",IF(NOT(ISNUMBER(T97)),"轮毂比应为数值",IF(OR(T97&lt;0,T97&gt;1),"轮毂比应为0～1",""))),IF(U97="","缺少最高通风机效率ηr",""),IF(U97="","",IF(NOT(ISNUMBER(U97)),"最高通风机效率ηr应为数值",IF(OR(U97&lt;1,U97&gt;100),"最高通风机效率ηr应为1～100的百分数本值",""))),IF(AC97="","缺少铭牌照片",""),IF(AND(ISTEXT(AD97),OR(AD97&lt;&gt;TRIM(AD97),ISNUMBER(SEARCH("　",AD97)))),"填表备注含首尾空格或全角空格",""),IF(AND(ISNUMBER(M97),M97&gt;30000),"风机压力超过30kPa，超出通风机标准范围",""),IF(AND(J97="是",H97="是"),"动叶可调特殊效率规则要求进口无进气箱",""),IF(AND(J97="是",I97="是"),"动叶可调特殊效率规则要求出口无扩散筒","")),"")</f>
        <v/>
      </c>
    </row>
    <row r="98" ht="42" customHeight="1" s="184">
      <c r="A98" s="224">
        <f>IF(COUNTA(B98,C98,D98,E98,F98,G98,H98,I98,J98,K98,L98,M98,N98,O98,P98,Q98,R98,S98,T98,U98,AC98,AD98)&gt;0,ROW()-3,"")</f>
        <v/>
      </c>
      <c r="B98" s="176" t="n"/>
      <c r="C98" s="176" t="n"/>
      <c r="D98" s="228" t="n"/>
      <c r="E98" s="176" t="n"/>
      <c r="F98" s="218" t="n"/>
      <c r="G98" s="218" t="n"/>
      <c r="H98" s="218" t="n"/>
      <c r="I98" s="218" t="n"/>
      <c r="J98" s="218" t="n"/>
      <c r="K98" s="218" t="n"/>
      <c r="L98" s="229" t="n"/>
      <c r="M98" s="229" t="n"/>
      <c r="N98" s="229" t="n"/>
      <c r="O98" s="229" t="n"/>
      <c r="P98" s="229" t="n"/>
      <c r="Q98" s="229" t="n"/>
      <c r="R98" s="229" t="n"/>
      <c r="S98" s="235" t="n"/>
      <c r="T98" s="235" t="n"/>
      <c r="U98" s="229" t="n"/>
      <c r="V98" s="113" t="n"/>
      <c r="W98" s="113" t="n"/>
      <c r="X98" s="113" t="n"/>
      <c r="Y98" s="227" t="n"/>
      <c r="Z98" s="227" t="n"/>
      <c r="AA98" s="227" t="n"/>
      <c r="AB98" s="81" t="n"/>
      <c r="AC98" s="180" t="n"/>
      <c r="AD98" s="180" t="n"/>
      <c r="AE98" s="99">
        <f>IF(COUNTA(B98,C98,D98,E98,F98,G98,H98,I98,J98,K98,L98,M98,N98,O98,P98,Q98,R98,S98,T98,U98,AC98,AD98)&gt;0,TEXTJOIN("；",TRUE,IF(B98="","缺少设备名称",""),IF(AND(ISTEXT(B98),OR(B98&lt;&gt;TRIM(B98),ISNUMBER(SEARCH("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",E98)))),"安装位置含首尾空格或全角空格",""),IF(F98="","缺少设备类别",""),IF(F98="","",IF(COUNTIF(EV_AXIAL_FAN_CATEGORY,F98)=0,"设备类别不在标准枚举中","")),IF(AND(ISTEXT(F98),OR(F98&lt;&gt;TRIM(F98),ISNUMBER(SEARCH("　",F98)))),"设备类别含首尾空格或全角空格",""),IF(G98="","缺少传动方式",""),IF(G98="","",IF(COUNTIF(EV_TRANSMISSION,G98)=0,"传动方式不在标准枚举中","")),IF(AND(ISTEXT(G98),OR(G98&lt;&gt;TRIM(G98),ISNUMBER(SEARCH("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",G98)))),"传动方式含首尾空格或全角空格",""),IF(H98="","缺少是否带进气箱",""),IF(H98="","",IF(COUNTIF(EV_YES_NO,H98)=0,"是否带进气箱不在标准枚举中","")),IF(AND(ISTEXT(H98),OR(H98&lt;&gt;TRIM(H98),ISNUMBER(SEARCH("　",H98)))),"是否带进气箱含首尾空格或全角空格",""),IF(I98="","缺少是否带扩散筒",""),IF(I98="","",IF(COUNTIF(EV_YES_NO,I98)=0,"是否带扩散筒不在标准枚举中","")),IF(AND(ISTEXT(I98),OR(I98&lt;&gt;TRIM(I98),ISNUMBER(SEARCH("　",I98)))),"是否带扩散筒含首尾空格或全角空格",""),IF(J98="","缺少是否动叶可调",""),IF(J98="","",IF(COUNTIF(EV_YES_NO,J98)=0,"是否动叶可调不在标准枚举中","")),IF(AND(ISTEXT(J98),OR(J98&lt;&gt;TRIM(J98),ISNUMBER(SEARCH("　",J98)))),"是否动叶可调含首尾空格或全角空格",""),IF(K98="","缺少是否可逆转",""),IF(K98="","",IF(COUNTIF(EV_YES_NO,K98)=0,"是否可逆转不在标准枚举中","")),IF(AND(ISTEXT(K98),OR(K98&lt;&gt;TRIM(K98),ISNUMBER(SEARCH("　",K98)))),"是否可逆转含首尾空格或全角空格",""),IF(L98="","缺少流量",""),IF(L98="","",IF(NOT(ISNUMBER(L98)),"流量应为数值",IF(L98&lt;=0,"流量应大于0",""))),IF(M98="","缺少风机压力pF",""),IF(M98="","",IF(NOT(ISNUMBER(M98)),"风机压力pF应为数值",IF(M98&lt;=0,"风机压力pF应大于0",""))),IF(N98="","缺少额定功率",""),IF(N98="","",IF(NOT(ISNUMBER(N98)),"额定功率应为数值",IF(N98&lt;=0,"额定功率应大于0",""))),IF(O98="","缺少叶轮功率",""),IF(O98="","",IF(NOT(ISNUMBER(O98)),"叶轮功率应为数值",IF(O98&lt;=0,"叶轮功率应大于0",""))),IF(P98="","缺少转速",""),IF(P98="","",IF(NOT(ISNUMBER(P98)),"转速应为数值",IF(P98&lt;=0,"转速应大于0",""))),IF(Q98="","缺少机号",""),IF(Q98="","",IF(NOT(ISNUMBER(Q98)),"机号应为数值",IF(Q98&lt;=0,"机号应大于0",""))),IF(R98="","缺少进口滞止密度",""),IF(R98="","",IF(NOT(ISNUMBER(R98)),"进口滞止密度应为数值",IF(R98&lt;=0,"进口滞止密度应大于0",""))),IF(S98="","缺少等熵指数k",""),IF(S98="","",IF(NOT(ISNUMBER(S98)),"等熵指数k应为数值",IF(OR(S98&lt;1,S98&gt;2),"等熵指数k应为1～2",""))),IF(T98="","缺少轮毂比",""),IF(T98="","",IF(NOT(ISNUMBER(T98)),"轮毂比应为数值",IF(OR(T98&lt;0,T98&gt;1),"轮毂比应为0～1",""))),IF(U98="","缺少最高通风机效率ηr",""),IF(U98="","",IF(NOT(ISNUMBER(U98)),"最高通风机效率ηr应为数值",IF(OR(U98&lt;1,U98&gt;100),"最高通风机效率ηr应为1～100的百分数本值",""))),IF(AC98="","缺少铭牌照片",""),IF(AND(ISTEXT(AD98),OR(AD98&lt;&gt;TRIM(AD98),ISNUMBER(SEARCH("　",AD98)))),"填表备注含首尾空格或全角空格",""),IF(AND(ISNUMBER(M98),M98&gt;30000),"风机压力超过30kPa，超出通风机标准范围",""),IF(AND(J98="是",H98="是"),"动叶可调特殊效率规则要求进口无进气箱",""),IF(AND(J98="是",I98="是"),"动叶可调特殊效率规则要求出口无扩散筒","")),"")</f>
        <v/>
      </c>
    </row>
    <row r="99" ht="42" customHeight="1" s="184">
      <c r="A99" s="224">
        <f>IF(COUNTA(B99,C99,D99,E99,F99,G99,H99,I99,J99,K99,L99,M99,N99,O99,P99,Q99,R99,S99,T99,U99,AC99,AD99)&gt;0,ROW()-3,"")</f>
        <v/>
      </c>
      <c r="B99" s="176" t="n"/>
      <c r="C99" s="176" t="n"/>
      <c r="D99" s="228" t="n"/>
      <c r="E99" s="176" t="n"/>
      <c r="F99" s="218" t="n"/>
      <c r="G99" s="218" t="n"/>
      <c r="H99" s="218" t="n"/>
      <c r="I99" s="218" t="n"/>
      <c r="J99" s="218" t="n"/>
      <c r="K99" s="218" t="n"/>
      <c r="L99" s="229" t="n"/>
      <c r="M99" s="229" t="n"/>
      <c r="N99" s="229" t="n"/>
      <c r="O99" s="229" t="n"/>
      <c r="P99" s="229" t="n"/>
      <c r="Q99" s="229" t="n"/>
      <c r="R99" s="229" t="n"/>
      <c r="S99" s="235" t="n"/>
      <c r="T99" s="235" t="n"/>
      <c r="U99" s="229" t="n"/>
      <c r="V99" s="113" t="n"/>
      <c r="W99" s="113" t="n"/>
      <c r="X99" s="113" t="n"/>
      <c r="Y99" s="227" t="n"/>
      <c r="Z99" s="227" t="n"/>
      <c r="AA99" s="227" t="n"/>
      <c r="AB99" s="81" t="n"/>
      <c r="AC99" s="180" t="n"/>
      <c r="AD99" s="180" t="n"/>
      <c r="AE99" s="99">
        <f>IF(COUNTA(B99,C99,D99,E99,F99,G99,H99,I99,J99,K99,L99,M99,N99,O99,P99,Q99,R99,S99,T99,U99,AC99,AD99)&gt;0,TEXTJOIN("；",TRUE,IF(B99="","缺少设备名称",""),IF(AND(ISTEXT(B99),OR(B99&lt;&gt;TRIM(B99),ISNUMBER(SEARCH("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",E99)))),"安装位置含首尾空格或全角空格",""),IF(F99="","缺少设备类别",""),IF(F99="","",IF(COUNTIF(EV_AXIAL_FAN_CATEGORY,F99)=0,"设备类别不在标准枚举中","")),IF(AND(ISTEXT(F99),OR(F99&lt;&gt;TRIM(F99),ISNUMBER(SEARCH("　",F99)))),"设备类别含首尾空格或全角空格",""),IF(G99="","缺少传动方式",""),IF(G99="","",IF(COUNTIF(EV_TRANSMISSION,G99)=0,"传动方式不在标准枚举中","")),IF(AND(ISTEXT(G99),OR(G99&lt;&gt;TRIM(G99),ISNUMBER(SEARCH("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",G99)))),"传动方式含首尾空格或全角空格",""),IF(H99="","缺少是否带进气箱",""),IF(H99="","",IF(COUNTIF(EV_YES_NO,H99)=0,"是否带进气箱不在标准枚举中","")),IF(AND(ISTEXT(H99),OR(H99&lt;&gt;TRIM(H99),ISNUMBER(SEARCH("　",H99)))),"是否带进气箱含首尾空格或全角空格",""),IF(I99="","缺少是否带扩散筒",""),IF(I99="","",IF(COUNTIF(EV_YES_NO,I99)=0,"是否带扩散筒不在标准枚举中","")),IF(AND(ISTEXT(I99),OR(I99&lt;&gt;TRIM(I99),ISNUMBER(SEARCH("　",I99)))),"是否带扩散筒含首尾空格或全角空格",""),IF(J99="","缺少是否动叶可调",""),IF(J99="","",IF(COUNTIF(EV_YES_NO,J99)=0,"是否动叶可调不在标准枚举中","")),IF(AND(ISTEXT(J99),OR(J99&lt;&gt;TRIM(J99),ISNUMBER(SEARCH("　",J99)))),"是否动叶可调含首尾空格或全角空格",""),IF(K99="","缺少是否可逆转",""),IF(K99="","",IF(COUNTIF(EV_YES_NO,K99)=0,"是否可逆转不在标准枚举中","")),IF(AND(ISTEXT(K99),OR(K99&lt;&gt;TRIM(K99),ISNUMBER(SEARCH("　",K99)))),"是否可逆转含首尾空格或全角空格",""),IF(L99="","缺少流量",""),IF(L99="","",IF(NOT(ISNUMBER(L99)),"流量应为数值",IF(L99&lt;=0,"流量应大于0",""))),IF(M99="","缺少风机压力pF",""),IF(M99="","",IF(NOT(ISNUMBER(M99)),"风机压力pF应为数值",IF(M99&lt;=0,"风机压力pF应大于0",""))),IF(N99="","缺少额定功率",""),IF(N99="","",IF(NOT(ISNUMBER(N99)),"额定功率应为数值",IF(N99&lt;=0,"额定功率应大于0",""))),IF(O99="","缺少叶轮功率",""),IF(O99="","",IF(NOT(ISNUMBER(O99)),"叶轮功率应为数值",IF(O99&lt;=0,"叶轮功率应大于0",""))),IF(P99="","缺少转速",""),IF(P99="","",IF(NOT(ISNUMBER(P99)),"转速应为数值",IF(P99&lt;=0,"转速应大于0",""))),IF(Q99="","缺少机号",""),IF(Q99="","",IF(NOT(ISNUMBER(Q99)),"机号应为数值",IF(Q99&lt;=0,"机号应大于0",""))),IF(R99="","缺少进口滞止密度",""),IF(R99="","",IF(NOT(ISNUMBER(R99)),"进口滞止密度应为数值",IF(R99&lt;=0,"进口滞止密度应大于0",""))),IF(S99="","缺少等熵指数k",""),IF(S99="","",IF(NOT(ISNUMBER(S99)),"等熵指数k应为数值",IF(OR(S99&lt;1,S99&gt;2),"等熵指数k应为1～2",""))),IF(T99="","缺少轮毂比",""),IF(T99="","",IF(NOT(ISNUMBER(T99)),"轮毂比应为数值",IF(OR(T99&lt;0,T99&gt;1),"轮毂比应为0～1",""))),IF(U99="","缺少最高通风机效率ηr",""),IF(U99="","",IF(NOT(ISNUMBER(U99)),"最高通风机效率ηr应为数值",IF(OR(U99&lt;1,U99&gt;100),"最高通风机效率ηr应为1～100的百分数本值",""))),IF(AC99="","缺少铭牌照片",""),IF(AND(ISTEXT(AD99),OR(AD99&lt;&gt;TRIM(AD99),ISNUMBER(SEARCH("　",AD99)))),"填表备注含首尾空格或全角空格",""),IF(AND(ISNUMBER(M99),M99&gt;30000),"风机压力超过30kPa，超出通风机标准范围",""),IF(AND(J99="是",H99="是"),"动叶可调特殊效率规则要求进口无进气箱",""),IF(AND(J99="是",I99="是"),"动叶可调特殊效率规则要求出口无扩散筒","")),"")</f>
        <v/>
      </c>
    </row>
    <row r="100" ht="42" customHeight="1" s="184">
      <c r="A100" s="224">
        <f>IF(COUNTA(B100,C100,D100,E100,F100,G100,H100,I100,J100,K100,L100,M100,N100,O100,P100,Q100,R100,S100,T100,U100,AC100,AD100)&gt;0,ROW()-3,"")</f>
        <v/>
      </c>
      <c r="B100" s="176" t="n"/>
      <c r="C100" s="176" t="n"/>
      <c r="D100" s="228" t="n"/>
      <c r="E100" s="176" t="n"/>
      <c r="F100" s="218" t="n"/>
      <c r="G100" s="218" t="n"/>
      <c r="H100" s="218" t="n"/>
      <c r="I100" s="218" t="n"/>
      <c r="J100" s="218" t="n"/>
      <c r="K100" s="218" t="n"/>
      <c r="L100" s="229" t="n"/>
      <c r="M100" s="229" t="n"/>
      <c r="N100" s="229" t="n"/>
      <c r="O100" s="229" t="n"/>
      <c r="P100" s="229" t="n"/>
      <c r="Q100" s="229" t="n"/>
      <c r="R100" s="229" t="n"/>
      <c r="S100" s="235" t="n"/>
      <c r="T100" s="235" t="n"/>
      <c r="U100" s="229" t="n"/>
      <c r="V100" s="113" t="n"/>
      <c r="W100" s="113" t="n"/>
      <c r="X100" s="113" t="n"/>
      <c r="Y100" s="227" t="n"/>
      <c r="Z100" s="227" t="n"/>
      <c r="AA100" s="227" t="n"/>
      <c r="AB100" s="81" t="n"/>
      <c r="AC100" s="180" t="n"/>
      <c r="AD100" s="180" t="n"/>
      <c r="AE100" s="99">
        <f>IF(COUNTA(B100,C100,D100,E100,F100,G100,H100,I100,J100,K100,L100,M100,N100,O100,P100,Q100,R100,S100,T100,U100,AC100,AD100)&gt;0,TEXTJOIN("；",TRUE,IF(B100="","缺少设备名称",""),IF(AND(ISTEXT(B100),OR(B100&lt;&gt;TRIM(B100),ISNUMBER(SEARCH("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",E100)))),"安装位置含首尾空格或全角空格",""),IF(F100="","缺少设备类别",""),IF(F100="","",IF(COUNTIF(EV_AXIAL_FAN_CATEGORY,F100)=0,"设备类别不在标准枚举中","")),IF(AND(ISTEXT(F100),OR(F100&lt;&gt;TRIM(F100),ISNUMBER(SEARCH("　",F100)))),"设备类别含首尾空格或全角空格",""),IF(G100="","缺少传动方式",""),IF(G100="","",IF(COUNTIF(EV_TRANSMISSION,G100)=0,"传动方式不在标准枚举中","")),IF(AND(ISTEXT(G100),OR(G100&lt;&gt;TRIM(G100),ISNUMBER(SEARCH("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",G100)))),"传动方式含首尾空格或全角空格",""),IF(H100="","缺少是否带进气箱",""),IF(H100="","",IF(COUNTIF(EV_YES_NO,H100)=0,"是否带进气箱不在标准枚举中","")),IF(AND(ISTEXT(H100),OR(H100&lt;&gt;TRIM(H100),ISNUMBER(SEARCH("　",H100)))),"是否带进气箱含首尾空格或全角空格",""),IF(I100="","缺少是否带扩散筒",""),IF(I100="","",IF(COUNTIF(EV_YES_NO,I100)=0,"是否带扩散筒不在标准枚举中","")),IF(AND(ISTEXT(I100),OR(I100&lt;&gt;TRIM(I100),ISNUMBER(SEARCH("　",I100)))),"是否带扩散筒含首尾空格或全角空格",""),IF(J100="","缺少是否动叶可调",""),IF(J100="","",IF(COUNTIF(EV_YES_NO,J100)=0,"是否动叶可调不在标准枚举中","")),IF(AND(ISTEXT(J100),OR(J100&lt;&gt;TRIM(J100),ISNUMBER(SEARCH("　",J100)))),"是否动叶可调含首尾空格或全角空格",""),IF(K100="","缺少是否可逆转",""),IF(K100="","",IF(COUNTIF(EV_YES_NO,K100)=0,"是否可逆转不在标准枚举中","")),IF(AND(ISTEXT(K100),OR(K100&lt;&gt;TRIM(K100),ISNUMBER(SEARCH("　",K100)))),"是否可逆转含首尾空格或全角空格",""),IF(L100="","缺少流量",""),IF(L100="","",IF(NOT(ISNUMBER(L100)),"流量应为数值",IF(L100&lt;=0,"流量应大于0",""))),IF(M100="","缺少风机压力pF",""),IF(M100="","",IF(NOT(ISNUMBER(M100)),"风机压力pF应为数值",IF(M100&lt;=0,"风机压力pF应大于0",""))),IF(N100="","缺少额定功率",""),IF(N100="","",IF(NOT(ISNUMBER(N100)),"额定功率应为数值",IF(N100&lt;=0,"额定功率应大于0",""))),IF(O100="","缺少叶轮功率",""),IF(O100="","",IF(NOT(ISNUMBER(O100)),"叶轮功率应为数值",IF(O100&lt;=0,"叶轮功率应大于0",""))),IF(P100="","缺少转速",""),IF(P100="","",IF(NOT(ISNUMBER(P100)),"转速应为数值",IF(P100&lt;=0,"转速应大于0",""))),IF(Q100="","缺少机号",""),IF(Q100="","",IF(NOT(ISNUMBER(Q100)),"机号应为数值",IF(Q100&lt;=0,"机号应大于0",""))),IF(R100="","缺少进口滞止密度",""),IF(R100="","",IF(NOT(ISNUMBER(R100)),"进口滞止密度应为数值",IF(R100&lt;=0,"进口滞止密度应大于0",""))),IF(S100="","缺少等熵指数k",""),IF(S100="","",IF(NOT(ISNUMBER(S100)),"等熵指数k应为数值",IF(OR(S100&lt;1,S100&gt;2),"等熵指数k应为1～2",""))),IF(T100="","缺少轮毂比",""),IF(T100="","",IF(NOT(ISNUMBER(T100)),"轮毂比应为数值",IF(OR(T100&lt;0,T100&gt;1),"轮毂比应为0～1",""))),IF(U100="","缺少最高通风机效率ηr",""),IF(U100="","",IF(NOT(ISNUMBER(U100)),"最高通风机效率ηr应为数值",IF(OR(U100&lt;1,U100&gt;100),"最高通风机效率ηr应为1～100的百分数本值",""))),IF(AC100="","缺少铭牌照片",""),IF(AND(ISTEXT(AD100),OR(AD100&lt;&gt;TRIM(AD100),ISNUMBER(SEARCH("　",AD100)))),"填表备注含首尾空格或全角空格",""),IF(AND(ISNUMBER(M100),M100&gt;30000),"风机压力超过30kPa，超出通风机标准范围",""),IF(AND(J100="是",H100="是"),"动叶可调特殊效率规则要求进口无进气箱",""),IF(AND(J100="是",I100="是"),"动叶可调特殊效率规则要求出口无扩散筒","")),"")</f>
        <v/>
      </c>
    </row>
    <row r="101" ht="42" customHeight="1" s="184">
      <c r="A101" s="224">
        <f>IF(COUNTA(B101,C101,D101,E101,F101,G101,H101,I101,J101,K101,L101,M101,N101,O101,P101,Q101,R101,S101,T101,U101,AC101,AD101)&gt;0,ROW()-3,"")</f>
        <v/>
      </c>
      <c r="B101" s="176" t="n"/>
      <c r="C101" s="176" t="n"/>
      <c r="D101" s="228" t="n"/>
      <c r="E101" s="176" t="n"/>
      <c r="F101" s="218" t="n"/>
      <c r="G101" s="218" t="n"/>
      <c r="H101" s="218" t="n"/>
      <c r="I101" s="218" t="n"/>
      <c r="J101" s="218" t="n"/>
      <c r="K101" s="218" t="n"/>
      <c r="L101" s="229" t="n"/>
      <c r="M101" s="229" t="n"/>
      <c r="N101" s="229" t="n"/>
      <c r="O101" s="229" t="n"/>
      <c r="P101" s="229" t="n"/>
      <c r="Q101" s="229" t="n"/>
      <c r="R101" s="229" t="n"/>
      <c r="S101" s="235" t="n"/>
      <c r="T101" s="235" t="n"/>
      <c r="U101" s="229" t="n"/>
      <c r="V101" s="113" t="n"/>
      <c r="W101" s="113" t="n"/>
      <c r="X101" s="113" t="n"/>
      <c r="Y101" s="227" t="n"/>
      <c r="Z101" s="227" t="n"/>
      <c r="AA101" s="227" t="n"/>
      <c r="AB101" s="81" t="n"/>
      <c r="AC101" s="180" t="n"/>
      <c r="AD101" s="180" t="n"/>
      <c r="AE101" s="99">
        <f>IF(COUNTA(B101,C101,D101,E101,F101,G101,H101,I101,J101,K101,L101,M101,N101,O101,P101,Q101,R101,S101,T101,U101,AC101,AD101)&gt;0,TEXTJOIN("；",TRUE,IF(B101="","缺少设备名称",""),IF(AND(ISTEXT(B101),OR(B101&lt;&gt;TRIM(B101),ISNUMBER(SEARCH("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",E101)))),"安装位置含首尾空格或全角空格",""),IF(F101="","缺少设备类别",""),IF(F101="","",IF(COUNTIF(EV_AXIAL_FAN_CATEGORY,F101)=0,"设备类别不在标准枚举中","")),IF(AND(ISTEXT(F101),OR(F101&lt;&gt;TRIM(F101),ISNUMBER(SEARCH("　",F101)))),"设备类别含首尾空格或全角空格",""),IF(G101="","缺少传动方式",""),IF(G101="","",IF(COUNTIF(EV_TRANSMISSION,G101)=0,"传动方式不在标准枚举中","")),IF(AND(ISTEXT(G101),OR(G101&lt;&gt;TRIM(G101),ISNUMBER(SEARCH("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",G101)))),"传动方式含首尾空格或全角空格",""),IF(H101="","缺少是否带进气箱",""),IF(H101="","",IF(COUNTIF(EV_YES_NO,H101)=0,"是否带进气箱不在标准枚举中","")),IF(AND(ISTEXT(H101),OR(H101&lt;&gt;TRIM(H101),ISNUMBER(SEARCH("　",H101)))),"是否带进气箱含首尾空格或全角空格",""),IF(I101="","缺少是否带扩散筒",""),IF(I101="","",IF(COUNTIF(EV_YES_NO,I101)=0,"是否带扩散筒不在标准枚举中","")),IF(AND(ISTEXT(I101),OR(I101&lt;&gt;TRIM(I101),ISNUMBER(SEARCH("　",I101)))),"是否带扩散筒含首尾空格或全角空格",""),IF(J101="","缺少是否动叶可调",""),IF(J101="","",IF(COUNTIF(EV_YES_NO,J101)=0,"是否动叶可调不在标准枚举中","")),IF(AND(ISTEXT(J101),OR(J101&lt;&gt;TRIM(J101),ISNUMBER(SEARCH("　",J101)))),"是否动叶可调含首尾空格或全角空格",""),IF(K101="","缺少是否可逆转",""),IF(K101="","",IF(COUNTIF(EV_YES_NO,K101)=0,"是否可逆转不在标准枚举中","")),IF(AND(ISTEXT(K101),OR(K101&lt;&gt;TRIM(K101),ISNUMBER(SEARCH("　",K101)))),"是否可逆转含首尾空格或全角空格",""),IF(L101="","缺少流量",""),IF(L101="","",IF(NOT(ISNUMBER(L101)),"流量应为数值",IF(L101&lt;=0,"流量应大于0",""))),IF(M101="","缺少风机压力pF",""),IF(M101="","",IF(NOT(ISNUMBER(M101)),"风机压力pF应为数值",IF(M101&lt;=0,"风机压力pF应大于0",""))),IF(N101="","缺少额定功率",""),IF(N101="","",IF(NOT(ISNUMBER(N101)),"额定功率应为数值",IF(N101&lt;=0,"额定功率应大于0",""))),IF(O101="","缺少叶轮功率",""),IF(O101="","",IF(NOT(ISNUMBER(O101)),"叶轮功率应为数值",IF(O101&lt;=0,"叶轮功率应大于0",""))),IF(P101="","缺少转速",""),IF(P101="","",IF(NOT(ISNUMBER(P101)),"转速应为数值",IF(P101&lt;=0,"转速应大于0",""))),IF(Q101="","缺少机号",""),IF(Q101="","",IF(NOT(ISNUMBER(Q101)),"机号应为数值",IF(Q101&lt;=0,"机号应大于0",""))),IF(R101="","缺少进口滞止密度",""),IF(R101="","",IF(NOT(ISNUMBER(R101)),"进口滞止密度应为数值",IF(R101&lt;=0,"进口滞止密度应大于0",""))),IF(S101="","缺少等熵指数k",""),IF(S101="","",IF(NOT(ISNUMBER(S101)),"等熵指数k应为数值",IF(OR(S101&lt;1,S101&gt;2),"等熵指数k应为1～2",""))),IF(T101="","缺少轮毂比",""),IF(T101="","",IF(NOT(ISNUMBER(T101)),"轮毂比应为数值",IF(OR(T101&lt;0,T101&gt;1),"轮毂比应为0～1",""))),IF(U101="","缺少最高通风机效率ηr",""),IF(U101="","",IF(NOT(ISNUMBER(U101)),"最高通风机效率ηr应为数值",IF(OR(U101&lt;1,U101&gt;100),"最高通风机效率ηr应为1～100的百分数本值",""))),IF(AC101="","缺少铭牌照片",""),IF(AND(ISTEXT(AD101),OR(AD101&lt;&gt;TRIM(AD101),ISNUMBER(SEARCH("　",AD101)))),"填表备注含首尾空格或全角空格",""),IF(AND(ISNUMBER(M101),M101&gt;30000),"风机压力超过30kPa，超出通风机标准范围",""),IF(AND(J101="是",H101="是"),"动叶可调特殊效率规则要求进口无进气箱",""),IF(AND(J101="是",I101="是"),"动叶可调特殊效率规则要求出口无扩散筒","")),"")</f>
        <v/>
      </c>
    </row>
    <row r="102" ht="42" customHeight="1" s="184">
      <c r="A102" s="224">
        <f>IF(COUNTA(B102,C102,D102,E102,F102,G102,H102,I102,J102,K102,L102,M102,N102,O102,P102,Q102,R102,S102,T102,U102,AC102,AD102)&gt;0,ROW()-3,"")</f>
        <v/>
      </c>
      <c r="B102" s="176" t="n"/>
      <c r="C102" s="176" t="n"/>
      <c r="D102" s="228" t="n"/>
      <c r="E102" s="176" t="n"/>
      <c r="F102" s="218" t="n"/>
      <c r="G102" s="218" t="n"/>
      <c r="H102" s="218" t="n"/>
      <c r="I102" s="218" t="n"/>
      <c r="J102" s="218" t="n"/>
      <c r="K102" s="218" t="n"/>
      <c r="L102" s="229" t="n"/>
      <c r="M102" s="229" t="n"/>
      <c r="N102" s="229" t="n"/>
      <c r="O102" s="229" t="n"/>
      <c r="P102" s="229" t="n"/>
      <c r="Q102" s="229" t="n"/>
      <c r="R102" s="229" t="n"/>
      <c r="S102" s="235" t="n"/>
      <c r="T102" s="235" t="n"/>
      <c r="U102" s="229" t="n"/>
      <c r="V102" s="113" t="n"/>
      <c r="W102" s="113" t="n"/>
      <c r="X102" s="113" t="n"/>
      <c r="Y102" s="227" t="n"/>
      <c r="Z102" s="227" t="n"/>
      <c r="AA102" s="227" t="n"/>
      <c r="AB102" s="81" t="n"/>
      <c r="AC102" s="180" t="n"/>
      <c r="AD102" s="180" t="n"/>
      <c r="AE102" s="99">
        <f>IF(COUNTA(B102,C102,D102,E102,F102,G102,H102,I102,J102,K102,L102,M102,N102,O102,P102,Q102,R102,S102,T102,U102,AC102,AD102)&gt;0,TEXTJOIN("；",TRUE,IF(B102="","缺少设备名称",""),IF(AND(ISTEXT(B102),OR(B102&lt;&gt;TRIM(B102),ISNUMBER(SEARCH("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",E102)))),"安装位置含首尾空格或全角空格",""),IF(F102="","缺少设备类别",""),IF(F102="","",IF(COUNTIF(EV_AXIAL_FAN_CATEGORY,F102)=0,"设备类别不在标准枚举中","")),IF(AND(ISTEXT(F102),OR(F102&lt;&gt;TRIM(F102),ISNUMBER(SEARCH("　",F102)))),"设备类别含首尾空格或全角空格",""),IF(G102="","缺少传动方式",""),IF(G102="","",IF(COUNTIF(EV_TRANSMISSION,G102)=0,"传动方式不在标准枚举中","")),IF(AND(ISTEXT(G102),OR(G102&lt;&gt;TRIM(G102),ISNUMBER(SEARCH("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",G102)))),"传动方式含首尾空格或全角空格",""),IF(H102="","缺少是否带进气箱",""),IF(H102="","",IF(COUNTIF(EV_YES_NO,H102)=0,"是否带进气箱不在标准枚举中","")),IF(AND(ISTEXT(H102),OR(H102&lt;&gt;TRIM(H102),ISNUMBER(SEARCH("　",H102)))),"是否带进气箱含首尾空格或全角空格",""),IF(I102="","缺少是否带扩散筒",""),IF(I102="","",IF(COUNTIF(EV_YES_NO,I102)=0,"是否带扩散筒不在标准枚举中","")),IF(AND(ISTEXT(I102),OR(I102&lt;&gt;TRIM(I102),ISNUMBER(SEARCH("　",I102)))),"是否带扩散筒含首尾空格或全角空格",""),IF(J102="","缺少是否动叶可调",""),IF(J102="","",IF(COUNTIF(EV_YES_NO,J102)=0,"是否动叶可调不在标准枚举中","")),IF(AND(ISTEXT(J102),OR(J102&lt;&gt;TRIM(J102),ISNUMBER(SEARCH("　",J102)))),"是否动叶可调含首尾空格或全角空格",""),IF(K102="","缺少是否可逆转",""),IF(K102="","",IF(COUNTIF(EV_YES_NO,K102)=0,"是否可逆转不在标准枚举中","")),IF(AND(ISTEXT(K102),OR(K102&lt;&gt;TRIM(K102),ISNUMBER(SEARCH("　",K102)))),"是否可逆转含首尾空格或全角空格",""),IF(L102="","缺少流量",""),IF(L102="","",IF(NOT(ISNUMBER(L102)),"流量应为数值",IF(L102&lt;=0,"流量应大于0",""))),IF(M102="","缺少风机压力pF",""),IF(M102="","",IF(NOT(ISNUMBER(M102)),"风机压力pF应为数值",IF(M102&lt;=0,"风机压力pF应大于0",""))),IF(N102="","缺少额定功率",""),IF(N102="","",IF(NOT(ISNUMBER(N102)),"额定功率应为数值",IF(N102&lt;=0,"额定功率应大于0",""))),IF(O102="","缺少叶轮功率",""),IF(O102="","",IF(NOT(ISNUMBER(O102)),"叶轮功率应为数值",IF(O102&lt;=0,"叶轮功率应大于0",""))),IF(P102="","缺少转速",""),IF(P102="","",IF(NOT(ISNUMBER(P102)),"转速应为数值",IF(P102&lt;=0,"转速应大于0",""))),IF(Q102="","缺少机号",""),IF(Q102="","",IF(NOT(ISNUMBER(Q102)),"机号应为数值",IF(Q102&lt;=0,"机号应大于0",""))),IF(R102="","缺少进口滞止密度",""),IF(R102="","",IF(NOT(ISNUMBER(R102)),"进口滞止密度应为数值",IF(R102&lt;=0,"进口滞止密度应大于0",""))),IF(S102="","缺少等熵指数k",""),IF(S102="","",IF(NOT(ISNUMBER(S102)),"等熵指数k应为数值",IF(OR(S102&lt;1,S102&gt;2),"等熵指数k应为1～2",""))),IF(T102="","缺少轮毂比",""),IF(T102="","",IF(NOT(ISNUMBER(T102)),"轮毂比应为数值",IF(OR(T102&lt;0,T102&gt;1),"轮毂比应为0～1",""))),IF(U102="","缺少最高通风机效率ηr",""),IF(U102="","",IF(NOT(ISNUMBER(U102)),"最高通风机效率ηr应为数值",IF(OR(U102&lt;1,U102&gt;100),"最高通风机效率ηr应为1～100的百分数本值",""))),IF(AC102="","缺少铭牌照片",""),IF(AND(ISTEXT(AD102),OR(AD102&lt;&gt;TRIM(AD102),ISNUMBER(SEARCH("　",AD102)))),"填表备注含首尾空格或全角空格",""),IF(AND(ISNUMBER(M102),M102&gt;30000),"风机压力超过30kPa，超出通风机标准范围",""),IF(AND(J102="是",H102="是"),"动叶可调特殊效率规则要求进口无进气箱",""),IF(AND(J102="是",I102="是"),"动叶可调特殊效率规则要求出口无扩散筒","")),"")</f>
        <v/>
      </c>
    </row>
    <row r="103" ht="42" customHeight="1" s="184">
      <c r="A103" s="224">
        <f>IF(COUNTA(B103,C103,D103,E103,F103,G103,H103,I103,J103,K103,L103,M103,N103,O103,P103,Q103,R103,S103,T103,U103,AC103,AD103)&gt;0,ROW()-3,"")</f>
        <v/>
      </c>
      <c r="B103" s="176" t="n"/>
      <c r="C103" s="176" t="n"/>
      <c r="D103" s="228" t="n"/>
      <c r="E103" s="176" t="n"/>
      <c r="F103" s="218" t="n"/>
      <c r="G103" s="218" t="n"/>
      <c r="H103" s="218" t="n"/>
      <c r="I103" s="218" t="n"/>
      <c r="J103" s="218" t="n"/>
      <c r="K103" s="218" t="n"/>
      <c r="L103" s="229" t="n"/>
      <c r="M103" s="229" t="n"/>
      <c r="N103" s="229" t="n"/>
      <c r="O103" s="229" t="n"/>
      <c r="P103" s="229" t="n"/>
      <c r="Q103" s="229" t="n"/>
      <c r="R103" s="229" t="n"/>
      <c r="S103" s="235" t="n"/>
      <c r="T103" s="235" t="n"/>
      <c r="U103" s="229" t="n"/>
      <c r="V103" s="113" t="n"/>
      <c r="W103" s="113" t="n"/>
      <c r="X103" s="113" t="n"/>
      <c r="Y103" s="227" t="n"/>
      <c r="Z103" s="227" t="n"/>
      <c r="AA103" s="227" t="n"/>
      <c r="AB103" s="81" t="n"/>
      <c r="AC103" s="180" t="n"/>
      <c r="AD103" s="180" t="n"/>
      <c r="AE103" s="99">
        <f>IF(COUNTA(B103,C103,D103,E103,F103,G103,H103,I103,J103,K103,L103,M103,N103,O103,P103,Q103,R103,S103,T103,U103,AC103,AD103)&gt;0,TEXTJOIN("；",TRUE,IF(B103="","缺少设备名称",""),IF(AND(ISTEXT(B103),OR(B103&lt;&gt;TRIM(B103),ISNUMBER(SEARCH("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",E103)))),"安装位置含首尾空格或全角空格",""),IF(F103="","缺少设备类别",""),IF(F103="","",IF(COUNTIF(EV_AXIAL_FAN_CATEGORY,F103)=0,"设备类别不在标准枚举中","")),IF(AND(ISTEXT(F103),OR(F103&lt;&gt;TRIM(F103),ISNUMBER(SEARCH("　",F103)))),"设备类别含首尾空格或全角空格",""),IF(G103="","缺少传动方式",""),IF(G103="","",IF(COUNTIF(EV_TRANSMISSION,G103)=0,"传动方式不在标准枚举中","")),IF(AND(ISTEXT(G103),OR(G103&lt;&gt;TRIM(G103),ISNUMBER(SEARCH("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",G103)))),"传动方式含首尾空格或全角空格",""),IF(H103="","缺少是否带进气箱",""),IF(H103="","",IF(COUNTIF(EV_YES_NO,H103)=0,"是否带进气箱不在标准枚举中","")),IF(AND(ISTEXT(H103),OR(H103&lt;&gt;TRIM(H103),ISNUMBER(SEARCH("　",H103)))),"是否带进气箱含首尾空格或全角空格",""),IF(I103="","缺少是否带扩散筒",""),IF(I103="","",IF(COUNTIF(EV_YES_NO,I103)=0,"是否带扩散筒不在标准枚举中","")),IF(AND(ISTEXT(I103),OR(I103&lt;&gt;TRIM(I103),ISNUMBER(SEARCH("　",I103)))),"是否带扩散筒含首尾空格或全角空格",""),IF(J103="","缺少是否动叶可调",""),IF(J103="","",IF(COUNTIF(EV_YES_NO,J103)=0,"是否动叶可调不在标准枚举中","")),IF(AND(ISTEXT(J103),OR(J103&lt;&gt;TRIM(J103),ISNUMBER(SEARCH("　",J103)))),"是否动叶可调含首尾空格或全角空格",""),IF(K103="","缺少是否可逆转",""),IF(K103="","",IF(COUNTIF(EV_YES_NO,K103)=0,"是否可逆转不在标准枚举中","")),IF(AND(ISTEXT(K103),OR(K103&lt;&gt;TRIM(K103),ISNUMBER(SEARCH("　",K103)))),"是否可逆转含首尾空格或全角空格",""),IF(L103="","缺少流量",""),IF(L103="","",IF(NOT(ISNUMBER(L103)),"流量应为数值",IF(L103&lt;=0,"流量应大于0",""))),IF(M103="","缺少风机压力pF",""),IF(M103="","",IF(NOT(ISNUMBER(M103)),"风机压力pF应为数值",IF(M103&lt;=0,"风机压力pF应大于0",""))),IF(N103="","缺少额定功率",""),IF(N103="","",IF(NOT(ISNUMBER(N103)),"额定功率应为数值",IF(N103&lt;=0,"额定功率应大于0",""))),IF(O103="","缺少叶轮功率",""),IF(O103="","",IF(NOT(ISNUMBER(O103)),"叶轮功率应为数值",IF(O103&lt;=0,"叶轮功率应大于0",""))),IF(P103="","缺少转速",""),IF(P103="","",IF(NOT(ISNUMBER(P103)),"转速应为数值",IF(P103&lt;=0,"转速应大于0",""))),IF(Q103="","缺少机号",""),IF(Q103="","",IF(NOT(ISNUMBER(Q103)),"机号应为数值",IF(Q103&lt;=0,"机号应大于0",""))),IF(R103="","缺少进口滞止密度",""),IF(R103="","",IF(NOT(ISNUMBER(R103)),"进口滞止密度应为数值",IF(R103&lt;=0,"进口滞止密度应大于0",""))),IF(S103="","缺少等熵指数k",""),IF(S103="","",IF(NOT(ISNUMBER(S103)),"等熵指数k应为数值",IF(OR(S103&lt;1,S103&gt;2),"等熵指数k应为1～2",""))),IF(T103="","缺少轮毂比",""),IF(T103="","",IF(NOT(ISNUMBER(T103)),"轮毂比应为数值",IF(OR(T103&lt;0,T103&gt;1),"轮毂比应为0～1",""))),IF(U103="","缺少最高通风机效率ηr",""),IF(U103="","",IF(NOT(ISNUMBER(U103)),"最高通风机效率ηr应为数值",IF(OR(U103&lt;1,U103&gt;100),"最高通风机效率ηr应为1～100的百分数本值",""))),IF(AC103="","缺少铭牌照片",""),IF(AND(ISTEXT(AD103),OR(AD103&lt;&gt;TRIM(AD103),ISNUMBER(SEARCH("　",AD103)))),"填表备注含首尾空格或全角空格",""),IF(AND(ISNUMBER(M103),M103&gt;30000),"风机压力超过30kPa，超出通风机标准范围",""),IF(AND(J103="是",H103="是"),"动叶可调特殊效率规则要求进口无进气箱",""),IF(AND(J103="是",I103="是"),"动叶可调特殊效率规则要求出口无扩散筒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Y2:AA2"/>
    <mergeCell ref="AB1:AC1"/>
    <mergeCell ref="AC2:AE2"/>
    <mergeCell ref="A2:E2"/>
    <mergeCell ref="AD1:AE1"/>
    <mergeCell ref="F2:U2"/>
    <mergeCell ref="A1:AA1"/>
    <mergeCell ref="V2:X2"/>
  </mergeCells>
  <dataValidations count="17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EV_AXIAL_FAN_CATEGORY</formula1>
    </dataValidation>
    <dataValidation sqref="G4:G103" showDropDown="0" showInputMessage="0" showErrorMessage="1" allowBlank="1" type="list" errorStyle="stop">
      <formula1>EV_TRANSMISSION</formula1>
    </dataValidation>
    <dataValidation sqref="H4:H103" showDropDown="0" showInputMessage="0" showErrorMessage="1" allowBlank="1" type="list" errorStyle="stop">
      <formula1>EV_YES_NO</formula1>
    </dataValidation>
    <dataValidation sqref="I4:I103" showDropDown="0" showInputMessage="0" showErrorMessage="1" allowBlank="1" type="list" errorStyle="stop">
      <formula1>EV_YES_NO</formula1>
    </dataValidation>
    <dataValidation sqref="J4:J103" showDropDown="0" showInputMessage="0" showErrorMessage="1" allowBlank="1" type="list" errorStyle="stop">
      <formula1>EV_YES_NO</formula1>
    </dataValidation>
    <dataValidation sqref="K4:K103" showDropDown="0" showInputMessage="0" showErrorMessage="1" allowBlank="1" type="list" errorStyle="stop">
      <formula1>EV_YES_NO</formula1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decimal" errorStyle="stop" operator="greaterThan">
      <formula1>0</formula1>
    </dataValidation>
    <dataValidation sqref="N4:N103" showDropDown="0" showInputMessage="0" showErrorMessage="1" allowBlank="1" type="decimal" errorStyle="stop" operator="greaterThan">
      <formula1>0</formula1>
    </dataValidation>
    <dataValidation sqref="O4:O103" showDropDown="0" showInputMessage="0" showErrorMessage="1" allowBlank="1" type="decimal" errorStyle="stop" operator="greaterThan">
      <formula1>0</formula1>
    </dataValidation>
    <dataValidation sqref="P4:P103" showDropDown="0" showInputMessage="0" showErrorMessage="1" allowBlank="1" type="decimal" errorStyle="stop" operator="greaterThan">
      <formula1>0</formula1>
    </dataValidation>
    <dataValidation sqref="Q4:Q103" showDropDown="0" showInputMessage="0" showErrorMessage="1" allowBlank="1" type="decimal" errorStyle="stop" operator="greaterThan">
      <formula1>0</formula1>
    </dataValidation>
    <dataValidation sqref="R4:R103" showDropDown="0" showInputMessage="0" showErrorMessage="1" allowBlank="1" type="decimal" errorStyle="stop" operator="greaterThan">
      <formula1>0</formula1>
    </dataValidation>
    <dataValidation sqref="S4:S103" showDropDown="0" showInputMessage="0" showErrorMessage="1" allowBlank="1" type="decimal" errorStyle="stop" operator="between">
      <formula1>1</formula1>
      <formula2>2</formula2>
    </dataValidation>
    <dataValidation sqref="T4:T103" showDropDown="0" showInputMessage="0" showErrorMessage="1" allowBlank="1" type="decimal" errorStyle="stop" operator="between">
      <formula1>0</formula1>
      <formula2>1</formula2>
    </dataValidation>
    <dataValidation sqref="U4:U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3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3" customWidth="1" style="184" min="15" max="15"/>
    <col width="13" customWidth="1" style="184" min="16" max="16"/>
    <col width="13" customWidth="1" style="184" min="17" max="17"/>
    <col width="13" customWidth="1" style="184" min="18" max="18"/>
    <col width="13" customWidth="1" style="184" min="19" max="19"/>
    <col width="16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5" customWidth="1" style="184" min="25" max="25"/>
    <col width="24" customWidth="1" style="184" min="26" max="26"/>
    <col width="42" customWidth="1" style="184" min="27" max="27"/>
  </cols>
  <sheetData>
    <row r="1" ht="32" customHeight="1" s="184">
      <c r="A1" s="12" t="inlineStr">
        <is>
          <t>离心鼓风机 - 《离心鼓风机能效限定值及节能评价值》（GB 28381-2012）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10" t="inlineStr">
        <is>
          <t>数量合计</t>
        </is>
      </c>
      <c r="Y1" s="220" t="n"/>
      <c r="Z1" s="11">
        <f>SUM(TblBlower[数量])</f>
        <v/>
      </c>
      <c r="AA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3" t="n"/>
      <c r="U2" s="102" t="inlineStr">
        <is>
          <t>计算辅助结果</t>
        </is>
      </c>
      <c r="V2" s="57" t="inlineStr">
        <is>
          <t>标准查询结果</t>
        </is>
      </c>
      <c r="W2" s="223" t="n"/>
      <c r="X2" s="70" t="inlineStr">
        <is>
          <t>结论</t>
        </is>
      </c>
      <c r="Y2" s="82" t="inlineStr">
        <is>
          <t>附件备注</t>
        </is>
      </c>
      <c r="Z2" s="222" t="n"/>
      <c r="AA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级数
(级)</t>
        </is>
      </c>
      <c r="H3" s="45" t="inlineStr">
        <is>
          <t>是否多级叶轮</t>
        </is>
      </c>
      <c r="I3" s="45" t="inlineStr">
        <is>
          <t>是否悬臂式</t>
        </is>
      </c>
      <c r="J3" s="55" t="inlineStr">
        <is>
          <t>容积流量
(m³/h)</t>
        </is>
      </c>
      <c r="K3" s="55" t="inlineStr">
        <is>
          <t>额定功率
(kW)</t>
        </is>
      </c>
      <c r="L3" s="55" t="inlineStr">
        <is>
          <t>进口绝对压力
(kPa)</t>
        </is>
      </c>
      <c r="M3" s="55" t="inlineStr">
        <is>
          <t>出口绝对压力
(kPa)</t>
        </is>
      </c>
      <c r="N3" s="55" t="inlineStr">
        <is>
          <t>进口温度
(K)</t>
        </is>
      </c>
      <c r="O3" s="55" t="inlineStr">
        <is>
          <t>出口温度
(K)</t>
        </is>
      </c>
      <c r="P3" s="55" t="inlineStr">
        <is>
          <t>绝热指数k</t>
        </is>
      </c>
      <c r="Q3" s="55" t="inlineStr">
        <is>
          <t>叶轮出口宽度b₂
(mm)</t>
        </is>
      </c>
      <c r="R3" s="55" t="inlineStr">
        <is>
          <t>叶轮出口直径D₂
(mm)</t>
        </is>
      </c>
      <c r="S3" s="55" t="inlineStr">
        <is>
          <t>多变效率
(%)</t>
        </is>
      </c>
      <c r="T3" s="45" t="inlineStr">
        <is>
          <t>是否三元流动叶轮</t>
        </is>
      </c>
      <c r="U3" s="108" t="inlineStr">
        <is>
          <t>b₂/D₂</t>
        </is>
      </c>
      <c r="V3" s="63" t="inlineStr">
        <is>
          <t>能效限定值
(%)</t>
        </is>
      </c>
      <c r="W3" s="63" t="inlineStr">
        <is>
          <t>节能评价值
(%)</t>
        </is>
      </c>
      <c r="X3" s="76" t="inlineStr">
        <is>
          <t>能效结论</t>
        </is>
      </c>
      <c r="Y3" s="88" t="inlineStr">
        <is>
          <t>铭牌照片</t>
        </is>
      </c>
      <c r="Z3" s="88" t="inlineStr">
        <is>
          <t>填表备注</t>
        </is>
      </c>
      <c r="AA3" s="88" t="inlineStr">
        <is>
          <t>自动备注</t>
        </is>
      </c>
    </row>
    <row r="4" ht="42" customHeight="1" s="184">
      <c r="A4" s="224">
        <f>IF(COUNTA(B4,C4,D4,E4,F4,G4,H4,I4,J4,K4,L4,M4,N4,O4,P4,Q4,R4,S4,T4,Y4,Z4)&gt;0,ROW()-3,"")</f>
        <v/>
      </c>
      <c r="B4" s="176" t="n"/>
      <c r="C4" s="176" t="n"/>
      <c r="D4" s="228" t="n"/>
      <c r="E4" s="176" t="n"/>
      <c r="F4" s="218" t="n"/>
      <c r="G4" s="228" t="n"/>
      <c r="H4" s="218" t="n"/>
      <c r="I4" s="218" t="n"/>
      <c r="J4" s="229" t="n"/>
      <c r="K4" s="229" t="n"/>
      <c r="L4" s="229" t="n"/>
      <c r="M4" s="229" t="n"/>
      <c r="N4" s="229" t="n"/>
      <c r="O4" s="229" t="n"/>
      <c r="P4" s="235" t="n"/>
      <c r="Q4" s="229" t="n"/>
      <c r="R4" s="229" t="n"/>
      <c r="S4" s="229" t="n"/>
      <c r="T4" s="218" t="n"/>
      <c r="U4" s="113" t="n"/>
      <c r="V4" s="227" t="n"/>
      <c r="W4" s="227" t="n"/>
      <c r="X4" s="81" t="n"/>
      <c r="Y4" s="180" t="n"/>
      <c r="Z4" s="180" t="n"/>
      <c r="AA4" s="99">
        <f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f>
        <v/>
      </c>
    </row>
    <row r="5" ht="42" customHeight="1" s="184">
      <c r="A5" s="224">
        <f>IF(COUNTA(B5,C5,D5,E5,F5,G5,H5,I5,J5,K5,L5,M5,N5,O5,P5,Q5,R5,S5,T5,Y5,Z5)&gt;0,ROW()-3,"")</f>
        <v/>
      </c>
      <c r="B5" s="176" t="n"/>
      <c r="C5" s="176" t="n"/>
      <c r="D5" s="228" t="n"/>
      <c r="E5" s="176" t="n"/>
      <c r="F5" s="218" t="n"/>
      <c r="G5" s="228" t="n"/>
      <c r="H5" s="218" t="n"/>
      <c r="I5" s="218" t="n"/>
      <c r="J5" s="229" t="n"/>
      <c r="K5" s="229" t="n"/>
      <c r="L5" s="229" t="n"/>
      <c r="M5" s="229" t="n"/>
      <c r="N5" s="229" t="n"/>
      <c r="O5" s="229" t="n"/>
      <c r="P5" s="235" t="n"/>
      <c r="Q5" s="229" t="n"/>
      <c r="R5" s="229" t="n"/>
      <c r="S5" s="229" t="n"/>
      <c r="T5" s="218" t="n"/>
      <c r="U5" s="113" t="n"/>
      <c r="V5" s="227" t="n"/>
      <c r="W5" s="227" t="n"/>
      <c r="X5" s="81" t="n"/>
      <c r="Y5" s="180" t="n"/>
      <c r="Z5" s="180" t="n"/>
      <c r="AA5" s="99">
        <f>IF(COUNTA(B5,C5,D5,E5,F5,G5,H5,I5,J5,K5,L5,M5,N5,O5,P5,Q5,R5,S5,T5,Y5,Z5)&gt;0,TEXTJOIN("；",TRUE,IF(B5="","缺少设备名称",""),IF(AND(ISTEXT(B5),OR(B5&lt;&gt;TRIM(B5),ISNUMBER(SEARCH("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",E5)))),"安装位置含首尾空格或全角空格",""),IF(F5="","缺少设备类别",""),IF(F5="","",IF(COUNTIF(EV_BLOWER_CATEGORY,F5)=0,"设备类别不在标准枚举中","")),IF(AND(ISTEXT(F5),OR(F5&lt;&gt;TRIM(F5),ISNUMBER(SEARCH("　",F5)))),"设备类别含首尾空格或全角空格",""),IF(G5="","缺少级数",""),IF(G5="","",IF(NOT(ISNUMBER(G5)),"级数应为数值",IF(OR(G5&lt;=0,MOD(G5,1)&lt;&gt;0),"级数应为正整数",""))),IF(H5="","缺少是否多级叶轮",""),IF(H5="","",IF(COUNTIF(EV_YES_NO,H5)=0,"是否多级叶轮不在标准枚举中","")),IF(AND(ISTEXT(H5),OR(H5&lt;&gt;TRIM(H5),ISNUMBER(SEARCH("　",H5)))),"是否多级叶轮含首尾空格或全角空格",""),IF(I5="","缺少是否悬臂式",""),IF(I5="","",IF(COUNTIF(EV_YES_NO,I5)=0,"是否悬臂式不在标准枚举中","")),IF(AND(ISTEXT(I5),OR(I5&lt;&gt;TRIM(I5),ISNUMBER(SEARCH("　",I5)))),"是否悬臂式含首尾空格或全角空格",""),IF(J5="","缺少容积流量",""),IF(J5="","",IF(NOT(ISNUMBER(J5)),"容积流量应为数值",IF(J5&lt;=0,"容积流量应大于0",""))),IF(K5="","缺少额定功率",""),IF(K5="","",IF(NOT(ISNUMBER(K5)),"额定功率应为数值",IF(K5&lt;=0,"额定功率应大于0",""))),IF(L5="","缺少进口绝对压力",""),IF(L5="","",IF(NOT(ISNUMBER(L5)),"进口绝对压力应为数值",IF(L5&lt;=0,"进口绝对压力应大于0",""))),IF(M5="","缺少出口绝对压力",""),IF(M5="","",IF(NOT(ISNUMBER(M5)),"出口绝对压力应为数值",IF(M5&lt;=0,"出口绝对压力应大于0",""))),IF(N5="","缺少进口温度",""),IF(N5="","",IF(NOT(ISNUMBER(N5)),"进口温度应为数值",IF(N5&lt;=0,"进口温度应大于0",""))),IF(O5="","缺少出口温度",""),IF(O5="","",IF(NOT(ISNUMBER(O5)),"出口温度应为数值",IF(O5&lt;=0,"出口温度应大于0",""))),IF(P5="","缺少绝热指数k",""),IF(P5="","",IF(NOT(ISNUMBER(P5)),"绝热指数k应为数值",IF(OR(P5&lt;1,P5&gt;2),"绝热指数k应为1～2",""))),IF(Q5="","缺少叶轮出口宽度b₂",""),IF(Q5="","",IF(NOT(ISNUMBER(Q5)),"叶轮出口宽度b₂应为数值",IF(Q5&lt;=0,"叶轮出口宽度b₂应大于0",""))),IF(R5="","缺少叶轮出口直径D₂",""),IF(R5="","",IF(NOT(ISNUMBER(R5)),"叶轮出口直径D₂应为数值",IF(R5&lt;=0,"叶轮出口直径D₂应大于0",""))),IF(S5="","缺少多变效率",""),IF(S5="","",IF(NOT(ISNUMBER(S5)),"多变效率应为数值",IF(OR(S5&lt;1,S5&gt;100),"多变效率应为1～100的百分数本值",""))),IF(T5="","缺少是否三元流动叶轮",""),IF(T5="","",IF(COUNTIF(EV_YES_NO,T5)=0,"是否三元流动叶轮不在标准枚举中","")),IF(AND(ISTEXT(T5),OR(T5&lt;&gt;TRIM(T5),ISNUMBER(SEARCH("　",T5)))),"是否三元流动叶轮含首尾空格或全角空格",""),IF(Y5="","缺少铭牌照片",""),IF(AND(ISTEXT(Z5),OR(Z5&lt;&gt;TRIM(Z5),ISNUMBER(SEARCH("　",Z5)))),"填表备注含首尾空格或全角空格",""),IF(AND(ISNUMBER(L5),ISNUMBER(M5),OR(M5-L5&lt;30,M5-L5&gt;200)),"升压超出30～200kPa鼓风机范围，请核对绝对压力",""),IF(AND(ISNUMBER(L5),ISNUMBER(M5),M5&lt;=L5),"出口绝对压力应大于进口绝对压力","")),"")</f>
        <v/>
      </c>
    </row>
    <row r="6" ht="42" customHeight="1" s="184">
      <c r="A6" s="224">
        <f>IF(COUNTA(B6,C6,D6,E6,F6,G6,H6,I6,J6,K6,L6,M6,N6,O6,P6,Q6,R6,S6,T6,Y6,Z6)&gt;0,ROW()-3,"")</f>
        <v/>
      </c>
      <c r="B6" s="176" t="n"/>
      <c r="C6" s="176" t="n"/>
      <c r="D6" s="228" t="n"/>
      <c r="E6" s="176" t="n"/>
      <c r="F6" s="218" t="n"/>
      <c r="G6" s="228" t="n"/>
      <c r="H6" s="218" t="n"/>
      <c r="I6" s="218" t="n"/>
      <c r="J6" s="229" t="n"/>
      <c r="K6" s="229" t="n"/>
      <c r="L6" s="229" t="n"/>
      <c r="M6" s="229" t="n"/>
      <c r="N6" s="229" t="n"/>
      <c r="O6" s="229" t="n"/>
      <c r="P6" s="235" t="n"/>
      <c r="Q6" s="229" t="n"/>
      <c r="R6" s="229" t="n"/>
      <c r="S6" s="229" t="n"/>
      <c r="T6" s="218" t="n"/>
      <c r="U6" s="113" t="n"/>
      <c r="V6" s="227" t="n"/>
      <c r="W6" s="227" t="n"/>
      <c r="X6" s="81" t="n"/>
      <c r="Y6" s="180" t="n"/>
      <c r="Z6" s="180" t="n"/>
      <c r="AA6" s="99">
        <f>IF(COUNTA(B6,C6,D6,E6,F6,G6,H6,I6,J6,K6,L6,M6,N6,O6,P6,Q6,R6,S6,T6,Y6,Z6)&gt;0,TEXTJOIN("；",TRUE,IF(B6="","缺少设备名称",""),IF(AND(ISTEXT(B6),OR(B6&lt;&gt;TRIM(B6),ISNUMBER(SEARCH("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",E6)))),"安装位置含首尾空格或全角空格",""),IF(F6="","缺少设备类别",""),IF(F6="","",IF(COUNTIF(EV_BLOWER_CATEGORY,F6)=0,"设备类别不在标准枚举中","")),IF(AND(ISTEXT(F6),OR(F6&lt;&gt;TRIM(F6),ISNUMBER(SEARCH("　",F6)))),"设备类别含首尾空格或全角空格",""),IF(G6="","缺少级数",""),IF(G6="","",IF(NOT(ISNUMBER(G6)),"级数应为数值",IF(OR(G6&lt;=0,MOD(G6,1)&lt;&gt;0),"级数应为正整数",""))),IF(H6="","缺少是否多级叶轮",""),IF(H6="","",IF(COUNTIF(EV_YES_NO,H6)=0,"是否多级叶轮不在标准枚举中","")),IF(AND(ISTEXT(H6),OR(H6&lt;&gt;TRIM(H6),ISNUMBER(SEARCH("　",H6)))),"是否多级叶轮含首尾空格或全角空格",""),IF(I6="","缺少是否悬臂式",""),IF(I6="","",IF(COUNTIF(EV_YES_NO,I6)=0,"是否悬臂式不在标准枚举中","")),IF(AND(ISTEXT(I6),OR(I6&lt;&gt;TRIM(I6),ISNUMBER(SEARCH("　",I6)))),"是否悬臂式含首尾空格或全角空格",""),IF(J6="","缺少容积流量",""),IF(J6="","",IF(NOT(ISNUMBER(J6)),"容积流量应为数值",IF(J6&lt;=0,"容积流量应大于0",""))),IF(K6="","缺少额定功率",""),IF(K6="","",IF(NOT(ISNUMBER(K6)),"额定功率应为数值",IF(K6&lt;=0,"额定功率应大于0",""))),IF(L6="","缺少进口绝对压力",""),IF(L6="","",IF(NOT(ISNUMBER(L6)),"进口绝对压力应为数值",IF(L6&lt;=0,"进口绝对压力应大于0",""))),IF(M6="","缺少出口绝对压力",""),IF(M6="","",IF(NOT(ISNUMBER(M6)),"出口绝对压力应为数值",IF(M6&lt;=0,"出口绝对压力应大于0",""))),IF(N6="","缺少进口温度",""),IF(N6="","",IF(NOT(ISNUMBER(N6)),"进口温度应为数值",IF(N6&lt;=0,"进口温度应大于0",""))),IF(O6="","缺少出口温度",""),IF(O6="","",IF(NOT(ISNUMBER(O6)),"出口温度应为数值",IF(O6&lt;=0,"出口温度应大于0",""))),IF(P6="","缺少绝热指数k",""),IF(P6="","",IF(NOT(ISNUMBER(P6)),"绝热指数k应为数值",IF(OR(P6&lt;1,P6&gt;2),"绝热指数k应为1～2",""))),IF(Q6="","缺少叶轮出口宽度b₂",""),IF(Q6="","",IF(NOT(ISNUMBER(Q6)),"叶轮出口宽度b₂应为数值",IF(Q6&lt;=0,"叶轮出口宽度b₂应大于0",""))),IF(R6="","缺少叶轮出口直径D₂",""),IF(R6="","",IF(NOT(ISNUMBER(R6)),"叶轮出口直径D₂应为数值",IF(R6&lt;=0,"叶轮出口直径D₂应大于0",""))),IF(S6="","缺少多变效率",""),IF(S6="","",IF(NOT(ISNUMBER(S6)),"多变效率应为数值",IF(OR(S6&lt;1,S6&gt;100),"多变效率应为1～100的百分数本值",""))),IF(T6="","缺少是否三元流动叶轮",""),IF(T6="","",IF(COUNTIF(EV_YES_NO,T6)=0,"是否三元流动叶轮不在标准枚举中","")),IF(AND(ISTEXT(T6),OR(T6&lt;&gt;TRIM(T6),ISNUMBER(SEARCH("　",T6)))),"是否三元流动叶轮含首尾空格或全角空格",""),IF(Y6="","缺少铭牌照片",""),IF(AND(ISTEXT(Z6),OR(Z6&lt;&gt;TRIM(Z6),ISNUMBER(SEARCH("　",Z6)))),"填表备注含首尾空格或全角空格",""),IF(AND(ISNUMBER(L6),ISNUMBER(M6),OR(M6-L6&lt;30,M6-L6&gt;200)),"升压超出30～200kPa鼓风机范围，请核对绝对压力",""),IF(AND(ISNUMBER(L6),ISNUMBER(M6),M6&lt;=L6),"出口绝对压力应大于进口绝对压力","")),"")</f>
        <v/>
      </c>
    </row>
    <row r="7" ht="42" customHeight="1" s="184">
      <c r="A7" s="224">
        <f>IF(COUNTA(B7,C7,D7,E7,F7,G7,H7,I7,J7,K7,L7,M7,N7,O7,P7,Q7,R7,S7,T7,Y7,Z7)&gt;0,ROW()-3,"")</f>
        <v/>
      </c>
      <c r="B7" s="176" t="n"/>
      <c r="C7" s="176" t="n"/>
      <c r="D7" s="228" t="n"/>
      <c r="E7" s="176" t="n"/>
      <c r="F7" s="218" t="n"/>
      <c r="G7" s="228" t="n"/>
      <c r="H7" s="218" t="n"/>
      <c r="I7" s="218" t="n"/>
      <c r="J7" s="229" t="n"/>
      <c r="K7" s="229" t="n"/>
      <c r="L7" s="229" t="n"/>
      <c r="M7" s="229" t="n"/>
      <c r="N7" s="229" t="n"/>
      <c r="O7" s="229" t="n"/>
      <c r="P7" s="235" t="n"/>
      <c r="Q7" s="229" t="n"/>
      <c r="R7" s="229" t="n"/>
      <c r="S7" s="229" t="n"/>
      <c r="T7" s="218" t="n"/>
      <c r="U7" s="113" t="n"/>
      <c r="V7" s="227" t="n"/>
      <c r="W7" s="227" t="n"/>
      <c r="X7" s="81" t="n"/>
      <c r="Y7" s="180" t="n"/>
      <c r="Z7" s="180" t="n"/>
      <c r="AA7" s="99">
        <f>IF(COUNTA(B7,C7,D7,E7,F7,G7,H7,I7,J7,K7,L7,M7,N7,O7,P7,Q7,R7,S7,T7,Y7,Z7)&gt;0,TEXTJOIN("；",TRUE,IF(B7="","缺少设备名称",""),IF(AND(ISTEXT(B7),OR(B7&lt;&gt;TRIM(B7),ISNUMBER(SEARCH("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",E7)))),"安装位置含首尾空格或全角空格",""),IF(F7="","缺少设备类别",""),IF(F7="","",IF(COUNTIF(EV_BLOWER_CATEGORY,F7)=0,"设备类别不在标准枚举中","")),IF(AND(ISTEXT(F7),OR(F7&lt;&gt;TRIM(F7),ISNUMBER(SEARCH("　",F7)))),"设备类别含首尾空格或全角空格",""),IF(G7="","缺少级数",""),IF(G7="","",IF(NOT(ISNUMBER(G7)),"级数应为数值",IF(OR(G7&lt;=0,MOD(G7,1)&lt;&gt;0),"级数应为正整数",""))),IF(H7="","缺少是否多级叶轮",""),IF(H7="","",IF(COUNTIF(EV_YES_NO,H7)=0,"是否多级叶轮不在标准枚举中","")),IF(AND(ISTEXT(H7),OR(H7&lt;&gt;TRIM(H7),ISNUMBER(SEARCH("　",H7)))),"是否多级叶轮含首尾空格或全角空格",""),IF(I7="","缺少是否悬臂式",""),IF(I7="","",IF(COUNTIF(EV_YES_NO,I7)=0,"是否悬臂式不在标准枚举中","")),IF(AND(ISTEXT(I7),OR(I7&lt;&gt;TRIM(I7),ISNUMBER(SEARCH("　",I7)))),"是否悬臂式含首尾空格或全角空格",""),IF(J7="","缺少容积流量",""),IF(J7="","",IF(NOT(ISNUMBER(J7)),"容积流量应为数值",IF(J7&lt;=0,"容积流量应大于0",""))),IF(K7="","缺少额定功率",""),IF(K7="","",IF(NOT(ISNUMBER(K7)),"额定功率应为数值",IF(K7&lt;=0,"额定功率应大于0",""))),IF(L7="","缺少进口绝对压力",""),IF(L7="","",IF(NOT(ISNUMBER(L7)),"进口绝对压力应为数值",IF(L7&lt;=0,"进口绝对压力应大于0",""))),IF(M7="","缺少出口绝对压力",""),IF(M7="","",IF(NOT(ISNUMBER(M7)),"出口绝对压力应为数值",IF(M7&lt;=0,"出口绝对压力应大于0",""))),IF(N7="","缺少进口温度",""),IF(N7="","",IF(NOT(ISNUMBER(N7)),"进口温度应为数值",IF(N7&lt;=0,"进口温度应大于0",""))),IF(O7="","缺少出口温度",""),IF(O7="","",IF(NOT(ISNUMBER(O7)),"出口温度应为数值",IF(O7&lt;=0,"出口温度应大于0",""))),IF(P7="","缺少绝热指数k",""),IF(P7="","",IF(NOT(ISNUMBER(P7)),"绝热指数k应为数值",IF(OR(P7&lt;1,P7&gt;2),"绝热指数k应为1～2",""))),IF(Q7="","缺少叶轮出口宽度b₂",""),IF(Q7="","",IF(NOT(ISNUMBER(Q7)),"叶轮出口宽度b₂应为数值",IF(Q7&lt;=0,"叶轮出口宽度b₂应大于0",""))),IF(R7="","缺少叶轮出口直径D₂",""),IF(R7="","",IF(NOT(ISNUMBER(R7)),"叶轮出口直径D₂应为数值",IF(R7&lt;=0,"叶轮出口直径D₂应大于0",""))),IF(S7="","缺少多变效率",""),IF(S7="","",IF(NOT(ISNUMBER(S7)),"多变效率应为数值",IF(OR(S7&lt;1,S7&gt;100),"多变效率应为1～100的百分数本值",""))),IF(T7="","缺少是否三元流动叶轮",""),IF(T7="","",IF(COUNTIF(EV_YES_NO,T7)=0,"是否三元流动叶轮不在标准枚举中","")),IF(AND(ISTEXT(T7),OR(T7&lt;&gt;TRIM(T7),ISNUMBER(SEARCH("　",T7)))),"是否三元流动叶轮含首尾空格或全角空格",""),IF(Y7="","缺少铭牌照片",""),IF(AND(ISTEXT(Z7),OR(Z7&lt;&gt;TRIM(Z7),ISNUMBER(SEARCH("　",Z7)))),"填表备注含首尾空格或全角空格",""),IF(AND(ISNUMBER(L7),ISNUMBER(M7),OR(M7-L7&lt;30,M7-L7&gt;200)),"升压超出30～200kPa鼓风机范围，请核对绝对压力",""),IF(AND(ISNUMBER(L7),ISNUMBER(M7),M7&lt;=L7),"出口绝对压力应大于进口绝对压力","")),"")</f>
        <v/>
      </c>
    </row>
    <row r="8" ht="42" customHeight="1" s="184">
      <c r="A8" s="224">
        <f>IF(COUNTA(B8,C8,D8,E8,F8,G8,H8,I8,J8,K8,L8,M8,N8,O8,P8,Q8,R8,S8,T8,Y8,Z8)&gt;0,ROW()-3,"")</f>
        <v/>
      </c>
      <c r="B8" s="176" t="n"/>
      <c r="C8" s="176" t="n"/>
      <c r="D8" s="228" t="n"/>
      <c r="E8" s="176" t="n"/>
      <c r="F8" s="218" t="n"/>
      <c r="G8" s="228" t="n"/>
      <c r="H8" s="218" t="n"/>
      <c r="I8" s="218" t="n"/>
      <c r="J8" s="229" t="n"/>
      <c r="K8" s="229" t="n"/>
      <c r="L8" s="229" t="n"/>
      <c r="M8" s="229" t="n"/>
      <c r="N8" s="229" t="n"/>
      <c r="O8" s="229" t="n"/>
      <c r="P8" s="235" t="n"/>
      <c r="Q8" s="229" t="n"/>
      <c r="R8" s="229" t="n"/>
      <c r="S8" s="229" t="n"/>
      <c r="T8" s="218" t="n"/>
      <c r="U8" s="113" t="n"/>
      <c r="V8" s="227" t="n"/>
      <c r="W8" s="227" t="n"/>
      <c r="X8" s="81" t="n"/>
      <c r="Y8" s="180" t="n"/>
      <c r="Z8" s="180" t="n"/>
      <c r="AA8" s="99">
        <f>IF(COUNTA(B8,C8,D8,E8,F8,G8,H8,I8,J8,K8,L8,M8,N8,O8,P8,Q8,R8,S8,T8,Y8,Z8)&gt;0,TEXTJOIN("；",TRUE,IF(B8="","缺少设备名称",""),IF(AND(ISTEXT(B8),OR(B8&lt;&gt;TRIM(B8),ISNUMBER(SEARCH("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",E8)))),"安装位置含首尾空格或全角空格",""),IF(F8="","缺少设备类别",""),IF(F8="","",IF(COUNTIF(EV_BLOWER_CATEGORY,F8)=0,"设备类别不在标准枚举中","")),IF(AND(ISTEXT(F8),OR(F8&lt;&gt;TRIM(F8),ISNUMBER(SEARCH("　",F8)))),"设备类别含首尾空格或全角空格",""),IF(G8="","缺少级数",""),IF(G8="","",IF(NOT(ISNUMBER(G8)),"级数应为数值",IF(OR(G8&lt;=0,MOD(G8,1)&lt;&gt;0),"级数应为正整数",""))),IF(H8="","缺少是否多级叶轮",""),IF(H8="","",IF(COUNTIF(EV_YES_NO,H8)=0,"是否多级叶轮不在标准枚举中","")),IF(AND(ISTEXT(H8),OR(H8&lt;&gt;TRIM(H8),ISNUMBER(SEARCH("　",H8)))),"是否多级叶轮含首尾空格或全角空格",""),IF(I8="","缺少是否悬臂式",""),IF(I8="","",IF(COUNTIF(EV_YES_NO,I8)=0,"是否悬臂式不在标准枚举中","")),IF(AND(ISTEXT(I8),OR(I8&lt;&gt;TRIM(I8),ISNUMBER(SEARCH("　",I8)))),"是否悬臂式含首尾空格或全角空格",""),IF(J8="","缺少容积流量",""),IF(J8="","",IF(NOT(ISNUMBER(J8)),"容积流量应为数值",IF(J8&lt;=0,"容积流量应大于0",""))),IF(K8="","缺少额定功率",""),IF(K8="","",IF(NOT(ISNUMBER(K8)),"额定功率应为数值",IF(K8&lt;=0,"额定功率应大于0",""))),IF(L8="","缺少进口绝对压力",""),IF(L8="","",IF(NOT(ISNUMBER(L8)),"进口绝对压力应为数值",IF(L8&lt;=0,"进口绝对压力应大于0",""))),IF(M8="","缺少出口绝对压力",""),IF(M8="","",IF(NOT(ISNUMBER(M8)),"出口绝对压力应为数值",IF(M8&lt;=0,"出口绝对压力应大于0",""))),IF(N8="","缺少进口温度",""),IF(N8="","",IF(NOT(ISNUMBER(N8)),"进口温度应为数值",IF(N8&lt;=0,"进口温度应大于0",""))),IF(O8="","缺少出口温度",""),IF(O8="","",IF(NOT(ISNUMBER(O8)),"出口温度应为数值",IF(O8&lt;=0,"出口温度应大于0",""))),IF(P8="","缺少绝热指数k",""),IF(P8="","",IF(NOT(ISNUMBER(P8)),"绝热指数k应为数值",IF(OR(P8&lt;1,P8&gt;2),"绝热指数k应为1～2",""))),IF(Q8="","缺少叶轮出口宽度b₂",""),IF(Q8="","",IF(NOT(ISNUMBER(Q8)),"叶轮出口宽度b₂应为数值",IF(Q8&lt;=0,"叶轮出口宽度b₂应大于0",""))),IF(R8="","缺少叶轮出口直径D₂",""),IF(R8="","",IF(NOT(ISNUMBER(R8)),"叶轮出口直径D₂应为数值",IF(R8&lt;=0,"叶轮出口直径D₂应大于0",""))),IF(S8="","缺少多变效率",""),IF(S8="","",IF(NOT(ISNUMBER(S8)),"多变效率应为数值",IF(OR(S8&lt;1,S8&gt;100),"多变效率应为1～100的百分数本值",""))),IF(T8="","缺少是否三元流动叶轮",""),IF(T8="","",IF(COUNTIF(EV_YES_NO,T8)=0,"是否三元流动叶轮不在标准枚举中","")),IF(AND(ISTEXT(T8),OR(T8&lt;&gt;TRIM(T8),ISNUMBER(SEARCH("　",T8)))),"是否三元流动叶轮含首尾空格或全角空格",""),IF(Y8="","缺少铭牌照片",""),IF(AND(ISTEXT(Z8),OR(Z8&lt;&gt;TRIM(Z8),ISNUMBER(SEARCH("　",Z8)))),"填表备注含首尾空格或全角空格",""),IF(AND(ISNUMBER(L8),ISNUMBER(M8),OR(M8-L8&lt;30,M8-L8&gt;200)),"升压超出30～200kPa鼓风机范围，请核对绝对压力",""),IF(AND(ISNUMBER(L8),ISNUMBER(M8),M8&lt;=L8),"出口绝对压力应大于进口绝对压力","")),"")</f>
        <v/>
      </c>
    </row>
    <row r="9" ht="42" customHeight="1" s="184">
      <c r="A9" s="224">
        <f>IF(COUNTA(B9,C9,D9,E9,F9,G9,H9,I9,J9,K9,L9,M9,N9,O9,P9,Q9,R9,S9,T9,Y9,Z9)&gt;0,ROW()-3,"")</f>
        <v/>
      </c>
      <c r="B9" s="176" t="n"/>
      <c r="C9" s="176" t="n"/>
      <c r="D9" s="228" t="n"/>
      <c r="E9" s="176" t="n"/>
      <c r="F9" s="218" t="n"/>
      <c r="G9" s="228" t="n"/>
      <c r="H9" s="218" t="n"/>
      <c r="I9" s="218" t="n"/>
      <c r="J9" s="229" t="n"/>
      <c r="K9" s="229" t="n"/>
      <c r="L9" s="229" t="n"/>
      <c r="M9" s="229" t="n"/>
      <c r="N9" s="229" t="n"/>
      <c r="O9" s="229" t="n"/>
      <c r="P9" s="235" t="n"/>
      <c r="Q9" s="229" t="n"/>
      <c r="R9" s="229" t="n"/>
      <c r="S9" s="229" t="n"/>
      <c r="T9" s="218" t="n"/>
      <c r="U9" s="113" t="n"/>
      <c r="V9" s="227" t="n"/>
      <c r="W9" s="227" t="n"/>
      <c r="X9" s="81" t="n"/>
      <c r="Y9" s="180" t="n"/>
      <c r="Z9" s="180" t="n"/>
      <c r="AA9" s="99">
        <f>IF(COUNTA(B9,C9,D9,E9,F9,G9,H9,I9,J9,K9,L9,M9,N9,O9,P9,Q9,R9,S9,T9,Y9,Z9)&gt;0,TEXTJOIN("；",TRUE,IF(B9="","缺少设备名称",""),IF(AND(ISTEXT(B9),OR(B9&lt;&gt;TRIM(B9),ISNUMBER(SEARCH("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",E9)))),"安装位置含首尾空格或全角空格",""),IF(F9="","缺少设备类别",""),IF(F9="","",IF(COUNTIF(EV_BLOWER_CATEGORY,F9)=0,"设备类别不在标准枚举中","")),IF(AND(ISTEXT(F9),OR(F9&lt;&gt;TRIM(F9),ISNUMBER(SEARCH("　",F9)))),"设备类别含首尾空格或全角空格",""),IF(G9="","缺少级数",""),IF(G9="","",IF(NOT(ISNUMBER(G9)),"级数应为数值",IF(OR(G9&lt;=0,MOD(G9,1)&lt;&gt;0),"级数应为正整数",""))),IF(H9="","缺少是否多级叶轮",""),IF(H9="","",IF(COUNTIF(EV_YES_NO,H9)=0,"是否多级叶轮不在标准枚举中","")),IF(AND(ISTEXT(H9),OR(H9&lt;&gt;TRIM(H9),ISNUMBER(SEARCH("　",H9)))),"是否多级叶轮含首尾空格或全角空格",""),IF(I9="","缺少是否悬臂式",""),IF(I9="","",IF(COUNTIF(EV_YES_NO,I9)=0,"是否悬臂式不在标准枚举中","")),IF(AND(ISTEXT(I9),OR(I9&lt;&gt;TRIM(I9),ISNUMBER(SEARCH("　",I9)))),"是否悬臂式含首尾空格或全角空格",""),IF(J9="","缺少容积流量",""),IF(J9="","",IF(NOT(ISNUMBER(J9)),"容积流量应为数值",IF(J9&lt;=0,"容积流量应大于0",""))),IF(K9="","缺少额定功率",""),IF(K9="","",IF(NOT(ISNUMBER(K9)),"额定功率应为数值",IF(K9&lt;=0,"额定功率应大于0",""))),IF(L9="","缺少进口绝对压力",""),IF(L9="","",IF(NOT(ISNUMBER(L9)),"进口绝对压力应为数值",IF(L9&lt;=0,"进口绝对压力应大于0",""))),IF(M9="","缺少出口绝对压力",""),IF(M9="","",IF(NOT(ISNUMBER(M9)),"出口绝对压力应为数值",IF(M9&lt;=0,"出口绝对压力应大于0",""))),IF(N9="","缺少进口温度",""),IF(N9="","",IF(NOT(ISNUMBER(N9)),"进口温度应为数值",IF(N9&lt;=0,"进口温度应大于0",""))),IF(O9="","缺少出口温度",""),IF(O9="","",IF(NOT(ISNUMBER(O9)),"出口温度应为数值",IF(O9&lt;=0,"出口温度应大于0",""))),IF(P9="","缺少绝热指数k",""),IF(P9="","",IF(NOT(ISNUMBER(P9)),"绝热指数k应为数值",IF(OR(P9&lt;1,P9&gt;2),"绝热指数k应为1～2",""))),IF(Q9="","缺少叶轮出口宽度b₂",""),IF(Q9="","",IF(NOT(ISNUMBER(Q9)),"叶轮出口宽度b₂应为数值",IF(Q9&lt;=0,"叶轮出口宽度b₂应大于0",""))),IF(R9="","缺少叶轮出口直径D₂",""),IF(R9="","",IF(NOT(ISNUMBER(R9)),"叶轮出口直径D₂应为数值",IF(R9&lt;=0,"叶轮出口直径D₂应大于0",""))),IF(S9="","缺少多变效率",""),IF(S9="","",IF(NOT(ISNUMBER(S9)),"多变效率应为数值",IF(OR(S9&lt;1,S9&gt;100),"多变效率应为1～100的百分数本值",""))),IF(T9="","缺少是否三元流动叶轮",""),IF(T9="","",IF(COUNTIF(EV_YES_NO,T9)=0,"是否三元流动叶轮不在标准枚举中","")),IF(AND(ISTEXT(T9),OR(T9&lt;&gt;TRIM(T9),ISNUMBER(SEARCH("　",T9)))),"是否三元流动叶轮含首尾空格或全角空格",""),IF(Y9="","缺少铭牌照片",""),IF(AND(ISTEXT(Z9),OR(Z9&lt;&gt;TRIM(Z9),ISNUMBER(SEARCH("　",Z9)))),"填表备注含首尾空格或全角空格",""),IF(AND(ISNUMBER(L9),ISNUMBER(M9),OR(M9-L9&lt;30,M9-L9&gt;200)),"升压超出30～200kPa鼓风机范围，请核对绝对压力",""),IF(AND(ISNUMBER(L9),ISNUMBER(M9),M9&lt;=L9),"出口绝对压力应大于进口绝对压力","")),"")</f>
        <v/>
      </c>
    </row>
    <row r="10" ht="42" customHeight="1" s="184">
      <c r="A10" s="224">
        <f>IF(COUNTA(B10,C10,D10,E10,F10,G10,H10,I10,J10,K10,L10,M10,N10,O10,P10,Q10,R10,S10,T10,Y10,Z10)&gt;0,ROW()-3,"")</f>
        <v/>
      </c>
      <c r="B10" s="176" t="n"/>
      <c r="C10" s="176" t="n"/>
      <c r="D10" s="228" t="n"/>
      <c r="E10" s="176" t="n"/>
      <c r="F10" s="218" t="n"/>
      <c r="G10" s="228" t="n"/>
      <c r="H10" s="218" t="n"/>
      <c r="I10" s="218" t="n"/>
      <c r="J10" s="229" t="n"/>
      <c r="K10" s="229" t="n"/>
      <c r="L10" s="229" t="n"/>
      <c r="M10" s="229" t="n"/>
      <c r="N10" s="229" t="n"/>
      <c r="O10" s="229" t="n"/>
      <c r="P10" s="235" t="n"/>
      <c r="Q10" s="229" t="n"/>
      <c r="R10" s="229" t="n"/>
      <c r="S10" s="229" t="n"/>
      <c r="T10" s="218" t="n"/>
      <c r="U10" s="113" t="n"/>
      <c r="V10" s="227" t="n"/>
      <c r="W10" s="227" t="n"/>
      <c r="X10" s="81" t="n"/>
      <c r="Y10" s="180" t="n"/>
      <c r="Z10" s="180" t="n"/>
      <c r="AA10" s="99">
        <f>IF(COUNTA(B10,C10,D10,E10,F10,G10,H10,I10,J10,K10,L10,M10,N10,O10,P10,Q10,R10,S10,T10,Y10,Z10)&gt;0,TEXTJOIN("；",TRUE,IF(B10="","缺少设备名称",""),IF(AND(ISTEXT(B10),OR(B10&lt;&gt;TRIM(B10),ISNUMBER(SEARCH("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",E10)))),"安装位置含首尾空格或全角空格",""),IF(F10="","缺少设备类别",""),IF(F10="","",IF(COUNTIF(EV_BLOWER_CATEGORY,F10)=0,"设备类别不在标准枚举中","")),IF(AND(ISTEXT(F10),OR(F10&lt;&gt;TRIM(F10),ISNUMBER(SEARCH("　",F10)))),"设备类别含首尾空格或全角空格",""),IF(G10="","缺少级数",""),IF(G10="","",IF(NOT(ISNUMBER(G10)),"级数应为数值",IF(OR(G10&lt;=0,MOD(G10,1)&lt;&gt;0),"级数应为正整数",""))),IF(H10="","缺少是否多级叶轮",""),IF(H10="","",IF(COUNTIF(EV_YES_NO,H10)=0,"是否多级叶轮不在标准枚举中","")),IF(AND(ISTEXT(H10),OR(H10&lt;&gt;TRIM(H10),ISNUMBER(SEARCH("　",H10)))),"是否多级叶轮含首尾空格或全角空格",""),IF(I10="","缺少是否悬臂式",""),IF(I10="","",IF(COUNTIF(EV_YES_NO,I10)=0,"是否悬臂式不在标准枚举中","")),IF(AND(ISTEXT(I10),OR(I10&lt;&gt;TRIM(I10),ISNUMBER(SEARCH("　",I10)))),"是否悬臂式含首尾空格或全角空格",""),IF(J10="","缺少容积流量",""),IF(J10="","",IF(NOT(ISNUMBER(J10)),"容积流量应为数值",IF(J10&lt;=0,"容积流量应大于0",""))),IF(K10="","缺少额定功率",""),IF(K10="","",IF(NOT(ISNUMBER(K10)),"额定功率应为数值",IF(K10&lt;=0,"额定功率应大于0",""))),IF(L10="","缺少进口绝对压力",""),IF(L10="","",IF(NOT(ISNUMBER(L10)),"进口绝对压力应为数值",IF(L10&lt;=0,"进口绝对压力应大于0",""))),IF(M10="","缺少出口绝对压力",""),IF(M10="","",IF(NOT(ISNUMBER(M10)),"出口绝对压力应为数值",IF(M10&lt;=0,"出口绝对压力应大于0",""))),IF(N10="","缺少进口温度",""),IF(N10="","",IF(NOT(ISNUMBER(N10)),"进口温度应为数值",IF(N10&lt;=0,"进口温度应大于0",""))),IF(O10="","缺少出口温度",""),IF(O10="","",IF(NOT(ISNUMBER(O10)),"出口温度应为数值",IF(O10&lt;=0,"出口温度应大于0",""))),IF(P10="","缺少绝热指数k",""),IF(P10="","",IF(NOT(ISNUMBER(P10)),"绝热指数k应为数值",IF(OR(P10&lt;1,P10&gt;2),"绝热指数k应为1～2",""))),IF(Q10="","缺少叶轮出口宽度b₂",""),IF(Q10="","",IF(NOT(ISNUMBER(Q10)),"叶轮出口宽度b₂应为数值",IF(Q10&lt;=0,"叶轮出口宽度b₂应大于0",""))),IF(R10="","缺少叶轮出口直径D₂",""),IF(R10="","",IF(NOT(ISNUMBER(R10)),"叶轮出口直径D₂应为数值",IF(R10&lt;=0,"叶轮出口直径D₂应大于0",""))),IF(S10="","缺少多变效率",""),IF(S10="","",IF(NOT(ISNUMBER(S10)),"多变效率应为数值",IF(OR(S10&lt;1,S10&gt;100),"多变效率应为1～100的百分数本值",""))),IF(T10="","缺少是否三元流动叶轮",""),IF(T10="","",IF(COUNTIF(EV_YES_NO,T10)=0,"是否三元流动叶轮不在标准枚举中","")),IF(AND(ISTEXT(T10),OR(T10&lt;&gt;TRIM(T10),ISNUMBER(SEARCH("　",T10)))),"是否三元流动叶轮含首尾空格或全角空格",""),IF(Y10="","缺少铭牌照片",""),IF(AND(ISTEXT(Z10),OR(Z10&lt;&gt;TRIM(Z10),ISNUMBER(SEARCH("　",Z10)))),"填表备注含首尾空格或全角空格",""),IF(AND(ISNUMBER(L10),ISNUMBER(M10),OR(M10-L10&lt;30,M10-L10&gt;200)),"升压超出30～200kPa鼓风机范围，请核对绝对压力",""),IF(AND(ISNUMBER(L10),ISNUMBER(M10),M10&lt;=L10),"出口绝对压力应大于进口绝对压力","")),"")</f>
        <v/>
      </c>
    </row>
    <row r="11" ht="42" customHeight="1" s="184">
      <c r="A11" s="224">
        <f>IF(COUNTA(B11,C11,D11,E11,F11,G11,H11,I11,J11,K11,L11,M11,N11,O11,P11,Q11,R11,S11,T11,Y11,Z11)&gt;0,ROW()-3,"")</f>
        <v/>
      </c>
      <c r="B11" s="176" t="n"/>
      <c r="C11" s="176" t="n"/>
      <c r="D11" s="228" t="n"/>
      <c r="E11" s="176" t="n"/>
      <c r="F11" s="218" t="n"/>
      <c r="G11" s="228" t="n"/>
      <c r="H11" s="218" t="n"/>
      <c r="I11" s="218" t="n"/>
      <c r="J11" s="229" t="n"/>
      <c r="K11" s="229" t="n"/>
      <c r="L11" s="229" t="n"/>
      <c r="M11" s="229" t="n"/>
      <c r="N11" s="229" t="n"/>
      <c r="O11" s="229" t="n"/>
      <c r="P11" s="235" t="n"/>
      <c r="Q11" s="229" t="n"/>
      <c r="R11" s="229" t="n"/>
      <c r="S11" s="229" t="n"/>
      <c r="T11" s="218" t="n"/>
      <c r="U11" s="113" t="n"/>
      <c r="V11" s="227" t="n"/>
      <c r="W11" s="227" t="n"/>
      <c r="X11" s="81" t="n"/>
      <c r="Y11" s="180" t="n"/>
      <c r="Z11" s="180" t="n"/>
      <c r="AA11" s="99">
        <f>IF(COUNTA(B11,C11,D11,E11,F11,G11,H11,I11,J11,K11,L11,M11,N11,O11,P11,Q11,R11,S11,T11,Y11,Z11)&gt;0,TEXTJOIN("；",TRUE,IF(B11="","缺少设备名称",""),IF(AND(ISTEXT(B11),OR(B11&lt;&gt;TRIM(B11),ISNUMBER(SEARCH("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",E11)))),"安装位置含首尾空格或全角空格",""),IF(F11="","缺少设备类别",""),IF(F11="","",IF(COUNTIF(EV_BLOWER_CATEGORY,F11)=0,"设备类别不在标准枚举中","")),IF(AND(ISTEXT(F11),OR(F11&lt;&gt;TRIM(F11),ISNUMBER(SEARCH("　",F11)))),"设备类别含首尾空格或全角空格",""),IF(G11="","缺少级数",""),IF(G11="","",IF(NOT(ISNUMBER(G11)),"级数应为数值",IF(OR(G11&lt;=0,MOD(G11,1)&lt;&gt;0),"级数应为正整数",""))),IF(H11="","缺少是否多级叶轮",""),IF(H11="","",IF(COUNTIF(EV_YES_NO,H11)=0,"是否多级叶轮不在标准枚举中","")),IF(AND(ISTEXT(H11),OR(H11&lt;&gt;TRIM(H11),ISNUMBER(SEARCH("　",H11)))),"是否多级叶轮含首尾空格或全角空格",""),IF(I11="","缺少是否悬臂式",""),IF(I11="","",IF(COUNTIF(EV_YES_NO,I11)=0,"是否悬臂式不在标准枚举中","")),IF(AND(ISTEXT(I11),OR(I11&lt;&gt;TRIM(I11),ISNUMBER(SEARCH("　",I11)))),"是否悬臂式含首尾空格或全角空格",""),IF(J11="","缺少容积流量",""),IF(J11="","",IF(NOT(ISNUMBER(J11)),"容积流量应为数值",IF(J11&lt;=0,"容积流量应大于0",""))),IF(K11="","缺少额定功率",""),IF(K11="","",IF(NOT(ISNUMBER(K11)),"额定功率应为数值",IF(K11&lt;=0,"额定功率应大于0",""))),IF(L11="","缺少进口绝对压力",""),IF(L11="","",IF(NOT(ISNUMBER(L11)),"进口绝对压力应为数值",IF(L11&lt;=0,"进口绝对压力应大于0",""))),IF(M11="","缺少出口绝对压力",""),IF(M11="","",IF(NOT(ISNUMBER(M11)),"出口绝对压力应为数值",IF(M11&lt;=0,"出口绝对压力应大于0",""))),IF(N11="","缺少进口温度",""),IF(N11="","",IF(NOT(ISNUMBER(N11)),"进口温度应为数值",IF(N11&lt;=0,"进口温度应大于0",""))),IF(O11="","缺少出口温度",""),IF(O11="","",IF(NOT(ISNUMBER(O11)),"出口温度应为数值",IF(O11&lt;=0,"出口温度应大于0",""))),IF(P11="","缺少绝热指数k",""),IF(P11="","",IF(NOT(ISNUMBER(P11)),"绝热指数k应为数值",IF(OR(P11&lt;1,P11&gt;2),"绝热指数k应为1～2",""))),IF(Q11="","缺少叶轮出口宽度b₂",""),IF(Q11="","",IF(NOT(ISNUMBER(Q11)),"叶轮出口宽度b₂应为数值",IF(Q11&lt;=0,"叶轮出口宽度b₂应大于0",""))),IF(R11="","缺少叶轮出口直径D₂",""),IF(R11="","",IF(NOT(ISNUMBER(R11)),"叶轮出口直径D₂应为数值",IF(R11&lt;=0,"叶轮出口直径D₂应大于0",""))),IF(S11="","缺少多变效率",""),IF(S11="","",IF(NOT(ISNUMBER(S11)),"多变效率应为数值",IF(OR(S11&lt;1,S11&gt;100),"多变效率应为1～100的百分数本值",""))),IF(T11="","缺少是否三元流动叶轮",""),IF(T11="","",IF(COUNTIF(EV_YES_NO,T11)=0,"是否三元流动叶轮不在标准枚举中","")),IF(AND(ISTEXT(T11),OR(T11&lt;&gt;TRIM(T11),ISNUMBER(SEARCH("　",T11)))),"是否三元流动叶轮含首尾空格或全角空格",""),IF(Y11="","缺少铭牌照片",""),IF(AND(ISTEXT(Z11),OR(Z11&lt;&gt;TRIM(Z11),ISNUMBER(SEARCH("　",Z11)))),"填表备注含首尾空格或全角空格",""),IF(AND(ISNUMBER(L11),ISNUMBER(M11),OR(M11-L11&lt;30,M11-L11&gt;200)),"升压超出30～200kPa鼓风机范围，请核对绝对压力",""),IF(AND(ISNUMBER(L11),ISNUMBER(M11),M11&lt;=L11),"出口绝对压力应大于进口绝对压力","")),"")</f>
        <v/>
      </c>
    </row>
    <row r="12" ht="42" customHeight="1" s="184">
      <c r="A12" s="224">
        <f>IF(COUNTA(B12,C12,D12,E12,F12,G12,H12,I12,J12,K12,L12,M12,N12,O12,P12,Q12,R12,S12,T12,Y12,Z12)&gt;0,ROW()-3,"")</f>
        <v/>
      </c>
      <c r="B12" s="176" t="n"/>
      <c r="C12" s="176" t="n"/>
      <c r="D12" s="228" t="n"/>
      <c r="E12" s="176" t="n"/>
      <c r="F12" s="218" t="n"/>
      <c r="G12" s="228" t="n"/>
      <c r="H12" s="218" t="n"/>
      <c r="I12" s="218" t="n"/>
      <c r="J12" s="229" t="n"/>
      <c r="K12" s="229" t="n"/>
      <c r="L12" s="229" t="n"/>
      <c r="M12" s="229" t="n"/>
      <c r="N12" s="229" t="n"/>
      <c r="O12" s="229" t="n"/>
      <c r="P12" s="235" t="n"/>
      <c r="Q12" s="229" t="n"/>
      <c r="R12" s="229" t="n"/>
      <c r="S12" s="229" t="n"/>
      <c r="T12" s="218" t="n"/>
      <c r="U12" s="113" t="n"/>
      <c r="V12" s="227" t="n"/>
      <c r="W12" s="227" t="n"/>
      <c r="X12" s="81" t="n"/>
      <c r="Y12" s="180" t="n"/>
      <c r="Z12" s="180" t="n"/>
      <c r="AA12" s="99">
        <f>IF(COUNTA(B12,C12,D12,E12,F12,G12,H12,I12,J12,K12,L12,M12,N12,O12,P12,Q12,R12,S12,T12,Y12,Z12)&gt;0,TEXTJOIN("；",TRUE,IF(B12="","缺少设备名称",""),IF(AND(ISTEXT(B12),OR(B12&lt;&gt;TRIM(B12),ISNUMBER(SEARCH("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",E12)))),"安装位置含首尾空格或全角空格",""),IF(F12="","缺少设备类别",""),IF(F12="","",IF(COUNTIF(EV_BLOWER_CATEGORY,F12)=0,"设备类别不在标准枚举中","")),IF(AND(ISTEXT(F12),OR(F12&lt;&gt;TRIM(F12),ISNUMBER(SEARCH("　",F12)))),"设备类别含首尾空格或全角空格",""),IF(G12="","缺少级数",""),IF(G12="","",IF(NOT(ISNUMBER(G12)),"级数应为数值",IF(OR(G12&lt;=0,MOD(G12,1)&lt;&gt;0),"级数应为正整数",""))),IF(H12="","缺少是否多级叶轮",""),IF(H12="","",IF(COUNTIF(EV_YES_NO,H12)=0,"是否多级叶轮不在标准枚举中","")),IF(AND(ISTEXT(H12),OR(H12&lt;&gt;TRIM(H12),ISNUMBER(SEARCH("　",H12)))),"是否多级叶轮含首尾空格或全角空格",""),IF(I12="","缺少是否悬臂式",""),IF(I12="","",IF(COUNTIF(EV_YES_NO,I12)=0,"是否悬臂式不在标准枚举中","")),IF(AND(ISTEXT(I12),OR(I12&lt;&gt;TRIM(I12),ISNUMBER(SEARCH("　",I12)))),"是否悬臂式含首尾空格或全角空格",""),IF(J12="","缺少容积流量",""),IF(J12="","",IF(NOT(ISNUMBER(J12)),"容积流量应为数值",IF(J12&lt;=0,"容积流量应大于0",""))),IF(K12="","缺少额定功率",""),IF(K12="","",IF(NOT(ISNUMBER(K12)),"额定功率应为数值",IF(K12&lt;=0,"额定功率应大于0",""))),IF(L12="","缺少进口绝对压力",""),IF(L12="","",IF(NOT(ISNUMBER(L12)),"进口绝对压力应为数值",IF(L12&lt;=0,"进口绝对压力应大于0",""))),IF(M12="","缺少出口绝对压力",""),IF(M12="","",IF(NOT(ISNUMBER(M12)),"出口绝对压力应为数值",IF(M12&lt;=0,"出口绝对压力应大于0",""))),IF(N12="","缺少进口温度",""),IF(N12="","",IF(NOT(ISNUMBER(N12)),"进口温度应为数值",IF(N12&lt;=0,"进口温度应大于0",""))),IF(O12="","缺少出口温度",""),IF(O12="","",IF(NOT(ISNUMBER(O12)),"出口温度应为数值",IF(O12&lt;=0,"出口温度应大于0",""))),IF(P12="","缺少绝热指数k",""),IF(P12="","",IF(NOT(ISNUMBER(P12)),"绝热指数k应为数值",IF(OR(P12&lt;1,P12&gt;2),"绝热指数k应为1～2",""))),IF(Q12="","缺少叶轮出口宽度b₂",""),IF(Q12="","",IF(NOT(ISNUMBER(Q12)),"叶轮出口宽度b₂应为数值",IF(Q12&lt;=0,"叶轮出口宽度b₂应大于0",""))),IF(R12="","缺少叶轮出口直径D₂",""),IF(R12="","",IF(NOT(ISNUMBER(R12)),"叶轮出口直径D₂应为数值",IF(R12&lt;=0,"叶轮出口直径D₂应大于0",""))),IF(S12="","缺少多变效率",""),IF(S12="","",IF(NOT(ISNUMBER(S12)),"多变效率应为数值",IF(OR(S12&lt;1,S12&gt;100),"多变效率应为1～100的百分数本值",""))),IF(T12="","缺少是否三元流动叶轮",""),IF(T12="","",IF(COUNTIF(EV_YES_NO,T12)=0,"是否三元流动叶轮不在标准枚举中","")),IF(AND(ISTEXT(T12),OR(T12&lt;&gt;TRIM(T12),ISNUMBER(SEARCH("　",T12)))),"是否三元流动叶轮含首尾空格或全角空格",""),IF(Y12="","缺少铭牌照片",""),IF(AND(ISTEXT(Z12),OR(Z12&lt;&gt;TRIM(Z12),ISNUMBER(SEARCH("　",Z12)))),"填表备注含首尾空格或全角空格",""),IF(AND(ISNUMBER(L12),ISNUMBER(M12),OR(M12-L12&lt;30,M12-L12&gt;200)),"升压超出30～200kPa鼓风机范围，请核对绝对压力",""),IF(AND(ISNUMBER(L12),ISNUMBER(M12),M12&lt;=L12),"出口绝对压力应大于进口绝对压力","")),"")</f>
        <v/>
      </c>
    </row>
    <row r="13" ht="42" customHeight="1" s="184">
      <c r="A13" s="224">
        <f>IF(COUNTA(B13,C13,D13,E13,F13,G13,H13,I13,J13,K13,L13,M13,N13,O13,P13,Q13,R13,S13,T13,Y13,Z13)&gt;0,ROW()-3,"")</f>
        <v/>
      </c>
      <c r="B13" s="176" t="n"/>
      <c r="C13" s="176" t="n"/>
      <c r="D13" s="228" t="n"/>
      <c r="E13" s="176" t="n"/>
      <c r="F13" s="218" t="n"/>
      <c r="G13" s="228" t="n"/>
      <c r="H13" s="218" t="n"/>
      <c r="I13" s="218" t="n"/>
      <c r="J13" s="229" t="n"/>
      <c r="K13" s="229" t="n"/>
      <c r="L13" s="229" t="n"/>
      <c r="M13" s="229" t="n"/>
      <c r="N13" s="229" t="n"/>
      <c r="O13" s="229" t="n"/>
      <c r="P13" s="235" t="n"/>
      <c r="Q13" s="229" t="n"/>
      <c r="R13" s="229" t="n"/>
      <c r="S13" s="229" t="n"/>
      <c r="T13" s="218" t="n"/>
      <c r="U13" s="113" t="n"/>
      <c r="V13" s="227" t="n"/>
      <c r="W13" s="227" t="n"/>
      <c r="X13" s="81" t="n"/>
      <c r="Y13" s="180" t="n"/>
      <c r="Z13" s="180" t="n"/>
      <c r="AA13" s="99">
        <f>IF(COUNTA(B13,C13,D13,E13,F13,G13,H13,I13,J13,K13,L13,M13,N13,O13,P13,Q13,R13,S13,T13,Y13,Z13)&gt;0,TEXTJOIN("；",TRUE,IF(B13="","缺少设备名称",""),IF(AND(ISTEXT(B13),OR(B13&lt;&gt;TRIM(B13),ISNUMBER(SEARCH("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",E13)))),"安装位置含首尾空格或全角空格",""),IF(F13="","缺少设备类别",""),IF(F13="","",IF(COUNTIF(EV_BLOWER_CATEGORY,F13)=0,"设备类别不在标准枚举中","")),IF(AND(ISTEXT(F13),OR(F13&lt;&gt;TRIM(F13),ISNUMBER(SEARCH("　",F13)))),"设备类别含首尾空格或全角空格",""),IF(G13="","缺少级数",""),IF(G13="","",IF(NOT(ISNUMBER(G13)),"级数应为数值",IF(OR(G13&lt;=0,MOD(G13,1)&lt;&gt;0),"级数应为正整数",""))),IF(H13="","缺少是否多级叶轮",""),IF(H13="","",IF(COUNTIF(EV_YES_NO,H13)=0,"是否多级叶轮不在标准枚举中","")),IF(AND(ISTEXT(H13),OR(H13&lt;&gt;TRIM(H13),ISNUMBER(SEARCH("　",H13)))),"是否多级叶轮含首尾空格或全角空格",""),IF(I13="","缺少是否悬臂式",""),IF(I13="","",IF(COUNTIF(EV_YES_NO,I13)=0,"是否悬臂式不在标准枚举中","")),IF(AND(ISTEXT(I13),OR(I13&lt;&gt;TRIM(I13),ISNUMBER(SEARCH("　",I13)))),"是否悬臂式含首尾空格或全角空格",""),IF(J13="","缺少容积流量",""),IF(J13="","",IF(NOT(ISNUMBER(J13)),"容积流量应为数值",IF(J13&lt;=0,"容积流量应大于0",""))),IF(K13="","缺少额定功率",""),IF(K13="","",IF(NOT(ISNUMBER(K13)),"额定功率应为数值",IF(K13&lt;=0,"额定功率应大于0",""))),IF(L13="","缺少进口绝对压力",""),IF(L13="","",IF(NOT(ISNUMBER(L13)),"进口绝对压力应为数值",IF(L13&lt;=0,"进口绝对压力应大于0",""))),IF(M13="","缺少出口绝对压力",""),IF(M13="","",IF(NOT(ISNUMBER(M13)),"出口绝对压力应为数值",IF(M13&lt;=0,"出口绝对压力应大于0",""))),IF(N13="","缺少进口温度",""),IF(N13="","",IF(NOT(ISNUMBER(N13)),"进口温度应为数值",IF(N13&lt;=0,"进口温度应大于0",""))),IF(O13="","缺少出口温度",""),IF(O13="","",IF(NOT(ISNUMBER(O13)),"出口温度应为数值",IF(O13&lt;=0,"出口温度应大于0",""))),IF(P13="","缺少绝热指数k",""),IF(P13="","",IF(NOT(ISNUMBER(P13)),"绝热指数k应为数值",IF(OR(P13&lt;1,P13&gt;2),"绝热指数k应为1～2",""))),IF(Q13="","缺少叶轮出口宽度b₂",""),IF(Q13="","",IF(NOT(ISNUMBER(Q13)),"叶轮出口宽度b₂应为数值",IF(Q13&lt;=0,"叶轮出口宽度b₂应大于0",""))),IF(R13="","缺少叶轮出口直径D₂",""),IF(R13="","",IF(NOT(ISNUMBER(R13)),"叶轮出口直径D₂应为数值",IF(R13&lt;=0,"叶轮出口直径D₂应大于0",""))),IF(S13="","缺少多变效率",""),IF(S13="","",IF(NOT(ISNUMBER(S13)),"多变效率应为数值",IF(OR(S13&lt;1,S13&gt;100),"多变效率应为1～100的百分数本值",""))),IF(T13="","缺少是否三元流动叶轮",""),IF(T13="","",IF(COUNTIF(EV_YES_NO,T13)=0,"是否三元流动叶轮不在标准枚举中","")),IF(AND(ISTEXT(T13),OR(T13&lt;&gt;TRIM(T13),ISNUMBER(SEARCH("　",T13)))),"是否三元流动叶轮含首尾空格或全角空格",""),IF(Y13="","缺少铭牌照片",""),IF(AND(ISTEXT(Z13),OR(Z13&lt;&gt;TRIM(Z13),ISNUMBER(SEARCH("　",Z13)))),"填表备注含首尾空格或全角空格",""),IF(AND(ISNUMBER(L13),ISNUMBER(M13),OR(M13-L13&lt;30,M13-L13&gt;200)),"升压超出30～200kPa鼓风机范围，请核对绝对压力",""),IF(AND(ISNUMBER(L13),ISNUMBER(M13),M13&lt;=L13),"出口绝对压力应大于进口绝对压力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1:W1"/>
    <mergeCell ref="Y2:AA2"/>
    <mergeCell ref="V2:W2"/>
    <mergeCell ref="A2:E2"/>
    <mergeCell ref="X1:Y1"/>
    <mergeCell ref="Z1:AA1"/>
    <mergeCell ref="F2:T2"/>
  </mergeCells>
  <dataValidations count="16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EV_BLOWER_CATEGORY</formula1>
    </dataValidation>
    <dataValidation sqref="G4:G13" showDropDown="0" showInputMessage="0" showErrorMessage="1" allowBlank="1" type="whole" errorStyle="stop" operator="greaterThan">
      <formula1>0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list" errorStyle="stop">
      <formula1>EV_YES_NO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between">
      <formula1>1</formula1>
      <formula2>2</formula2>
    </dataValidation>
    <dataValidation sqref="Q4:Q13" showDropDown="0" showInputMessage="0" showErrorMessage="1" allowBlank="1" type="decimal" errorStyle="stop" operator="greaterThan">
      <formula1>0</formula1>
    </dataValidation>
    <dataValidation sqref="R4:R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between">
      <formula1>1</formula1>
      <formula2>100</formula2>
    </dataValidation>
    <dataValidation sqref="T4:T13" showDropDown="0" showInputMessage="0" showErrorMessage="1" allowBlank="1" type="list" errorStyle="stop">
      <formula1>EV_YES_NO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潜水电泵 - 《潜水电泵能效限定值及能效等级》（GB 32030-2022）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SUM(TblSubmersible[数量])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102" t="inlineStr">
        <is>
          <t>计算辅助结果</t>
        </is>
      </c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设备形式</t>
        </is>
      </c>
      <c r="H3" s="55" t="inlineStr">
        <is>
          <t>流量
(m³/h)</t>
        </is>
      </c>
      <c r="I3" s="55" t="inlineStr">
        <is>
          <t>扬程
(m)</t>
        </is>
      </c>
      <c r="J3" s="55" t="inlineStr">
        <is>
          <t>额定转速
(r/min)</t>
        </is>
      </c>
      <c r="K3" s="55" t="inlineStr">
        <is>
          <t>工作温度
(℃)</t>
        </is>
      </c>
      <c r="L3" s="55" t="inlineStr">
        <is>
          <t>额定功率
(kW)</t>
        </is>
      </c>
      <c r="M3" s="55" t="inlineStr">
        <is>
          <t>级数
(级)</t>
        </is>
      </c>
      <c r="N3" s="55" t="inlineStr">
        <is>
          <t>电泵效率
(%)</t>
        </is>
      </c>
      <c r="O3" s="108" t="inlineStr">
        <is>
          <t>规定效率
(%)</t>
        </is>
      </c>
      <c r="P3" s="108" t="inlineStr">
        <is>
          <t>效率容差
(%)</t>
        </is>
      </c>
      <c r="Q3" s="63" t="inlineStr">
        <is>
          <t>1级效率
(%)</t>
        </is>
      </c>
      <c r="R3" s="63" t="inlineStr">
        <is>
          <t>2级效率
(%)</t>
        </is>
      </c>
      <c r="S3" s="63" t="inlineStr">
        <is>
          <t>3级效率
(%)</t>
        </is>
      </c>
      <c r="T3" s="76" t="inlineStr">
        <is>
          <t>能效等级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IF(COUNTA(B4,C4,D4,E4,F4,G4,H4,I4,J4,K4,L4,M4,N4,U4,V4)&gt;0,ROW()-3,"")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37" t="n"/>
      <c r="L4" s="229" t="n"/>
      <c r="M4" s="228" t="n"/>
      <c r="N4" s="229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f>
        <v/>
      </c>
    </row>
    <row r="5" ht="42" customHeight="1" s="184">
      <c r="A5" s="224">
        <f>IF(COUNTA(B5,C5,D5,E5,F5,G5,H5,I5,J5,K5,L5,M5,N5,U5,V5)&gt;0,ROW()-3,"")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37" t="n"/>
      <c r="L5" s="229" t="n"/>
      <c r="M5" s="228" t="n"/>
      <c r="N5" s="229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IF(COUNTA(B5,C5,D5,E5,F5,G5,H5,I5,J5,K5,L5,M5,N5,U5,V5)&gt;0,TEXTJOIN("；",TRUE,IF(B5="","缺少设备名称",""),IF(AND(ISTEXT(B5),OR(B5&lt;&gt;TRIM(B5),ISNUMBER(SEARCH("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",E5)))),"安装位置含首尾空格或全角空格",""),IF(F5="","缺少设备类别",""),IF(F5="","",IF(COUNTIF(EV_SUBMERSIBLE_CATEGORY,F5)=0,"设备类别不在标准枚举中","")),IF(AND(ISTEXT(F5),OR(F5&lt;&gt;TRIM(F5),ISNUMBER(SEARCH("　",F5)))),"设备类别含首尾空格或全角空格",""),IF(G5="","缺少设备形式",""),IF(G5="","",IF(COUNTIF(EV_SUB_FORM_ALL,G5)=0,"设备形式不在标准枚举中","")),IF(AND(ISTEXT(G5),OR(G5&lt;&gt;TRIM(G5),ISNUMBER(SEARCH("　",G5)))),"设备形式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工作温度",""),IF(K5="","",IF(NOT(ISNUMBER(K5)),"工作温度应为数值",IF(OR(K5&lt;0,K5&gt;100),"工作温度应为0～100",""))),IF(L5="","缺少额定功率",""),IF(L5="","",IF(NOT(ISNUMBER(L5)),"额定功率应为数值",IF(L5&lt;=0,"额定功率应大于0",""))),IF(M5="","缺少级数",""),IF(M5="","",IF(NOT(ISNUMBER(M5)),"级数应为数值",IF(OR(M5&lt;=0,MOD(M5,1)&lt;&gt;0),"级数应为正整数",""))),IF(N5="","缺少电泵效率",""),IF(N5="","",IF(NOT(ISNUMBER(N5)),"电泵效率应为数值",IF(OR(N5&lt;1,N5&gt;100),"电泵效率应为1～100的百分数本值",""))),IF(U5="","缺少铭牌照片",""),IF(AND(ISTEXT(V5),OR(V5&lt;&gt;TRIM(V5),ISNUMBER(SEARCH("　",V5)))),"填表备注含首尾空格或全角空格",""),IF(AND(F5="小型潜水电泵",G5&lt;&gt;"",COUNTIF(EV_SUB_FORM_SMALL,G5)=0),"设备形式与小型潜水电泵类别不匹配",""),IF(AND(F5="大中型潜水电泵",G5&lt;&gt;"",COUNTIF(EV_SUB_FORM_LARGE,G5)=0),"设备形式与大中型潜水电泵类别不匹配",""),IF(AND(F5="污水污物潜水电泵",G5&lt;&gt;"",COUNTIF(EV_SUB_FORM_WASTE,G5)=0),"设备形式与污水污物潜水电泵类别不匹配",""),IF(AND(F5="井用潜水电泵",G5&lt;&gt;"",COUNTIF(EV_SUB_FORM_WELL,G5)=0),"设备形式与井用潜水电泵类别不匹配",""),IF(AND(F5="混流潜水电泵",G5&lt;&gt;"",COUNTIF(EV_SUB_FORM_MIXED,G5)=0),"设备形式与混流潜水电泵类别不匹配","")),"")</f>
        <v/>
      </c>
    </row>
    <row r="6" ht="42" customHeight="1" s="184">
      <c r="A6" s="224">
        <f>IF(COUNTA(B6,C6,D6,E6,F6,G6,H6,I6,J6,K6,L6,M6,N6,U6,V6)&gt;0,ROW()-3,"")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37" t="n"/>
      <c r="L6" s="229" t="n"/>
      <c r="M6" s="228" t="n"/>
      <c r="N6" s="229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IF(COUNTA(B6,C6,D6,E6,F6,G6,H6,I6,J6,K6,L6,M6,N6,U6,V6)&gt;0,TEXTJOIN("；",TRUE,IF(B6="","缺少设备名称",""),IF(AND(ISTEXT(B6),OR(B6&lt;&gt;TRIM(B6),ISNUMBER(SEARCH("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",E6)))),"安装位置含首尾空格或全角空格",""),IF(F6="","缺少设备类别",""),IF(F6="","",IF(COUNTIF(EV_SUBMERSIBLE_CATEGORY,F6)=0,"设备类别不在标准枚举中","")),IF(AND(ISTEXT(F6),OR(F6&lt;&gt;TRIM(F6),ISNUMBER(SEARCH("　",F6)))),"设备类别含首尾空格或全角空格",""),IF(G6="","缺少设备形式",""),IF(G6="","",IF(COUNTIF(EV_SUB_FORM_ALL,G6)=0,"设备形式不在标准枚举中","")),IF(AND(ISTEXT(G6),OR(G6&lt;&gt;TRIM(G6),ISNUMBER(SEARCH("　",G6)))),"设备形式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工作温度",""),IF(K6="","",IF(NOT(ISNUMBER(K6)),"工作温度应为数值",IF(OR(K6&lt;0,K6&gt;100),"工作温度应为0～100",""))),IF(L6="","缺少额定功率",""),IF(L6="","",IF(NOT(ISNUMBER(L6)),"额定功率应为数值",IF(L6&lt;=0,"额定功率应大于0",""))),IF(M6="","缺少级数",""),IF(M6="","",IF(NOT(ISNUMBER(M6)),"级数应为数值",IF(OR(M6&lt;=0,MOD(M6,1)&lt;&gt;0),"级数应为正整数",""))),IF(N6="","缺少电泵效率",""),IF(N6="","",IF(NOT(ISNUMBER(N6)),"电泵效率应为数值",IF(OR(N6&lt;1,N6&gt;100),"电泵效率应为1～100的百分数本值",""))),IF(U6="","缺少铭牌照片",""),IF(AND(ISTEXT(V6),OR(V6&lt;&gt;TRIM(V6),ISNUMBER(SEARCH("　",V6)))),"填表备注含首尾空格或全角空格",""),IF(AND(F6="小型潜水电泵",G6&lt;&gt;"",COUNTIF(EV_SUB_FORM_SMALL,G6)=0),"设备形式与小型潜水电泵类别不匹配",""),IF(AND(F6="大中型潜水电泵",G6&lt;&gt;"",COUNTIF(EV_SUB_FORM_LARGE,G6)=0),"设备形式与大中型潜水电泵类别不匹配",""),IF(AND(F6="污水污物潜水电泵",G6&lt;&gt;"",COUNTIF(EV_SUB_FORM_WASTE,G6)=0),"设备形式与污水污物潜水电泵类别不匹配",""),IF(AND(F6="井用潜水电泵",G6&lt;&gt;"",COUNTIF(EV_SUB_FORM_WELL,G6)=0),"设备形式与井用潜水电泵类别不匹配",""),IF(AND(F6="混流潜水电泵",G6&lt;&gt;"",COUNTIF(EV_SUB_FORM_MIXED,G6)=0),"设备形式与混流潜水电泵类别不匹配","")),"")</f>
        <v/>
      </c>
    </row>
    <row r="7" ht="42" customHeight="1" s="184">
      <c r="A7" s="224">
        <f>IF(COUNTA(B7,C7,D7,E7,F7,G7,H7,I7,J7,K7,L7,M7,N7,U7,V7)&gt;0,ROW()-3,"")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37" t="n"/>
      <c r="L7" s="229" t="n"/>
      <c r="M7" s="228" t="n"/>
      <c r="N7" s="229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IF(COUNTA(B7,C7,D7,E7,F7,G7,H7,I7,J7,K7,L7,M7,N7,U7,V7)&gt;0,TEXTJOIN("；",TRUE,IF(B7="","缺少设备名称",""),IF(AND(ISTEXT(B7),OR(B7&lt;&gt;TRIM(B7),ISNUMBER(SEARCH("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",E7)))),"安装位置含首尾空格或全角空格",""),IF(F7="","缺少设备类别",""),IF(F7="","",IF(COUNTIF(EV_SUBMERSIBLE_CATEGORY,F7)=0,"设备类别不在标准枚举中","")),IF(AND(ISTEXT(F7),OR(F7&lt;&gt;TRIM(F7),ISNUMBER(SEARCH("　",F7)))),"设备类别含首尾空格或全角空格",""),IF(G7="","缺少设备形式",""),IF(G7="","",IF(COUNTIF(EV_SUB_FORM_ALL,G7)=0,"设备形式不在标准枚举中","")),IF(AND(ISTEXT(G7),OR(G7&lt;&gt;TRIM(G7),ISNUMBER(SEARCH("　",G7)))),"设备形式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工作温度",""),IF(K7="","",IF(NOT(ISNUMBER(K7)),"工作温度应为数值",IF(OR(K7&lt;0,K7&gt;100),"工作温度应为0～100",""))),IF(L7="","缺少额定功率",""),IF(L7="","",IF(NOT(ISNUMBER(L7)),"额定功率应为数值",IF(L7&lt;=0,"额定功率应大于0",""))),IF(M7="","缺少级数",""),IF(M7="","",IF(NOT(ISNUMBER(M7)),"级数应为数值",IF(OR(M7&lt;=0,MOD(M7,1)&lt;&gt;0),"级数应为正整数",""))),IF(N7="","缺少电泵效率",""),IF(N7="","",IF(NOT(ISNUMBER(N7)),"电泵效率应为数值",IF(OR(N7&lt;1,N7&gt;100),"电泵效率应为1～100的百分数本值",""))),IF(U7="","缺少铭牌照片",""),IF(AND(ISTEXT(V7),OR(V7&lt;&gt;TRIM(V7),ISNUMBER(SEARCH("　",V7)))),"填表备注含首尾空格或全角空格",""),IF(AND(F7="小型潜水电泵",G7&lt;&gt;"",COUNTIF(EV_SUB_FORM_SMALL,G7)=0),"设备形式与小型潜水电泵类别不匹配",""),IF(AND(F7="大中型潜水电泵",G7&lt;&gt;"",COUNTIF(EV_SUB_FORM_LARGE,G7)=0),"设备形式与大中型潜水电泵类别不匹配",""),IF(AND(F7="污水污物潜水电泵",G7&lt;&gt;"",COUNTIF(EV_SUB_FORM_WASTE,G7)=0),"设备形式与污水污物潜水电泵类别不匹配",""),IF(AND(F7="井用潜水电泵",G7&lt;&gt;"",COUNTIF(EV_SUB_FORM_WELL,G7)=0),"设备形式与井用潜水电泵类别不匹配",""),IF(AND(F7="混流潜水电泵",G7&lt;&gt;"",COUNTIF(EV_SUB_FORM_MIXED,G7)=0),"设备形式与混流潜水电泵类别不匹配","")),"")</f>
        <v/>
      </c>
    </row>
    <row r="8" ht="42" customHeight="1" s="184">
      <c r="A8" s="224">
        <f>IF(COUNTA(B8,C8,D8,E8,F8,G8,H8,I8,J8,K8,L8,M8,N8,U8,V8)&gt;0,ROW()-3,"")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37" t="n"/>
      <c r="L8" s="229" t="n"/>
      <c r="M8" s="228" t="n"/>
      <c r="N8" s="229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IF(COUNTA(B8,C8,D8,E8,F8,G8,H8,I8,J8,K8,L8,M8,N8,U8,V8)&gt;0,TEXTJOIN("；",TRUE,IF(B8="","缺少设备名称",""),IF(AND(ISTEXT(B8),OR(B8&lt;&gt;TRIM(B8),ISNUMBER(SEARCH("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",E8)))),"安装位置含首尾空格或全角空格",""),IF(F8="","缺少设备类别",""),IF(F8="","",IF(COUNTIF(EV_SUBMERSIBLE_CATEGORY,F8)=0,"设备类别不在标准枚举中","")),IF(AND(ISTEXT(F8),OR(F8&lt;&gt;TRIM(F8),ISNUMBER(SEARCH("　",F8)))),"设备类别含首尾空格或全角空格",""),IF(G8="","缺少设备形式",""),IF(G8="","",IF(COUNTIF(EV_SUB_FORM_ALL,G8)=0,"设备形式不在标准枚举中","")),IF(AND(ISTEXT(G8),OR(G8&lt;&gt;TRIM(G8),ISNUMBER(SEARCH("　",G8)))),"设备形式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工作温度",""),IF(K8="","",IF(NOT(ISNUMBER(K8)),"工作温度应为数值",IF(OR(K8&lt;0,K8&gt;100),"工作温度应为0～100",""))),IF(L8="","缺少额定功率",""),IF(L8="","",IF(NOT(ISNUMBER(L8)),"额定功率应为数值",IF(L8&lt;=0,"额定功率应大于0",""))),IF(M8="","缺少级数",""),IF(M8="","",IF(NOT(ISNUMBER(M8)),"级数应为数值",IF(OR(M8&lt;=0,MOD(M8,1)&lt;&gt;0),"级数应为正整数",""))),IF(N8="","缺少电泵效率",""),IF(N8="","",IF(NOT(ISNUMBER(N8)),"电泵效率应为数值",IF(OR(N8&lt;1,N8&gt;100),"电泵效率应为1～100的百分数本值",""))),IF(U8="","缺少铭牌照片",""),IF(AND(ISTEXT(V8),OR(V8&lt;&gt;TRIM(V8),ISNUMBER(SEARCH("　",V8)))),"填表备注含首尾空格或全角空格",""),IF(AND(F8="小型潜水电泵",G8&lt;&gt;"",COUNTIF(EV_SUB_FORM_SMALL,G8)=0),"设备形式与小型潜水电泵类别不匹配",""),IF(AND(F8="大中型潜水电泵",G8&lt;&gt;"",COUNTIF(EV_SUB_FORM_LARGE,G8)=0),"设备形式与大中型潜水电泵类别不匹配",""),IF(AND(F8="污水污物潜水电泵",G8&lt;&gt;"",COUNTIF(EV_SUB_FORM_WASTE,G8)=0),"设备形式与污水污物潜水电泵类别不匹配",""),IF(AND(F8="井用潜水电泵",G8&lt;&gt;"",COUNTIF(EV_SUB_FORM_WELL,G8)=0),"设备形式与井用潜水电泵类别不匹配",""),IF(AND(F8="混流潜水电泵",G8&lt;&gt;"",COUNTIF(EV_SUB_FORM_MIXED,G8)=0),"设备形式与混流潜水电泵类别不匹配","")),"")</f>
        <v/>
      </c>
    </row>
    <row r="9" ht="42" customHeight="1" s="184">
      <c r="A9" s="224">
        <f>IF(COUNTA(B9,C9,D9,E9,F9,G9,H9,I9,J9,K9,L9,M9,N9,U9,V9)&gt;0,ROW()-3,"")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37" t="n"/>
      <c r="L9" s="229" t="n"/>
      <c r="M9" s="228" t="n"/>
      <c r="N9" s="229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IF(COUNTA(B9,C9,D9,E9,F9,G9,H9,I9,J9,K9,L9,M9,N9,U9,V9)&gt;0,TEXTJOIN("；",TRUE,IF(B9="","缺少设备名称",""),IF(AND(ISTEXT(B9),OR(B9&lt;&gt;TRIM(B9),ISNUMBER(SEARCH("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",E9)))),"安装位置含首尾空格或全角空格",""),IF(F9="","缺少设备类别",""),IF(F9="","",IF(COUNTIF(EV_SUBMERSIBLE_CATEGORY,F9)=0,"设备类别不在标准枚举中","")),IF(AND(ISTEXT(F9),OR(F9&lt;&gt;TRIM(F9),ISNUMBER(SEARCH("　",F9)))),"设备类别含首尾空格或全角空格",""),IF(G9="","缺少设备形式",""),IF(G9="","",IF(COUNTIF(EV_SUB_FORM_ALL,G9)=0,"设备形式不在标准枚举中","")),IF(AND(ISTEXT(G9),OR(G9&lt;&gt;TRIM(G9),ISNUMBER(SEARCH("　",G9)))),"设备形式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工作温度",""),IF(K9="","",IF(NOT(ISNUMBER(K9)),"工作温度应为数值",IF(OR(K9&lt;0,K9&gt;100),"工作温度应为0～100",""))),IF(L9="","缺少额定功率",""),IF(L9="","",IF(NOT(ISNUMBER(L9)),"额定功率应为数值",IF(L9&lt;=0,"额定功率应大于0",""))),IF(M9="","缺少级数",""),IF(M9="","",IF(NOT(ISNUMBER(M9)),"级数应为数值",IF(OR(M9&lt;=0,MOD(M9,1)&lt;&gt;0),"级数应为正整数",""))),IF(N9="","缺少电泵效率",""),IF(N9="","",IF(NOT(ISNUMBER(N9)),"电泵效率应为数值",IF(OR(N9&lt;1,N9&gt;100),"电泵效率应为1～100的百分数本值",""))),IF(U9="","缺少铭牌照片",""),IF(AND(ISTEXT(V9),OR(V9&lt;&gt;TRIM(V9),ISNUMBER(SEARCH("　",V9)))),"填表备注含首尾空格或全角空格",""),IF(AND(F9="小型潜水电泵",G9&lt;&gt;"",COUNTIF(EV_SUB_FORM_SMALL,G9)=0),"设备形式与小型潜水电泵类别不匹配",""),IF(AND(F9="大中型潜水电泵",G9&lt;&gt;"",COUNTIF(EV_SUB_FORM_LARGE,G9)=0),"设备形式与大中型潜水电泵类别不匹配",""),IF(AND(F9="污水污物潜水电泵",G9&lt;&gt;"",COUNTIF(EV_SUB_FORM_WASTE,G9)=0),"设备形式与污水污物潜水电泵类别不匹配",""),IF(AND(F9="井用潜水电泵",G9&lt;&gt;"",COUNTIF(EV_SUB_FORM_WELL,G9)=0),"设备形式与井用潜水电泵类别不匹配",""),IF(AND(F9="混流潜水电泵",G9&lt;&gt;"",COUNTIF(EV_SUB_FORM_MIXED,G9)=0),"设备形式与混流潜水电泵类别不匹配","")),"")</f>
        <v/>
      </c>
    </row>
    <row r="10" ht="42" customHeight="1" s="184">
      <c r="A10" s="224">
        <f>IF(COUNTA(B10,C10,D10,E10,F10,G10,H10,I10,J10,K10,L10,M10,N10,U10,V10)&gt;0,ROW()-3,"")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37" t="n"/>
      <c r="L10" s="229" t="n"/>
      <c r="M10" s="228" t="n"/>
      <c r="N10" s="229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IF(COUNTA(B10,C10,D10,E10,F10,G10,H10,I10,J10,K10,L10,M10,N10,U10,V10)&gt;0,TEXTJOIN("；",TRUE,IF(B10="","缺少设备名称",""),IF(AND(ISTEXT(B10),OR(B10&lt;&gt;TRIM(B10),ISNUMBER(SEARCH("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",E10)))),"安装位置含首尾空格或全角空格",""),IF(F10="","缺少设备类别",""),IF(F10="","",IF(COUNTIF(EV_SUBMERSIBLE_CATEGORY,F10)=0,"设备类别不在标准枚举中","")),IF(AND(ISTEXT(F10),OR(F10&lt;&gt;TRIM(F10),ISNUMBER(SEARCH("　",F10)))),"设备类别含首尾空格或全角空格",""),IF(G10="","缺少设备形式",""),IF(G10="","",IF(COUNTIF(EV_SUB_FORM_ALL,G10)=0,"设备形式不在标准枚举中","")),IF(AND(ISTEXT(G10),OR(G10&lt;&gt;TRIM(G10),ISNUMBER(SEARCH("　",G10)))),"设备形式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工作温度",""),IF(K10="","",IF(NOT(ISNUMBER(K10)),"工作温度应为数值",IF(OR(K10&lt;0,K10&gt;100),"工作温度应为0～100",""))),IF(L10="","缺少额定功率",""),IF(L10="","",IF(NOT(ISNUMBER(L10)),"额定功率应为数值",IF(L10&lt;=0,"额定功率应大于0",""))),IF(M10="","缺少级数",""),IF(M10="","",IF(NOT(ISNUMBER(M10)),"级数应为数值",IF(OR(M10&lt;=0,MOD(M10,1)&lt;&gt;0),"级数应为正整数",""))),IF(N10="","缺少电泵效率",""),IF(N10="","",IF(NOT(ISNUMBER(N10)),"电泵效率应为数值",IF(OR(N10&lt;1,N10&gt;100),"电泵效率应为1～100的百分数本值",""))),IF(U10="","缺少铭牌照片",""),IF(AND(ISTEXT(V10),OR(V10&lt;&gt;TRIM(V10),ISNUMBER(SEARCH("　",V10)))),"填表备注含首尾空格或全角空格",""),IF(AND(F10="小型潜水电泵",G10&lt;&gt;"",COUNTIF(EV_SUB_FORM_SMALL,G10)=0),"设备形式与小型潜水电泵类别不匹配",""),IF(AND(F10="大中型潜水电泵",G10&lt;&gt;"",COUNTIF(EV_SUB_FORM_LARGE,G10)=0),"设备形式与大中型潜水电泵类别不匹配",""),IF(AND(F10="污水污物潜水电泵",G10&lt;&gt;"",COUNTIF(EV_SUB_FORM_WASTE,G10)=0),"设备形式与污水污物潜水电泵类别不匹配",""),IF(AND(F10="井用潜水电泵",G10&lt;&gt;"",COUNTIF(EV_SUB_FORM_WELL,G10)=0),"设备形式与井用潜水电泵类别不匹配",""),IF(AND(F10="混流潜水电泵",G10&lt;&gt;"",COUNTIF(EV_SUB_FORM_MIXED,G10)=0),"设备形式与混流潜水电泵类别不匹配","")),"")</f>
        <v/>
      </c>
    </row>
    <row r="11" ht="42" customHeight="1" s="184">
      <c r="A11" s="224">
        <f>IF(COUNTA(B11,C11,D11,E11,F11,G11,H11,I11,J11,K11,L11,M11,N11,U11,V11)&gt;0,ROW()-3,"")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37" t="n"/>
      <c r="L11" s="229" t="n"/>
      <c r="M11" s="228" t="n"/>
      <c r="N11" s="229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IF(COUNTA(B11,C11,D11,E11,F11,G11,H11,I11,J11,K11,L11,M11,N11,U11,V11)&gt;0,TEXTJOIN("；",TRUE,IF(B11="","缺少设备名称",""),IF(AND(ISTEXT(B11),OR(B11&lt;&gt;TRIM(B11),ISNUMBER(SEARCH("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",E11)))),"安装位置含首尾空格或全角空格",""),IF(F11="","缺少设备类别",""),IF(F11="","",IF(COUNTIF(EV_SUBMERSIBLE_CATEGORY,F11)=0,"设备类别不在标准枚举中","")),IF(AND(ISTEXT(F11),OR(F11&lt;&gt;TRIM(F11),ISNUMBER(SEARCH("　",F11)))),"设备类别含首尾空格或全角空格",""),IF(G11="","缺少设备形式",""),IF(G11="","",IF(COUNTIF(EV_SUB_FORM_ALL,G11)=0,"设备形式不在标准枚举中","")),IF(AND(ISTEXT(G11),OR(G11&lt;&gt;TRIM(G11),ISNUMBER(SEARCH("　",G11)))),"设备形式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工作温度",""),IF(K11="","",IF(NOT(ISNUMBER(K11)),"工作温度应为数值",IF(OR(K11&lt;0,K11&gt;100),"工作温度应为0～100",""))),IF(L11="","缺少额定功率",""),IF(L11="","",IF(NOT(ISNUMBER(L11)),"额定功率应为数值",IF(L11&lt;=0,"额定功率应大于0",""))),IF(M11="","缺少级数",""),IF(M11="","",IF(NOT(ISNUMBER(M11)),"级数应为数值",IF(OR(M11&lt;=0,MOD(M11,1)&lt;&gt;0),"级数应为正整数",""))),IF(N11="","缺少电泵效率",""),IF(N11="","",IF(NOT(ISNUMBER(N11)),"电泵效率应为数值",IF(OR(N11&lt;1,N11&gt;100),"电泵效率应为1～100的百分数本值",""))),IF(U11="","缺少铭牌照片",""),IF(AND(ISTEXT(V11),OR(V11&lt;&gt;TRIM(V11),ISNUMBER(SEARCH("　",V11)))),"填表备注含首尾空格或全角空格",""),IF(AND(F11="小型潜水电泵",G11&lt;&gt;"",COUNTIF(EV_SUB_FORM_SMALL,G11)=0),"设备形式与小型潜水电泵类别不匹配",""),IF(AND(F11="大中型潜水电泵",G11&lt;&gt;"",COUNTIF(EV_SUB_FORM_LARGE,G11)=0),"设备形式与大中型潜水电泵类别不匹配",""),IF(AND(F11="污水污物潜水电泵",G11&lt;&gt;"",COUNTIF(EV_SUB_FORM_WASTE,G11)=0),"设备形式与污水污物潜水电泵类别不匹配",""),IF(AND(F11="井用潜水电泵",G11&lt;&gt;"",COUNTIF(EV_SUB_FORM_WELL,G11)=0),"设备形式与井用潜水电泵类别不匹配",""),IF(AND(F11="混流潜水电泵",G11&lt;&gt;"",COUNTIF(EV_SUB_FORM_MIXED,G11)=0),"设备形式与混流潜水电泵类别不匹配","")),"")</f>
        <v/>
      </c>
    </row>
    <row r="12" ht="42" customHeight="1" s="184">
      <c r="A12" s="224">
        <f>IF(COUNTA(B12,C12,D12,E12,F12,G12,H12,I12,J12,K12,L12,M12,N12,U12,V12)&gt;0,ROW()-3,"")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37" t="n"/>
      <c r="L12" s="229" t="n"/>
      <c r="M12" s="228" t="n"/>
      <c r="N12" s="229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IF(COUNTA(B12,C12,D12,E12,F12,G12,H12,I12,J12,K12,L12,M12,N12,U12,V12)&gt;0,TEXTJOIN("；",TRUE,IF(B12="","缺少设备名称",""),IF(AND(ISTEXT(B12),OR(B12&lt;&gt;TRIM(B12),ISNUMBER(SEARCH("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",E12)))),"安装位置含首尾空格或全角空格",""),IF(F12="","缺少设备类别",""),IF(F12="","",IF(COUNTIF(EV_SUBMERSIBLE_CATEGORY,F12)=0,"设备类别不在标准枚举中","")),IF(AND(ISTEXT(F12),OR(F12&lt;&gt;TRIM(F12),ISNUMBER(SEARCH("　",F12)))),"设备类别含首尾空格或全角空格",""),IF(G12="","缺少设备形式",""),IF(G12="","",IF(COUNTIF(EV_SUB_FORM_ALL,G12)=0,"设备形式不在标准枚举中","")),IF(AND(ISTEXT(G12),OR(G12&lt;&gt;TRIM(G12),ISNUMBER(SEARCH("　",G12)))),"设备形式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工作温度",""),IF(K12="","",IF(NOT(ISNUMBER(K12)),"工作温度应为数值",IF(OR(K12&lt;0,K12&gt;100),"工作温度应为0～100",""))),IF(L12="","缺少额定功率",""),IF(L12="","",IF(NOT(ISNUMBER(L12)),"额定功率应为数值",IF(L12&lt;=0,"额定功率应大于0",""))),IF(M12="","缺少级数",""),IF(M12="","",IF(NOT(ISNUMBER(M12)),"级数应为数值",IF(OR(M12&lt;=0,MOD(M12,1)&lt;&gt;0),"级数应为正整数",""))),IF(N12="","缺少电泵效率",""),IF(N12="","",IF(NOT(ISNUMBER(N12)),"电泵效率应为数值",IF(OR(N12&lt;1,N12&gt;100),"电泵效率应为1～100的百分数本值",""))),IF(U12="","缺少铭牌照片",""),IF(AND(ISTEXT(V12),OR(V12&lt;&gt;TRIM(V12),ISNUMBER(SEARCH("　",V12)))),"填表备注含首尾空格或全角空格",""),IF(AND(F12="小型潜水电泵",G12&lt;&gt;"",COUNTIF(EV_SUB_FORM_SMALL,G12)=0),"设备形式与小型潜水电泵类别不匹配",""),IF(AND(F12="大中型潜水电泵",G12&lt;&gt;"",COUNTIF(EV_SUB_FORM_LARGE,G12)=0),"设备形式与大中型潜水电泵类别不匹配",""),IF(AND(F12="污水污物潜水电泵",G12&lt;&gt;"",COUNTIF(EV_SUB_FORM_WASTE,G12)=0),"设备形式与污水污物潜水电泵类别不匹配",""),IF(AND(F12="井用潜水电泵",G12&lt;&gt;"",COUNTIF(EV_SUB_FORM_WELL,G12)=0),"设备形式与井用潜水电泵类别不匹配",""),IF(AND(F12="混流潜水电泵",G12&lt;&gt;"",COUNTIF(EV_SUB_FORM_MIXED,G12)=0),"设备形式与混流潜水电泵类别不匹配","")),"")</f>
        <v/>
      </c>
    </row>
    <row r="13" ht="42" customHeight="1" s="184">
      <c r="A13" s="224">
        <f>IF(COUNTA(B13,C13,D13,E13,F13,G13,H13,I13,J13,K13,L13,M13,N13,U13,V13)&gt;0,ROW()-3,"")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37" t="n"/>
      <c r="L13" s="229" t="n"/>
      <c r="M13" s="228" t="n"/>
      <c r="N13" s="229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IF(COUNTA(B13,C13,D13,E13,F13,G13,H13,I13,J13,K13,L13,M13,N13,U13,V13)&gt;0,TEXTJOIN("；",TRUE,IF(B13="","缺少设备名称",""),IF(AND(ISTEXT(B13),OR(B13&lt;&gt;TRIM(B13),ISNUMBER(SEARCH("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",E13)))),"安装位置含首尾空格或全角空格",""),IF(F13="","缺少设备类别",""),IF(F13="","",IF(COUNTIF(EV_SUBMERSIBLE_CATEGORY,F13)=0,"设备类别不在标准枚举中","")),IF(AND(ISTEXT(F13),OR(F13&lt;&gt;TRIM(F13),ISNUMBER(SEARCH("　",F13)))),"设备类别含首尾空格或全角空格",""),IF(G13="","缺少设备形式",""),IF(G13="","",IF(COUNTIF(EV_SUB_FORM_ALL,G13)=0,"设备形式不在标准枚举中","")),IF(AND(ISTEXT(G13),OR(G13&lt;&gt;TRIM(G13),ISNUMBER(SEARCH("　",G13)))),"设备形式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工作温度",""),IF(K13="","",IF(NOT(ISNUMBER(K13)),"工作温度应为数值",IF(OR(K13&lt;0,K13&gt;100),"工作温度应为0～100",""))),IF(L13="","缺少额定功率",""),IF(L13="","",IF(NOT(ISNUMBER(L13)),"额定功率应为数值",IF(L13&lt;=0,"额定功率应大于0",""))),IF(M13="","缺少级数",""),IF(M13="","",IF(NOT(ISNUMBER(M13)),"级数应为数值",IF(OR(M13&lt;=0,MOD(M13,1)&lt;&gt;0),"级数应为正整数",""))),IF(N13="","缺少电泵效率",""),IF(N13="","",IF(NOT(ISNUMBER(N13)),"电泵效率应为数值",IF(OR(N13&lt;1,N13&gt;100),"电泵效率应为1～100的百分数本值",""))),IF(U13="","缺少铭牌照片",""),IF(AND(ISTEXT(V13),OR(V13&lt;&gt;TRIM(V13),ISNUMBER(SEARCH("　",V13)))),"填表备注含首尾空格或全角空格",""),IF(AND(F13="小型潜水电泵",G13&lt;&gt;"",COUNTIF(EV_SUB_FORM_SMALL,G13)=0),"设备形式与小型潜水电泵类别不匹配",""),IF(AND(F13="大中型潜水电泵",G13&lt;&gt;"",COUNTIF(EV_SUB_FORM_LARGE,G13)=0),"设备形式与大中型潜水电泵类别不匹配",""),IF(AND(F13="污水污物潜水电泵",G13&lt;&gt;"",COUNTIF(EV_SUB_FORM_WASTE,G13)=0),"设备形式与污水污物潜水电泵类别不匹配",""),IF(AND(F13="井用潜水电泵",G13&lt;&gt;"",COUNTIF(EV_SUB_FORM_WELL,G13)=0),"设备形式与井用潜水电泵类别不匹配",""),IF(AND(F13="混流潜水电泵",G13&lt;&gt;"",COUNTIF(EV_SUB_FORM_MIXED,G13)=0),"设备形式与混流潜水电泵类别不匹配","")),"")</f>
        <v/>
      </c>
    </row>
    <row r="14" ht="42" customHeight="1" s="184">
      <c r="A14" s="224">
        <f>IF(COUNTA(B14,C14,D14,E14,F14,G14,H14,I14,J14,K14,L14,M14,N14,U14,V14)&gt;0,ROW()-3,"")</f>
        <v/>
      </c>
      <c r="B14" s="176" t="n"/>
      <c r="C14" s="176" t="n"/>
      <c r="D14" s="228" t="n"/>
      <c r="E14" s="176" t="n"/>
      <c r="F14" s="218" t="n"/>
      <c r="G14" s="176" t="n"/>
      <c r="H14" s="229" t="n"/>
      <c r="I14" s="229" t="n"/>
      <c r="J14" s="229" t="n"/>
      <c r="K14" s="237" t="n"/>
      <c r="L14" s="229" t="n"/>
      <c r="M14" s="228" t="n"/>
      <c r="N14" s="229" t="n"/>
      <c r="O14" s="236" t="n"/>
      <c r="P14" s="236" t="n"/>
      <c r="Q14" s="227" t="n"/>
      <c r="R14" s="227" t="n"/>
      <c r="S14" s="227" t="n"/>
      <c r="T14" s="81" t="n"/>
      <c r="U14" s="180" t="n"/>
      <c r="V14" s="180" t="n"/>
      <c r="W14" s="99">
        <f>IF(COUNTA(B14,C14,D14,E14,F14,G14,H14,I14,J14,K14,L14,M14,N14,U14,V14)&gt;0,TEXTJOIN("；",TRUE,IF(B14="","缺少设备名称",""),IF(AND(ISTEXT(B14),OR(B14&lt;&gt;TRIM(B14),ISNUMBER(SEARCH("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",C14)))),"型号含首尾空格或全角空格",""),IF(D14="","缺少数量",""),IF(D14="","",IF(NOT(ISNUMBER(D14)),"数量应为数值",IF(OR(D14&lt;=0,MOD(D14,1)&lt;&gt;0),"数量应为正整数",""))),IF(AND(ISTEXT(E14),OR(E14&lt;&gt;TRIM(E14),ISNUMBER(SEARCH("　",E14)))),"安装位置含首尾空格或全角空格",""),IF(F14="","缺少设备类别",""),IF(F14="","",IF(COUNTIF(EV_SUBMERSIBLE_CATEGORY,F14)=0,"设备类别不在标准枚举中","")),IF(AND(ISTEXT(F14),OR(F14&lt;&gt;TRIM(F14),ISNUMBER(SEARCH("　",F14)))),"设备类别含首尾空格或全角空格",""),IF(G14="","缺少设备形式",""),IF(G14="","",IF(COUNTIF(EV_SUB_FORM_ALL,G14)=0,"设备形式不在标准枚举中","")),IF(AND(ISTEXT(G14),OR(G14&lt;&gt;TRIM(G14),ISNUMBER(SEARCH("　",G14)))),"设备形式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工作温度",""),IF(K14="","",IF(NOT(ISNUMBER(K14)),"工作温度应为数值",IF(OR(K14&lt;0,K14&gt;100),"工作温度应为0～100",""))),IF(L14="","缺少额定功率",""),IF(L14="","",IF(NOT(ISNUMBER(L14)),"额定功率应为数值",IF(L14&lt;=0,"额定功率应大于0",""))),IF(M14="","缺少级数",""),IF(M14="","",IF(NOT(ISNUMBER(M14)),"级数应为数值",IF(OR(M14&lt;=0,MOD(M14,1)&lt;&gt;0),"级数应为正整数",""))),IF(N14="","缺少电泵效率",""),IF(N14="","",IF(NOT(ISNUMBER(N14)),"电泵效率应为数值",IF(OR(N14&lt;1,N14&gt;100),"电泵效率应为1～100的百分数本值",""))),IF(U14="","缺少铭牌照片",""),IF(AND(ISTEXT(V14),OR(V14&lt;&gt;TRIM(V14),ISNUMBER(SEARCH("　",V14)))),"填表备注含首尾空格或全角空格",""),IF(AND(F14="小型潜水电泵",G14&lt;&gt;"",COUNTIF(EV_SUB_FORM_SMALL,G14)=0),"设备形式与小型潜水电泵类别不匹配",""),IF(AND(F14="大中型潜水电泵",G14&lt;&gt;"",COUNTIF(EV_SUB_FORM_LARGE,G14)=0),"设备形式与大中型潜水电泵类别不匹配",""),IF(AND(F14="污水污物潜水电泵",G14&lt;&gt;"",COUNTIF(EV_SUB_FORM_WASTE,G14)=0),"设备形式与污水污物潜水电泵类别不匹配",""),IF(AND(F14="井用潜水电泵",G14&lt;&gt;"",COUNTIF(EV_SUB_FORM_WELL,G14)=0),"设备形式与井用潜水电泵类别不匹配",""),IF(AND(F14="混流潜水电泵",G14&lt;&gt;"",COUNTIF(EV_SUB_FORM_MIXED,G14)=0),"设备形式与混流潜水电泵类别不匹配","")),"")</f>
        <v/>
      </c>
    </row>
    <row r="15" ht="42" customHeight="1" s="184">
      <c r="A15" s="224">
        <f>IF(COUNTA(B15,C15,D15,E15,F15,G15,H15,I15,J15,K15,L15,M15,N15,U15,V15)&gt;0,ROW()-3,"")</f>
        <v/>
      </c>
      <c r="B15" s="176" t="n"/>
      <c r="C15" s="176" t="n"/>
      <c r="D15" s="228" t="n"/>
      <c r="E15" s="176" t="n"/>
      <c r="F15" s="218" t="n"/>
      <c r="G15" s="176" t="n"/>
      <c r="H15" s="229" t="n"/>
      <c r="I15" s="229" t="n"/>
      <c r="J15" s="229" t="n"/>
      <c r="K15" s="237" t="n"/>
      <c r="L15" s="229" t="n"/>
      <c r="M15" s="228" t="n"/>
      <c r="N15" s="229" t="n"/>
      <c r="O15" s="236" t="n"/>
      <c r="P15" s="236" t="n"/>
      <c r="Q15" s="227" t="n"/>
      <c r="R15" s="227" t="n"/>
      <c r="S15" s="227" t="n"/>
      <c r="T15" s="81" t="n"/>
      <c r="U15" s="180" t="n"/>
      <c r="V15" s="180" t="n"/>
      <c r="W15" s="99">
        <f>IF(COUNTA(B15,C15,D15,E15,F15,G15,H15,I15,J15,K15,L15,M15,N15,U15,V15)&gt;0,TEXTJOIN("；",TRUE,IF(B15="","缺少设备名称",""),IF(AND(ISTEXT(B15),OR(B15&lt;&gt;TRIM(B15),ISNUMBER(SEARCH("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",C15)))),"型号含首尾空格或全角空格",""),IF(D15="","缺少数量",""),IF(D15="","",IF(NOT(ISNUMBER(D15)),"数量应为数值",IF(OR(D15&lt;=0,MOD(D15,1)&lt;&gt;0),"数量应为正整数",""))),IF(AND(ISTEXT(E15),OR(E15&lt;&gt;TRIM(E15),ISNUMBER(SEARCH("　",E15)))),"安装位置含首尾空格或全角空格",""),IF(F15="","缺少设备类别",""),IF(F15="","",IF(COUNTIF(EV_SUBMERSIBLE_CATEGORY,F15)=0,"设备类别不在标准枚举中","")),IF(AND(ISTEXT(F15),OR(F15&lt;&gt;TRIM(F15),ISNUMBER(SEARCH("　",F15)))),"设备类别含首尾空格或全角空格",""),IF(G15="","缺少设备形式",""),IF(G15="","",IF(COUNTIF(EV_SUB_FORM_ALL,G15)=0,"设备形式不在标准枚举中","")),IF(AND(ISTEXT(G15),OR(G15&lt;&gt;TRIM(G15),ISNUMBER(SEARCH("　",G15)))),"设备形式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工作温度",""),IF(K15="","",IF(NOT(ISNUMBER(K15)),"工作温度应为数值",IF(OR(K15&lt;0,K15&gt;100),"工作温度应为0～100",""))),IF(L15="","缺少额定功率",""),IF(L15="","",IF(NOT(ISNUMBER(L15)),"额定功率应为数值",IF(L15&lt;=0,"额定功率应大于0",""))),IF(M15="","缺少级数",""),IF(M15="","",IF(NOT(ISNUMBER(M15)),"级数应为数值",IF(OR(M15&lt;=0,MOD(M15,1)&lt;&gt;0),"级数应为正整数",""))),IF(N15="","缺少电泵效率",""),IF(N15="","",IF(NOT(ISNUMBER(N15)),"电泵效率应为数值",IF(OR(N15&lt;1,N15&gt;100),"电泵效率应为1～100的百分数本值",""))),IF(U15="","缺少铭牌照片",""),IF(AND(ISTEXT(V15),OR(V15&lt;&gt;TRIM(V15),ISNUMBER(SEARCH("　",V15)))),"填表备注含首尾空格或全角空格",""),IF(AND(F15="小型潜水电泵",G15&lt;&gt;"",COUNTIF(EV_SUB_FORM_SMALL,G15)=0),"设备形式与小型潜水电泵类别不匹配",""),IF(AND(F15="大中型潜水电泵",G15&lt;&gt;"",COUNTIF(EV_SUB_FORM_LARGE,G15)=0),"设备形式与大中型潜水电泵类别不匹配",""),IF(AND(F15="污水污物潜水电泵",G15&lt;&gt;"",COUNTIF(EV_SUB_FORM_WASTE,G15)=0),"设备形式与污水污物潜水电泵类别不匹配",""),IF(AND(F15="井用潜水电泵",G15&lt;&gt;"",COUNTIF(EV_SUB_FORM_WELL,G15)=0),"设备形式与井用潜水电泵类别不匹配",""),IF(AND(F15="混流潜水电泵",G15&lt;&gt;"",COUNTIF(EV_SUB_FORM_MIXED,G15)=0),"设备形式与混流潜水电泵类别不匹配","")),"")</f>
        <v/>
      </c>
    </row>
    <row r="16" ht="42" customHeight="1" s="184">
      <c r="A16" s="224">
        <f>IF(COUNTA(B16,C16,D16,E16,F16,G16,H16,I16,J16,K16,L16,M16,N16,U16,V16)&gt;0,ROW()-3,"")</f>
        <v/>
      </c>
      <c r="B16" s="176" t="n"/>
      <c r="C16" s="176" t="n"/>
      <c r="D16" s="228" t="n"/>
      <c r="E16" s="176" t="n"/>
      <c r="F16" s="218" t="n"/>
      <c r="G16" s="176" t="n"/>
      <c r="H16" s="229" t="n"/>
      <c r="I16" s="229" t="n"/>
      <c r="J16" s="229" t="n"/>
      <c r="K16" s="237" t="n"/>
      <c r="L16" s="229" t="n"/>
      <c r="M16" s="228" t="n"/>
      <c r="N16" s="229" t="n"/>
      <c r="O16" s="236" t="n"/>
      <c r="P16" s="236" t="n"/>
      <c r="Q16" s="227" t="n"/>
      <c r="R16" s="227" t="n"/>
      <c r="S16" s="227" t="n"/>
      <c r="T16" s="81" t="n"/>
      <c r="U16" s="180" t="n"/>
      <c r="V16" s="180" t="n"/>
      <c r="W16" s="99">
        <f>IF(COUNTA(B16,C16,D16,E16,F16,G16,H16,I16,J16,K16,L16,M16,N16,U16,V16)&gt;0,TEXTJOIN("；",TRUE,IF(B16="","缺少设备名称",""),IF(AND(ISTEXT(B16),OR(B16&lt;&gt;TRIM(B16),ISNUMBER(SEARCH("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",C16)))),"型号含首尾空格或全角空格",""),IF(D16="","缺少数量",""),IF(D16="","",IF(NOT(ISNUMBER(D16)),"数量应为数值",IF(OR(D16&lt;=0,MOD(D16,1)&lt;&gt;0),"数量应为正整数",""))),IF(AND(ISTEXT(E16),OR(E16&lt;&gt;TRIM(E16),ISNUMBER(SEARCH("　",E16)))),"安装位置含首尾空格或全角空格",""),IF(F16="","缺少设备类别",""),IF(F16="","",IF(COUNTIF(EV_SUBMERSIBLE_CATEGORY,F16)=0,"设备类别不在标准枚举中","")),IF(AND(ISTEXT(F16),OR(F16&lt;&gt;TRIM(F16),ISNUMBER(SEARCH("　",F16)))),"设备类别含首尾空格或全角空格",""),IF(G16="","缺少设备形式",""),IF(G16="","",IF(COUNTIF(EV_SUB_FORM_ALL,G16)=0,"设备形式不在标准枚举中","")),IF(AND(ISTEXT(G16),OR(G16&lt;&gt;TRIM(G16),ISNUMBER(SEARCH("　",G16)))),"设备形式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工作温度",""),IF(K16="","",IF(NOT(ISNUMBER(K16)),"工作温度应为数值",IF(OR(K16&lt;0,K16&gt;100),"工作温度应为0～100",""))),IF(L16="","缺少额定功率",""),IF(L16="","",IF(NOT(ISNUMBER(L16)),"额定功率应为数值",IF(L16&lt;=0,"额定功率应大于0",""))),IF(M16="","缺少级数",""),IF(M16="","",IF(NOT(ISNUMBER(M16)),"级数应为数值",IF(OR(M16&lt;=0,MOD(M16,1)&lt;&gt;0),"级数应为正整数",""))),IF(N16="","缺少电泵效率",""),IF(N16="","",IF(NOT(ISNUMBER(N16)),"电泵效率应为数值",IF(OR(N16&lt;1,N16&gt;100),"电泵效率应为1～100的百分数本值",""))),IF(U16="","缺少铭牌照片",""),IF(AND(ISTEXT(V16),OR(V16&lt;&gt;TRIM(V16),ISNUMBER(SEARCH("　",V16)))),"填表备注含首尾空格或全角空格",""),IF(AND(F16="小型潜水电泵",G16&lt;&gt;"",COUNTIF(EV_SUB_FORM_SMALL,G16)=0),"设备形式与小型潜水电泵类别不匹配",""),IF(AND(F16="大中型潜水电泵",G16&lt;&gt;"",COUNTIF(EV_SUB_FORM_LARGE,G16)=0),"设备形式与大中型潜水电泵类别不匹配",""),IF(AND(F16="污水污物潜水电泵",G16&lt;&gt;"",COUNTIF(EV_SUB_FORM_WASTE,G16)=0),"设备形式与污水污物潜水电泵类别不匹配",""),IF(AND(F16="井用潜水电泵",G16&lt;&gt;"",COUNTIF(EV_SUB_FORM_WELL,G16)=0),"设备形式与井用潜水电泵类别不匹配",""),IF(AND(F16="混流潜水电泵",G16&lt;&gt;"",COUNTIF(EV_SUB_FORM_MIXED,G16)=0),"设备形式与混流潜水电泵类别不匹配","")),"")</f>
        <v/>
      </c>
    </row>
    <row r="17" ht="42" customHeight="1" s="184">
      <c r="A17" s="224">
        <f>IF(COUNTA(B17,C17,D17,E17,F17,G17,H17,I17,J17,K17,L17,M17,N17,U17,V17)&gt;0,ROW()-3,"")</f>
        <v/>
      </c>
      <c r="B17" s="176" t="n"/>
      <c r="C17" s="176" t="n"/>
      <c r="D17" s="228" t="n"/>
      <c r="E17" s="176" t="n"/>
      <c r="F17" s="218" t="n"/>
      <c r="G17" s="176" t="n"/>
      <c r="H17" s="229" t="n"/>
      <c r="I17" s="229" t="n"/>
      <c r="J17" s="229" t="n"/>
      <c r="K17" s="237" t="n"/>
      <c r="L17" s="229" t="n"/>
      <c r="M17" s="228" t="n"/>
      <c r="N17" s="229" t="n"/>
      <c r="O17" s="236" t="n"/>
      <c r="P17" s="236" t="n"/>
      <c r="Q17" s="227" t="n"/>
      <c r="R17" s="227" t="n"/>
      <c r="S17" s="227" t="n"/>
      <c r="T17" s="81" t="n"/>
      <c r="U17" s="180" t="n"/>
      <c r="V17" s="180" t="n"/>
      <c r="W17" s="99">
        <f>IF(COUNTA(B17,C17,D17,E17,F17,G17,H17,I17,J17,K17,L17,M17,N17,U17,V17)&gt;0,TEXTJOIN("；",TRUE,IF(B17="","缺少设备名称",""),IF(AND(ISTEXT(B17),OR(B17&lt;&gt;TRIM(B17),ISNUMBER(SEARCH("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",C17)))),"型号含首尾空格或全角空格",""),IF(D17="","缺少数量",""),IF(D17="","",IF(NOT(ISNUMBER(D17)),"数量应为数值",IF(OR(D17&lt;=0,MOD(D17,1)&lt;&gt;0),"数量应为正整数",""))),IF(AND(ISTEXT(E17),OR(E17&lt;&gt;TRIM(E17),ISNUMBER(SEARCH("　",E17)))),"安装位置含首尾空格或全角空格",""),IF(F17="","缺少设备类别",""),IF(F17="","",IF(COUNTIF(EV_SUBMERSIBLE_CATEGORY,F17)=0,"设备类别不在标准枚举中","")),IF(AND(ISTEXT(F17),OR(F17&lt;&gt;TRIM(F17),ISNUMBER(SEARCH("　",F17)))),"设备类别含首尾空格或全角空格",""),IF(G17="","缺少设备形式",""),IF(G17="","",IF(COUNTIF(EV_SUB_FORM_ALL,G17)=0,"设备形式不在标准枚举中","")),IF(AND(ISTEXT(G17),OR(G17&lt;&gt;TRIM(G17),ISNUMBER(SEARCH("　",G17)))),"设备形式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工作温度",""),IF(K17="","",IF(NOT(ISNUMBER(K17)),"工作温度应为数值",IF(OR(K17&lt;0,K17&gt;100),"工作温度应为0～100",""))),IF(L17="","缺少额定功率",""),IF(L17="","",IF(NOT(ISNUMBER(L17)),"额定功率应为数值",IF(L17&lt;=0,"额定功率应大于0",""))),IF(M17="","缺少级数",""),IF(M17="","",IF(NOT(ISNUMBER(M17)),"级数应为数值",IF(OR(M17&lt;=0,MOD(M17,1)&lt;&gt;0),"级数应为正整数",""))),IF(N17="","缺少电泵效率",""),IF(N17="","",IF(NOT(ISNUMBER(N17)),"电泵效率应为数值",IF(OR(N17&lt;1,N17&gt;100),"电泵效率应为1～100的百分数本值",""))),IF(U17="","缺少铭牌照片",""),IF(AND(ISTEXT(V17),OR(V17&lt;&gt;TRIM(V17),ISNUMBER(SEARCH("　",V17)))),"填表备注含首尾空格或全角空格",""),IF(AND(F17="小型潜水电泵",G17&lt;&gt;"",COUNTIF(EV_SUB_FORM_SMALL,G17)=0),"设备形式与小型潜水电泵类别不匹配",""),IF(AND(F17="大中型潜水电泵",G17&lt;&gt;"",COUNTIF(EV_SUB_FORM_LARGE,G17)=0),"设备形式与大中型潜水电泵类别不匹配",""),IF(AND(F17="污水污物潜水电泵",G17&lt;&gt;"",COUNTIF(EV_SUB_FORM_WASTE,G17)=0),"设备形式与污水污物潜水电泵类别不匹配",""),IF(AND(F17="井用潜水电泵",G17&lt;&gt;"",COUNTIF(EV_SUB_FORM_WELL,G17)=0),"设备形式与井用潜水电泵类别不匹配",""),IF(AND(F17="混流潜水电泵",G17&lt;&gt;"",COUNTIF(EV_SUB_FORM_MIXED,G17)=0),"设备形式与混流潜水电泵类别不匹配","")),"")</f>
        <v/>
      </c>
    </row>
    <row r="18" ht="42" customHeight="1" s="184">
      <c r="A18" s="224">
        <f>IF(COUNTA(B18,C18,D18,E18,F18,G18,H18,I18,J18,K18,L18,M18,N18,U18,V18)&gt;0,ROW()-3,"")</f>
        <v/>
      </c>
      <c r="B18" s="176" t="n"/>
      <c r="C18" s="176" t="n"/>
      <c r="D18" s="228" t="n"/>
      <c r="E18" s="176" t="n"/>
      <c r="F18" s="218" t="n"/>
      <c r="G18" s="176" t="n"/>
      <c r="H18" s="229" t="n"/>
      <c r="I18" s="229" t="n"/>
      <c r="J18" s="229" t="n"/>
      <c r="K18" s="237" t="n"/>
      <c r="L18" s="229" t="n"/>
      <c r="M18" s="228" t="n"/>
      <c r="N18" s="229" t="n"/>
      <c r="O18" s="236" t="n"/>
      <c r="P18" s="236" t="n"/>
      <c r="Q18" s="227" t="n"/>
      <c r="R18" s="227" t="n"/>
      <c r="S18" s="227" t="n"/>
      <c r="T18" s="81" t="n"/>
      <c r="U18" s="180" t="n"/>
      <c r="V18" s="180" t="n"/>
      <c r="W18" s="99">
        <f>IF(COUNTA(B18,C18,D18,E18,F18,G18,H18,I18,J18,K18,L18,M18,N18,U18,V18)&gt;0,TEXTJOIN("；",TRUE,IF(B18="","缺少设备名称",""),IF(AND(ISTEXT(B18),OR(B18&lt;&gt;TRIM(B18),ISNUMBER(SEARCH("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",C18)))),"型号含首尾空格或全角空格",""),IF(D18="","缺少数量",""),IF(D18="","",IF(NOT(ISNUMBER(D18)),"数量应为数值",IF(OR(D18&lt;=0,MOD(D18,1)&lt;&gt;0),"数量应为正整数",""))),IF(AND(ISTEXT(E18),OR(E18&lt;&gt;TRIM(E18),ISNUMBER(SEARCH("　",E18)))),"安装位置含首尾空格或全角空格",""),IF(F18="","缺少设备类别",""),IF(F18="","",IF(COUNTIF(EV_SUBMERSIBLE_CATEGORY,F18)=0,"设备类别不在标准枚举中","")),IF(AND(ISTEXT(F18),OR(F18&lt;&gt;TRIM(F18),ISNUMBER(SEARCH("　",F18)))),"设备类别含首尾空格或全角空格",""),IF(G18="","缺少设备形式",""),IF(G18="","",IF(COUNTIF(EV_SUB_FORM_ALL,G18)=0,"设备形式不在标准枚举中","")),IF(AND(ISTEXT(G18),OR(G18&lt;&gt;TRIM(G18),ISNUMBER(SEARCH("　",G18)))),"设备形式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工作温度",""),IF(K18="","",IF(NOT(ISNUMBER(K18)),"工作温度应为数值",IF(OR(K18&lt;0,K18&gt;100),"工作温度应为0～100",""))),IF(L18="","缺少额定功率",""),IF(L18="","",IF(NOT(ISNUMBER(L18)),"额定功率应为数值",IF(L18&lt;=0,"额定功率应大于0",""))),IF(M18="","缺少级数",""),IF(M18="","",IF(NOT(ISNUMBER(M18)),"级数应为数值",IF(OR(M18&lt;=0,MOD(M18,1)&lt;&gt;0),"级数应为正整数",""))),IF(N18="","缺少电泵效率",""),IF(N18="","",IF(NOT(ISNUMBER(N18)),"电泵效率应为数值",IF(OR(N18&lt;1,N18&gt;100),"电泵效率应为1～100的百分数本值",""))),IF(U18="","缺少铭牌照片",""),IF(AND(ISTEXT(V18),OR(V18&lt;&gt;TRIM(V18),ISNUMBER(SEARCH("　",V18)))),"填表备注含首尾空格或全角空格",""),IF(AND(F18="小型潜水电泵",G18&lt;&gt;"",COUNTIF(EV_SUB_FORM_SMALL,G18)=0),"设备形式与小型潜水电泵类别不匹配",""),IF(AND(F18="大中型潜水电泵",G18&lt;&gt;"",COUNTIF(EV_SUB_FORM_LARGE,G18)=0),"设备形式与大中型潜水电泵类别不匹配",""),IF(AND(F18="污水污物潜水电泵",G18&lt;&gt;"",COUNTIF(EV_SUB_FORM_WASTE,G18)=0),"设备形式与污水污物潜水电泵类别不匹配",""),IF(AND(F18="井用潜水电泵",G18&lt;&gt;"",COUNTIF(EV_SUB_FORM_WELL,G18)=0),"设备形式与井用潜水电泵类别不匹配",""),IF(AND(F18="混流潜水电泵",G18&lt;&gt;"",COUNTIF(EV_SUB_FORM_MIXED,G18)=0),"设备形式与混流潜水电泵类别不匹配","")),"")</f>
        <v/>
      </c>
    </row>
    <row r="19" ht="42" customHeight="1" s="184">
      <c r="A19" s="224">
        <f>IF(COUNTA(B19,C19,D19,E19,F19,G19,H19,I19,J19,K19,L19,M19,N19,U19,V19)&gt;0,ROW()-3,"")</f>
        <v/>
      </c>
      <c r="B19" s="176" t="n"/>
      <c r="C19" s="176" t="n"/>
      <c r="D19" s="228" t="n"/>
      <c r="E19" s="176" t="n"/>
      <c r="F19" s="218" t="n"/>
      <c r="G19" s="176" t="n"/>
      <c r="H19" s="229" t="n"/>
      <c r="I19" s="229" t="n"/>
      <c r="J19" s="229" t="n"/>
      <c r="K19" s="237" t="n"/>
      <c r="L19" s="229" t="n"/>
      <c r="M19" s="228" t="n"/>
      <c r="N19" s="229" t="n"/>
      <c r="O19" s="236" t="n"/>
      <c r="P19" s="236" t="n"/>
      <c r="Q19" s="227" t="n"/>
      <c r="R19" s="227" t="n"/>
      <c r="S19" s="227" t="n"/>
      <c r="T19" s="81" t="n"/>
      <c r="U19" s="180" t="n"/>
      <c r="V19" s="180" t="n"/>
      <c r="W19" s="99">
        <f>IF(COUNTA(B19,C19,D19,E19,F19,G19,H19,I19,J19,K19,L19,M19,N19,U19,V19)&gt;0,TEXTJOIN("；",TRUE,IF(B19="","缺少设备名称",""),IF(AND(ISTEXT(B19),OR(B19&lt;&gt;TRIM(B19),ISNUMBER(SEARCH("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",C19)))),"型号含首尾空格或全角空格",""),IF(D19="","缺少数量",""),IF(D19="","",IF(NOT(ISNUMBER(D19)),"数量应为数值",IF(OR(D19&lt;=0,MOD(D19,1)&lt;&gt;0),"数量应为正整数",""))),IF(AND(ISTEXT(E19),OR(E19&lt;&gt;TRIM(E19),ISNUMBER(SEARCH("　",E19)))),"安装位置含首尾空格或全角空格",""),IF(F19="","缺少设备类别",""),IF(F19="","",IF(COUNTIF(EV_SUBMERSIBLE_CATEGORY,F19)=0,"设备类别不在标准枚举中","")),IF(AND(ISTEXT(F19),OR(F19&lt;&gt;TRIM(F19),ISNUMBER(SEARCH("　",F19)))),"设备类别含首尾空格或全角空格",""),IF(G19="","缺少设备形式",""),IF(G19="","",IF(COUNTIF(EV_SUB_FORM_ALL,G19)=0,"设备形式不在标准枚举中","")),IF(AND(ISTEXT(G19),OR(G19&lt;&gt;TRIM(G19),ISNUMBER(SEARCH("　",G19)))),"设备形式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工作温度",""),IF(K19="","",IF(NOT(ISNUMBER(K19)),"工作温度应为数值",IF(OR(K19&lt;0,K19&gt;100),"工作温度应为0～100",""))),IF(L19="","缺少额定功率",""),IF(L19="","",IF(NOT(ISNUMBER(L19)),"额定功率应为数值",IF(L19&lt;=0,"额定功率应大于0",""))),IF(M19="","缺少级数",""),IF(M19="","",IF(NOT(ISNUMBER(M19)),"级数应为数值",IF(OR(M19&lt;=0,MOD(M19,1)&lt;&gt;0),"级数应为正整数",""))),IF(N19="","缺少电泵效率",""),IF(N19="","",IF(NOT(ISNUMBER(N19)),"电泵效率应为数值",IF(OR(N19&lt;1,N19&gt;100),"电泵效率应为1～100的百分数本值",""))),IF(U19="","缺少铭牌照片",""),IF(AND(ISTEXT(V19),OR(V19&lt;&gt;TRIM(V19),ISNUMBER(SEARCH("　",V19)))),"填表备注含首尾空格或全角空格",""),IF(AND(F19="小型潜水电泵",G19&lt;&gt;"",COUNTIF(EV_SUB_FORM_SMALL,G19)=0),"设备形式与小型潜水电泵类别不匹配",""),IF(AND(F19="大中型潜水电泵",G19&lt;&gt;"",COUNTIF(EV_SUB_FORM_LARGE,G19)=0),"设备形式与大中型潜水电泵类别不匹配",""),IF(AND(F19="污水污物潜水电泵",G19&lt;&gt;"",COUNTIF(EV_SUB_FORM_WASTE,G19)=0),"设备形式与污水污物潜水电泵类别不匹配",""),IF(AND(F19="井用潜水电泵",G19&lt;&gt;"",COUNTIF(EV_SUB_FORM_WELL,G19)=0),"设备形式与井用潜水电泵类别不匹配",""),IF(AND(F19="混流潜水电泵",G19&lt;&gt;"",COUNTIF(EV_SUB_FORM_MIXED,G19)=0),"设备形式与混流潜水电泵类别不匹配","")),"")</f>
        <v/>
      </c>
    </row>
    <row r="20" ht="42" customHeight="1" s="184">
      <c r="A20" s="224">
        <f>IF(COUNTA(B20,C20,D20,E20,F20,G20,H20,I20,J20,K20,L20,M20,N20,U20,V20)&gt;0,ROW()-3,"")</f>
        <v/>
      </c>
      <c r="B20" s="176" t="n"/>
      <c r="C20" s="176" t="n"/>
      <c r="D20" s="228" t="n"/>
      <c r="E20" s="176" t="n"/>
      <c r="F20" s="218" t="n"/>
      <c r="G20" s="176" t="n"/>
      <c r="H20" s="229" t="n"/>
      <c r="I20" s="229" t="n"/>
      <c r="J20" s="229" t="n"/>
      <c r="K20" s="237" t="n"/>
      <c r="L20" s="229" t="n"/>
      <c r="M20" s="228" t="n"/>
      <c r="N20" s="229" t="n"/>
      <c r="O20" s="236" t="n"/>
      <c r="P20" s="236" t="n"/>
      <c r="Q20" s="227" t="n"/>
      <c r="R20" s="227" t="n"/>
      <c r="S20" s="227" t="n"/>
      <c r="T20" s="81" t="n"/>
      <c r="U20" s="180" t="n"/>
      <c r="V20" s="180" t="n"/>
      <c r="W20" s="99">
        <f>IF(COUNTA(B20,C20,D20,E20,F20,G20,H20,I20,J20,K20,L20,M20,N20,U20,V20)&gt;0,TEXTJOIN("；",TRUE,IF(B20="","缺少设备名称",""),IF(AND(ISTEXT(B20),OR(B20&lt;&gt;TRIM(B20),ISNUMBER(SEARCH("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",C20)))),"型号含首尾空格或全角空格",""),IF(D20="","缺少数量",""),IF(D20="","",IF(NOT(ISNUMBER(D20)),"数量应为数值",IF(OR(D20&lt;=0,MOD(D20,1)&lt;&gt;0),"数量应为正整数",""))),IF(AND(ISTEXT(E20),OR(E20&lt;&gt;TRIM(E20),ISNUMBER(SEARCH("　",E20)))),"安装位置含首尾空格或全角空格",""),IF(F20="","缺少设备类别",""),IF(F20="","",IF(COUNTIF(EV_SUBMERSIBLE_CATEGORY,F20)=0,"设备类别不在标准枚举中","")),IF(AND(ISTEXT(F20),OR(F20&lt;&gt;TRIM(F20),ISNUMBER(SEARCH("　",F20)))),"设备类别含首尾空格或全角空格",""),IF(G20="","缺少设备形式",""),IF(G20="","",IF(COUNTIF(EV_SUB_FORM_ALL,G20)=0,"设备形式不在标准枚举中","")),IF(AND(ISTEXT(G20),OR(G20&lt;&gt;TRIM(G20),ISNUMBER(SEARCH("　",G20)))),"设备形式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工作温度",""),IF(K20="","",IF(NOT(ISNUMBER(K20)),"工作温度应为数值",IF(OR(K20&lt;0,K20&gt;100),"工作温度应为0～100",""))),IF(L20="","缺少额定功率",""),IF(L20="","",IF(NOT(ISNUMBER(L20)),"额定功率应为数值",IF(L20&lt;=0,"额定功率应大于0",""))),IF(M20="","缺少级数",""),IF(M20="","",IF(NOT(ISNUMBER(M20)),"级数应为数值",IF(OR(M20&lt;=0,MOD(M20,1)&lt;&gt;0),"级数应为正整数",""))),IF(N20="","缺少电泵效率",""),IF(N20="","",IF(NOT(ISNUMBER(N20)),"电泵效率应为数值",IF(OR(N20&lt;1,N20&gt;100),"电泵效率应为1～100的百分数本值",""))),IF(U20="","缺少铭牌照片",""),IF(AND(ISTEXT(V20),OR(V20&lt;&gt;TRIM(V20),ISNUMBER(SEARCH("　",V20)))),"填表备注含首尾空格或全角空格",""),IF(AND(F20="小型潜水电泵",G20&lt;&gt;"",COUNTIF(EV_SUB_FORM_SMALL,G20)=0),"设备形式与小型潜水电泵类别不匹配",""),IF(AND(F20="大中型潜水电泵",G20&lt;&gt;"",COUNTIF(EV_SUB_FORM_LARGE,G20)=0),"设备形式与大中型潜水电泵类别不匹配",""),IF(AND(F20="污水污物潜水电泵",G20&lt;&gt;"",COUNTIF(EV_SUB_FORM_WASTE,G20)=0),"设备形式与污水污物潜水电泵类别不匹配",""),IF(AND(F20="井用潜水电泵",G20&lt;&gt;"",COUNTIF(EV_SUB_FORM_WELL,G20)=0),"设备形式与井用潜水电泵类别不匹配",""),IF(AND(F20="混流潜水电泵",G20&lt;&gt;"",COUNTIF(EV_SUB_FORM_MIXED,G20)=0),"设备形式与混流潜水电泵类别不匹配","")),"")</f>
        <v/>
      </c>
    </row>
    <row r="21" ht="42" customHeight="1" s="184">
      <c r="A21" s="224">
        <f>IF(COUNTA(B21,C21,D21,E21,F21,G21,H21,I21,J21,K21,L21,M21,N21,U21,V21)&gt;0,ROW()-3,"")</f>
        <v/>
      </c>
      <c r="B21" s="176" t="n"/>
      <c r="C21" s="176" t="n"/>
      <c r="D21" s="228" t="n"/>
      <c r="E21" s="176" t="n"/>
      <c r="F21" s="218" t="n"/>
      <c r="G21" s="176" t="n"/>
      <c r="H21" s="229" t="n"/>
      <c r="I21" s="229" t="n"/>
      <c r="J21" s="229" t="n"/>
      <c r="K21" s="237" t="n"/>
      <c r="L21" s="229" t="n"/>
      <c r="M21" s="228" t="n"/>
      <c r="N21" s="229" t="n"/>
      <c r="O21" s="236" t="n"/>
      <c r="P21" s="236" t="n"/>
      <c r="Q21" s="227" t="n"/>
      <c r="R21" s="227" t="n"/>
      <c r="S21" s="227" t="n"/>
      <c r="T21" s="81" t="n"/>
      <c r="U21" s="180" t="n"/>
      <c r="V21" s="180" t="n"/>
      <c r="W21" s="99">
        <f>IF(COUNTA(B21,C21,D21,E21,F21,G21,H21,I21,J21,K21,L21,M21,N21,U21,V21)&gt;0,TEXTJOIN("；",TRUE,IF(B21="","缺少设备名称",""),IF(AND(ISTEXT(B21),OR(B21&lt;&gt;TRIM(B21),ISNUMBER(SEARCH("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",C21)))),"型号含首尾空格或全角空格",""),IF(D21="","缺少数量",""),IF(D21="","",IF(NOT(ISNUMBER(D21)),"数量应为数值",IF(OR(D21&lt;=0,MOD(D21,1)&lt;&gt;0),"数量应为正整数",""))),IF(AND(ISTEXT(E21),OR(E21&lt;&gt;TRIM(E21),ISNUMBER(SEARCH("　",E21)))),"安装位置含首尾空格或全角空格",""),IF(F21="","缺少设备类别",""),IF(F21="","",IF(COUNTIF(EV_SUBMERSIBLE_CATEGORY,F21)=0,"设备类别不在标准枚举中","")),IF(AND(ISTEXT(F21),OR(F21&lt;&gt;TRIM(F21),ISNUMBER(SEARCH("　",F21)))),"设备类别含首尾空格或全角空格",""),IF(G21="","缺少设备形式",""),IF(G21="","",IF(COUNTIF(EV_SUB_FORM_ALL,G21)=0,"设备形式不在标准枚举中","")),IF(AND(ISTEXT(G21),OR(G21&lt;&gt;TRIM(G21),ISNUMBER(SEARCH("　",G21)))),"设备形式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工作温度",""),IF(K21="","",IF(NOT(ISNUMBER(K21)),"工作温度应为数值",IF(OR(K21&lt;0,K21&gt;100),"工作温度应为0～100",""))),IF(L21="","缺少额定功率",""),IF(L21="","",IF(NOT(ISNUMBER(L21)),"额定功率应为数值",IF(L21&lt;=0,"额定功率应大于0",""))),IF(M21="","缺少级数",""),IF(M21="","",IF(NOT(ISNUMBER(M21)),"级数应为数值",IF(OR(M21&lt;=0,MOD(M21,1)&lt;&gt;0),"级数应为正整数",""))),IF(N21="","缺少电泵效率",""),IF(N21="","",IF(NOT(ISNUMBER(N21)),"电泵效率应为数值",IF(OR(N21&lt;1,N21&gt;100),"电泵效率应为1～100的百分数本值",""))),IF(U21="","缺少铭牌照片",""),IF(AND(ISTEXT(V21),OR(V21&lt;&gt;TRIM(V21),ISNUMBER(SEARCH("　",V21)))),"填表备注含首尾空格或全角空格",""),IF(AND(F21="小型潜水电泵",G21&lt;&gt;"",COUNTIF(EV_SUB_FORM_SMALL,G21)=0),"设备形式与小型潜水电泵类别不匹配",""),IF(AND(F21="大中型潜水电泵",G21&lt;&gt;"",COUNTIF(EV_SUB_FORM_LARGE,G21)=0),"设备形式与大中型潜水电泵类别不匹配",""),IF(AND(F21="污水污物潜水电泵",G21&lt;&gt;"",COUNTIF(EV_SUB_FORM_WASTE,G21)=0),"设备形式与污水污物潜水电泵类别不匹配",""),IF(AND(F21="井用潜水电泵",G21&lt;&gt;"",COUNTIF(EV_SUB_FORM_WELL,G21)=0),"设备形式与井用潜水电泵类别不匹配",""),IF(AND(F21="混流潜水电泵",G21&lt;&gt;"",COUNTIF(EV_SUB_FORM_MIXED,G21)=0),"设备形式与混流潜水电泵类别不匹配","")),"")</f>
        <v/>
      </c>
    </row>
    <row r="22" ht="42" customHeight="1" s="184">
      <c r="A22" s="224">
        <f>IF(COUNTA(B22,C22,D22,E22,F22,G22,H22,I22,J22,K22,L22,M22,N22,U22,V22)&gt;0,ROW()-3,"")</f>
        <v/>
      </c>
      <c r="B22" s="176" t="n"/>
      <c r="C22" s="176" t="n"/>
      <c r="D22" s="228" t="n"/>
      <c r="E22" s="176" t="n"/>
      <c r="F22" s="218" t="n"/>
      <c r="G22" s="176" t="n"/>
      <c r="H22" s="229" t="n"/>
      <c r="I22" s="229" t="n"/>
      <c r="J22" s="229" t="n"/>
      <c r="K22" s="237" t="n"/>
      <c r="L22" s="229" t="n"/>
      <c r="M22" s="228" t="n"/>
      <c r="N22" s="229" t="n"/>
      <c r="O22" s="236" t="n"/>
      <c r="P22" s="236" t="n"/>
      <c r="Q22" s="227" t="n"/>
      <c r="R22" s="227" t="n"/>
      <c r="S22" s="227" t="n"/>
      <c r="T22" s="81" t="n"/>
      <c r="U22" s="180" t="n"/>
      <c r="V22" s="180" t="n"/>
      <c r="W22" s="99">
        <f>IF(COUNTA(B22,C22,D22,E22,F22,G22,H22,I22,J22,K22,L22,M22,N22,U22,V22)&gt;0,TEXTJOIN("；",TRUE,IF(B22="","缺少设备名称",""),IF(AND(ISTEXT(B22),OR(B22&lt;&gt;TRIM(B22),ISNUMBER(SEARCH("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",C22)))),"型号含首尾空格或全角空格",""),IF(D22="","缺少数量",""),IF(D22="","",IF(NOT(ISNUMBER(D22)),"数量应为数值",IF(OR(D22&lt;=0,MOD(D22,1)&lt;&gt;0),"数量应为正整数",""))),IF(AND(ISTEXT(E22),OR(E22&lt;&gt;TRIM(E22),ISNUMBER(SEARCH("　",E22)))),"安装位置含首尾空格或全角空格",""),IF(F22="","缺少设备类别",""),IF(F22="","",IF(COUNTIF(EV_SUBMERSIBLE_CATEGORY,F22)=0,"设备类别不在标准枚举中","")),IF(AND(ISTEXT(F22),OR(F22&lt;&gt;TRIM(F22),ISNUMBER(SEARCH("　",F22)))),"设备类别含首尾空格或全角空格",""),IF(G22="","缺少设备形式",""),IF(G22="","",IF(COUNTIF(EV_SUB_FORM_ALL,G22)=0,"设备形式不在标准枚举中","")),IF(AND(ISTEXT(G22),OR(G22&lt;&gt;TRIM(G22),ISNUMBER(SEARCH("　",G22)))),"设备形式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工作温度",""),IF(K22="","",IF(NOT(ISNUMBER(K22)),"工作温度应为数值",IF(OR(K22&lt;0,K22&gt;100),"工作温度应为0～100",""))),IF(L22="","缺少额定功率",""),IF(L22="","",IF(NOT(ISNUMBER(L22)),"额定功率应为数值",IF(L22&lt;=0,"额定功率应大于0",""))),IF(M22="","缺少级数",""),IF(M22="","",IF(NOT(ISNUMBER(M22)),"级数应为数值",IF(OR(M22&lt;=0,MOD(M22,1)&lt;&gt;0),"级数应为正整数",""))),IF(N22="","缺少电泵效率",""),IF(N22="","",IF(NOT(ISNUMBER(N22)),"电泵效率应为数值",IF(OR(N22&lt;1,N22&gt;100),"电泵效率应为1～100的百分数本值",""))),IF(U22="","缺少铭牌照片",""),IF(AND(ISTEXT(V22),OR(V22&lt;&gt;TRIM(V22),ISNUMBER(SEARCH("　",V22)))),"填表备注含首尾空格或全角空格",""),IF(AND(F22="小型潜水电泵",G22&lt;&gt;"",COUNTIF(EV_SUB_FORM_SMALL,G22)=0),"设备形式与小型潜水电泵类别不匹配",""),IF(AND(F22="大中型潜水电泵",G22&lt;&gt;"",COUNTIF(EV_SUB_FORM_LARGE,G22)=0),"设备形式与大中型潜水电泵类别不匹配",""),IF(AND(F22="污水污物潜水电泵",G22&lt;&gt;"",COUNTIF(EV_SUB_FORM_WASTE,G22)=0),"设备形式与污水污物潜水电泵类别不匹配",""),IF(AND(F22="井用潜水电泵",G22&lt;&gt;"",COUNTIF(EV_SUB_FORM_WELL,G22)=0),"设备形式与井用潜水电泵类别不匹配",""),IF(AND(F22="混流潜水电泵",G22&lt;&gt;"",COUNTIF(EV_SUB_FORM_MIXED,G22)=0),"设备形式与混流潜水电泵类别不匹配","")),"")</f>
        <v/>
      </c>
    </row>
    <row r="23" ht="42" customHeight="1" s="184">
      <c r="A23" s="224">
        <f>IF(COUNTA(B23,C23,D23,E23,F23,G23,H23,I23,J23,K23,L23,M23,N23,U23,V23)&gt;0,ROW()-3,"")</f>
        <v/>
      </c>
      <c r="B23" s="176" t="n"/>
      <c r="C23" s="176" t="n"/>
      <c r="D23" s="228" t="n"/>
      <c r="E23" s="176" t="n"/>
      <c r="F23" s="218" t="n"/>
      <c r="G23" s="176" t="n"/>
      <c r="H23" s="229" t="n"/>
      <c r="I23" s="229" t="n"/>
      <c r="J23" s="229" t="n"/>
      <c r="K23" s="237" t="n"/>
      <c r="L23" s="229" t="n"/>
      <c r="M23" s="228" t="n"/>
      <c r="N23" s="229" t="n"/>
      <c r="O23" s="236" t="n"/>
      <c r="P23" s="236" t="n"/>
      <c r="Q23" s="227" t="n"/>
      <c r="R23" s="227" t="n"/>
      <c r="S23" s="227" t="n"/>
      <c r="T23" s="81" t="n"/>
      <c r="U23" s="180" t="n"/>
      <c r="V23" s="180" t="n"/>
      <c r="W23" s="99">
        <f>IF(COUNTA(B23,C23,D23,E23,F23,G23,H23,I23,J23,K23,L23,M23,N23,U23,V23)&gt;0,TEXTJOIN("；",TRUE,IF(B23="","缺少设备名称",""),IF(AND(ISTEXT(B23),OR(B23&lt;&gt;TRIM(B23),ISNUMBER(SEARCH("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",C23)))),"型号含首尾空格或全角空格",""),IF(D23="","缺少数量",""),IF(D23="","",IF(NOT(ISNUMBER(D23)),"数量应为数值",IF(OR(D23&lt;=0,MOD(D23,1)&lt;&gt;0),"数量应为正整数",""))),IF(AND(ISTEXT(E23),OR(E23&lt;&gt;TRIM(E23),ISNUMBER(SEARCH("　",E23)))),"安装位置含首尾空格或全角空格",""),IF(F23="","缺少设备类别",""),IF(F23="","",IF(COUNTIF(EV_SUBMERSIBLE_CATEGORY,F23)=0,"设备类别不在标准枚举中","")),IF(AND(ISTEXT(F23),OR(F23&lt;&gt;TRIM(F23),ISNUMBER(SEARCH("　",F23)))),"设备类别含首尾空格或全角空格",""),IF(G23="","缺少设备形式",""),IF(G23="","",IF(COUNTIF(EV_SUB_FORM_ALL,G23)=0,"设备形式不在标准枚举中","")),IF(AND(ISTEXT(G23),OR(G23&lt;&gt;TRIM(G23),ISNUMBER(SEARCH("　",G23)))),"设备形式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工作温度",""),IF(K23="","",IF(NOT(ISNUMBER(K23)),"工作温度应为数值",IF(OR(K23&lt;0,K23&gt;100),"工作温度应为0～100",""))),IF(L23="","缺少额定功率",""),IF(L23="","",IF(NOT(ISNUMBER(L23)),"额定功率应为数值",IF(L23&lt;=0,"额定功率应大于0",""))),IF(M23="","缺少级数",""),IF(M23="","",IF(NOT(ISNUMBER(M23)),"级数应为数值",IF(OR(M23&lt;=0,MOD(M23,1)&lt;&gt;0),"级数应为正整数",""))),IF(N23="","缺少电泵效率",""),IF(N23="","",IF(NOT(ISNUMBER(N23)),"电泵效率应为数值",IF(OR(N23&lt;1,N23&gt;100),"电泵效率应为1～100的百分数本值",""))),IF(U23="","缺少铭牌照片",""),IF(AND(ISTEXT(V23),OR(V23&lt;&gt;TRIM(V23),ISNUMBER(SEARCH("　",V23)))),"填表备注含首尾空格或全角空格",""),IF(AND(F23="小型潜水电泵",G23&lt;&gt;"",COUNTIF(EV_SUB_FORM_SMALL,G23)=0),"设备形式与小型潜水电泵类别不匹配",""),IF(AND(F23="大中型潜水电泵",G23&lt;&gt;"",COUNTIF(EV_SUB_FORM_LARGE,G23)=0),"设备形式与大中型潜水电泵类别不匹配",""),IF(AND(F23="污水污物潜水电泵",G23&lt;&gt;"",COUNTIF(EV_SUB_FORM_WASTE,G23)=0),"设备形式与污水污物潜水电泵类别不匹配",""),IF(AND(F23="井用潜水电泵",G23&lt;&gt;"",COUNTIF(EV_SUB_FORM_WELL,G23)=0),"设备形式与井用潜水电泵类别不匹配",""),IF(AND(F23="混流潜水电泵",G23&lt;&gt;"",COUNTIF(EV_SUB_FORM_MIXED,G23)=0),"设备形式与混流潜水电泵类别不匹配","")),"")</f>
        <v/>
      </c>
    </row>
    <row r="24" ht="42" customHeight="1" s="184">
      <c r="A24" s="224">
        <f>IF(COUNTA(B24,C24,D24,E24,F24,G24,H24,I24,J24,K24,L24,M24,N24,U24,V24)&gt;0,ROW()-3,"")</f>
        <v/>
      </c>
      <c r="B24" s="176" t="n"/>
      <c r="C24" s="176" t="n"/>
      <c r="D24" s="228" t="n"/>
      <c r="E24" s="176" t="n"/>
      <c r="F24" s="218" t="n"/>
      <c r="G24" s="176" t="n"/>
      <c r="H24" s="229" t="n"/>
      <c r="I24" s="229" t="n"/>
      <c r="J24" s="229" t="n"/>
      <c r="K24" s="237" t="n"/>
      <c r="L24" s="229" t="n"/>
      <c r="M24" s="228" t="n"/>
      <c r="N24" s="229" t="n"/>
      <c r="O24" s="236" t="n"/>
      <c r="P24" s="236" t="n"/>
      <c r="Q24" s="227" t="n"/>
      <c r="R24" s="227" t="n"/>
      <c r="S24" s="227" t="n"/>
      <c r="T24" s="81" t="n"/>
      <c r="U24" s="180" t="n"/>
      <c r="V24" s="180" t="n"/>
      <c r="W24" s="99">
        <f>IF(COUNTA(B24,C24,D24,E24,F24,G24,H24,I24,J24,K24,L24,M24,N24,U24,V24)&gt;0,TEXTJOIN("；",TRUE,IF(B24="","缺少设备名称",""),IF(AND(ISTEXT(B24),OR(B24&lt;&gt;TRIM(B24),ISNUMBER(SEARCH("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",C24)))),"型号含首尾空格或全角空格",""),IF(D24="","缺少数量",""),IF(D24="","",IF(NOT(ISNUMBER(D24)),"数量应为数值",IF(OR(D24&lt;=0,MOD(D24,1)&lt;&gt;0),"数量应为正整数",""))),IF(AND(ISTEXT(E24),OR(E24&lt;&gt;TRIM(E24),ISNUMBER(SEARCH("　",E24)))),"安装位置含首尾空格或全角空格",""),IF(F24="","缺少设备类别",""),IF(F24="","",IF(COUNTIF(EV_SUBMERSIBLE_CATEGORY,F24)=0,"设备类别不在标准枚举中","")),IF(AND(ISTEXT(F24),OR(F24&lt;&gt;TRIM(F24),ISNUMBER(SEARCH("　",F24)))),"设备类别含首尾空格或全角空格",""),IF(G24="","缺少设备形式",""),IF(G24="","",IF(COUNTIF(EV_SUB_FORM_ALL,G24)=0,"设备形式不在标准枚举中","")),IF(AND(ISTEXT(G24),OR(G24&lt;&gt;TRIM(G24),ISNUMBER(SEARCH("　",G24)))),"设备形式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工作温度",""),IF(K24="","",IF(NOT(ISNUMBER(K24)),"工作温度应为数值",IF(OR(K24&lt;0,K24&gt;100),"工作温度应为0～100",""))),IF(L24="","缺少额定功率",""),IF(L24="","",IF(NOT(ISNUMBER(L24)),"额定功率应为数值",IF(L24&lt;=0,"额定功率应大于0",""))),IF(M24="","缺少级数",""),IF(M24="","",IF(NOT(ISNUMBER(M24)),"级数应为数值",IF(OR(M24&lt;=0,MOD(M24,1)&lt;&gt;0),"级数应为正整数",""))),IF(N24="","缺少电泵效率",""),IF(N24="","",IF(NOT(ISNUMBER(N24)),"电泵效率应为数值",IF(OR(N24&lt;1,N24&gt;100),"电泵效率应为1～100的百分数本值",""))),IF(U24="","缺少铭牌照片",""),IF(AND(ISTEXT(V24),OR(V24&lt;&gt;TRIM(V24),ISNUMBER(SEARCH("　",V24)))),"填表备注含首尾空格或全角空格",""),IF(AND(F24="小型潜水电泵",G24&lt;&gt;"",COUNTIF(EV_SUB_FORM_SMALL,G24)=0),"设备形式与小型潜水电泵类别不匹配",""),IF(AND(F24="大中型潜水电泵",G24&lt;&gt;"",COUNTIF(EV_SUB_FORM_LARGE,G24)=0),"设备形式与大中型潜水电泵类别不匹配",""),IF(AND(F24="污水污物潜水电泵",G24&lt;&gt;"",COUNTIF(EV_SUB_FORM_WASTE,G24)=0),"设备形式与污水污物潜水电泵类别不匹配",""),IF(AND(F24="井用潜水电泵",G24&lt;&gt;"",COUNTIF(EV_SUB_FORM_WELL,G24)=0),"设备形式与井用潜水电泵类别不匹配",""),IF(AND(F24="混流潜水电泵",G24&lt;&gt;"",COUNTIF(EV_SUB_FORM_MIXED,G24)=0),"设备形式与混流潜水电泵类别不匹配","")),"")</f>
        <v/>
      </c>
    </row>
    <row r="25" ht="42" customHeight="1" s="184">
      <c r="A25" s="224">
        <f>IF(COUNTA(B25,C25,D25,E25,F25,G25,H25,I25,J25,K25,L25,M25,N25,U25,V25)&gt;0,ROW()-3,"")</f>
        <v/>
      </c>
      <c r="B25" s="176" t="n"/>
      <c r="C25" s="176" t="n"/>
      <c r="D25" s="228" t="n"/>
      <c r="E25" s="176" t="n"/>
      <c r="F25" s="218" t="n"/>
      <c r="G25" s="176" t="n"/>
      <c r="H25" s="229" t="n"/>
      <c r="I25" s="229" t="n"/>
      <c r="J25" s="229" t="n"/>
      <c r="K25" s="237" t="n"/>
      <c r="L25" s="229" t="n"/>
      <c r="M25" s="228" t="n"/>
      <c r="N25" s="229" t="n"/>
      <c r="O25" s="236" t="n"/>
      <c r="P25" s="236" t="n"/>
      <c r="Q25" s="227" t="n"/>
      <c r="R25" s="227" t="n"/>
      <c r="S25" s="227" t="n"/>
      <c r="T25" s="81" t="n"/>
      <c r="U25" s="180" t="n"/>
      <c r="V25" s="180" t="n"/>
      <c r="W25" s="99">
        <f>IF(COUNTA(B25,C25,D25,E25,F25,G25,H25,I25,J25,K25,L25,M25,N25,U25,V25)&gt;0,TEXTJOIN("；",TRUE,IF(B25="","缺少设备名称",""),IF(AND(ISTEXT(B25),OR(B25&lt;&gt;TRIM(B25),ISNUMBER(SEARCH("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",C25)))),"型号含首尾空格或全角空格",""),IF(D25="","缺少数量",""),IF(D25="","",IF(NOT(ISNUMBER(D25)),"数量应为数值",IF(OR(D25&lt;=0,MOD(D25,1)&lt;&gt;0),"数量应为正整数",""))),IF(AND(ISTEXT(E25),OR(E25&lt;&gt;TRIM(E25),ISNUMBER(SEARCH("　",E25)))),"安装位置含首尾空格或全角空格",""),IF(F25="","缺少设备类别",""),IF(F25="","",IF(COUNTIF(EV_SUBMERSIBLE_CATEGORY,F25)=0,"设备类别不在标准枚举中","")),IF(AND(ISTEXT(F25),OR(F25&lt;&gt;TRIM(F25),ISNUMBER(SEARCH("　",F25)))),"设备类别含首尾空格或全角空格",""),IF(G25="","缺少设备形式",""),IF(G25="","",IF(COUNTIF(EV_SUB_FORM_ALL,G25)=0,"设备形式不在标准枚举中","")),IF(AND(ISTEXT(G25),OR(G25&lt;&gt;TRIM(G25),ISNUMBER(SEARCH("　",G25)))),"设备形式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工作温度",""),IF(K25="","",IF(NOT(ISNUMBER(K25)),"工作温度应为数值",IF(OR(K25&lt;0,K25&gt;100),"工作温度应为0～100",""))),IF(L25="","缺少额定功率",""),IF(L25="","",IF(NOT(ISNUMBER(L25)),"额定功率应为数值",IF(L25&lt;=0,"额定功率应大于0",""))),IF(M25="","缺少级数",""),IF(M25="","",IF(NOT(ISNUMBER(M25)),"级数应为数值",IF(OR(M25&lt;=0,MOD(M25,1)&lt;&gt;0),"级数应为正整数",""))),IF(N25="","缺少电泵效率",""),IF(N25="","",IF(NOT(ISNUMBER(N25)),"电泵效率应为数值",IF(OR(N25&lt;1,N25&gt;100),"电泵效率应为1～100的百分数本值",""))),IF(U25="","缺少铭牌照片",""),IF(AND(ISTEXT(V25),OR(V25&lt;&gt;TRIM(V25),ISNUMBER(SEARCH("　",V25)))),"填表备注含首尾空格或全角空格",""),IF(AND(F25="小型潜水电泵",G25&lt;&gt;"",COUNTIF(EV_SUB_FORM_SMALL,G25)=0),"设备形式与小型潜水电泵类别不匹配",""),IF(AND(F25="大中型潜水电泵",G25&lt;&gt;"",COUNTIF(EV_SUB_FORM_LARGE,G25)=0),"设备形式与大中型潜水电泵类别不匹配",""),IF(AND(F25="污水污物潜水电泵",G25&lt;&gt;"",COUNTIF(EV_SUB_FORM_WASTE,G25)=0),"设备形式与污水污物潜水电泵类别不匹配",""),IF(AND(F25="井用潜水电泵",G25&lt;&gt;"",COUNTIF(EV_SUB_FORM_WELL,G25)=0),"设备形式与井用潜水电泵类别不匹配",""),IF(AND(F25="混流潜水电泵",G25&lt;&gt;"",COUNTIF(EV_SUB_FORM_MIXED,G25)=0),"设备形式与混流潜水电泵类别不匹配","")),"")</f>
        <v/>
      </c>
    </row>
    <row r="26" ht="42" customHeight="1" s="184">
      <c r="A26" s="224">
        <f>IF(COUNTA(B26,C26,D26,E26,F26,G26,H26,I26,J26,K26,L26,M26,N26,U26,V26)&gt;0,ROW()-3,"")</f>
        <v/>
      </c>
      <c r="B26" s="176" t="n"/>
      <c r="C26" s="176" t="n"/>
      <c r="D26" s="228" t="n"/>
      <c r="E26" s="176" t="n"/>
      <c r="F26" s="218" t="n"/>
      <c r="G26" s="176" t="n"/>
      <c r="H26" s="229" t="n"/>
      <c r="I26" s="229" t="n"/>
      <c r="J26" s="229" t="n"/>
      <c r="K26" s="237" t="n"/>
      <c r="L26" s="229" t="n"/>
      <c r="M26" s="228" t="n"/>
      <c r="N26" s="229" t="n"/>
      <c r="O26" s="236" t="n"/>
      <c r="P26" s="236" t="n"/>
      <c r="Q26" s="227" t="n"/>
      <c r="R26" s="227" t="n"/>
      <c r="S26" s="227" t="n"/>
      <c r="T26" s="81" t="n"/>
      <c r="U26" s="180" t="n"/>
      <c r="V26" s="180" t="n"/>
      <c r="W26" s="99">
        <f>IF(COUNTA(B26,C26,D26,E26,F26,G26,H26,I26,J26,K26,L26,M26,N26,U26,V26)&gt;0,TEXTJOIN("；",TRUE,IF(B26="","缺少设备名称",""),IF(AND(ISTEXT(B26),OR(B26&lt;&gt;TRIM(B26),ISNUMBER(SEARCH("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",C26)))),"型号含首尾空格或全角空格",""),IF(D26="","缺少数量",""),IF(D26="","",IF(NOT(ISNUMBER(D26)),"数量应为数值",IF(OR(D26&lt;=0,MOD(D26,1)&lt;&gt;0),"数量应为正整数",""))),IF(AND(ISTEXT(E26),OR(E26&lt;&gt;TRIM(E26),ISNUMBER(SEARCH("　",E26)))),"安装位置含首尾空格或全角空格",""),IF(F26="","缺少设备类别",""),IF(F26="","",IF(COUNTIF(EV_SUBMERSIBLE_CATEGORY,F26)=0,"设备类别不在标准枚举中","")),IF(AND(ISTEXT(F26),OR(F26&lt;&gt;TRIM(F26),ISNUMBER(SEARCH("　",F26)))),"设备类别含首尾空格或全角空格",""),IF(G26="","缺少设备形式",""),IF(G26="","",IF(COUNTIF(EV_SUB_FORM_ALL,G26)=0,"设备形式不在标准枚举中","")),IF(AND(ISTEXT(G26),OR(G26&lt;&gt;TRIM(G26),ISNUMBER(SEARCH("　",G26)))),"设备形式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工作温度",""),IF(K26="","",IF(NOT(ISNUMBER(K26)),"工作温度应为数值",IF(OR(K26&lt;0,K26&gt;100),"工作温度应为0～100",""))),IF(L26="","缺少额定功率",""),IF(L26="","",IF(NOT(ISNUMBER(L26)),"额定功率应为数值",IF(L26&lt;=0,"额定功率应大于0",""))),IF(M26="","缺少级数",""),IF(M26="","",IF(NOT(ISNUMBER(M26)),"级数应为数值",IF(OR(M26&lt;=0,MOD(M26,1)&lt;&gt;0),"级数应为正整数",""))),IF(N26="","缺少电泵效率",""),IF(N26="","",IF(NOT(ISNUMBER(N26)),"电泵效率应为数值",IF(OR(N26&lt;1,N26&gt;100),"电泵效率应为1～100的百分数本值",""))),IF(U26="","缺少铭牌照片",""),IF(AND(ISTEXT(V26),OR(V26&lt;&gt;TRIM(V26),ISNUMBER(SEARCH("　",V26)))),"填表备注含首尾空格或全角空格",""),IF(AND(F26="小型潜水电泵",G26&lt;&gt;"",COUNTIF(EV_SUB_FORM_SMALL,G26)=0),"设备形式与小型潜水电泵类别不匹配",""),IF(AND(F26="大中型潜水电泵",G26&lt;&gt;"",COUNTIF(EV_SUB_FORM_LARGE,G26)=0),"设备形式与大中型潜水电泵类别不匹配",""),IF(AND(F26="污水污物潜水电泵",G26&lt;&gt;"",COUNTIF(EV_SUB_FORM_WASTE,G26)=0),"设备形式与污水污物潜水电泵类别不匹配",""),IF(AND(F26="井用潜水电泵",G26&lt;&gt;"",COUNTIF(EV_SUB_FORM_WELL,G26)=0),"设备形式与井用潜水电泵类别不匹配",""),IF(AND(F26="混流潜水电泵",G26&lt;&gt;"",COUNTIF(EV_SUB_FORM_MIXED,G26)=0),"设备形式与混流潜水电泵类别不匹配","")),"")</f>
        <v/>
      </c>
    </row>
    <row r="27" ht="42" customHeight="1" s="184">
      <c r="A27" s="224">
        <f>IF(COUNTA(B27,C27,D27,E27,F27,G27,H27,I27,J27,K27,L27,M27,N27,U27,V27)&gt;0,ROW()-3,"")</f>
        <v/>
      </c>
      <c r="B27" s="176" t="n"/>
      <c r="C27" s="176" t="n"/>
      <c r="D27" s="228" t="n"/>
      <c r="E27" s="176" t="n"/>
      <c r="F27" s="218" t="n"/>
      <c r="G27" s="176" t="n"/>
      <c r="H27" s="229" t="n"/>
      <c r="I27" s="229" t="n"/>
      <c r="J27" s="229" t="n"/>
      <c r="K27" s="237" t="n"/>
      <c r="L27" s="229" t="n"/>
      <c r="M27" s="228" t="n"/>
      <c r="N27" s="229" t="n"/>
      <c r="O27" s="236" t="n"/>
      <c r="P27" s="236" t="n"/>
      <c r="Q27" s="227" t="n"/>
      <c r="R27" s="227" t="n"/>
      <c r="S27" s="227" t="n"/>
      <c r="T27" s="81" t="n"/>
      <c r="U27" s="180" t="n"/>
      <c r="V27" s="180" t="n"/>
      <c r="W27" s="99">
        <f>IF(COUNTA(B27,C27,D27,E27,F27,G27,H27,I27,J27,K27,L27,M27,N27,U27,V27)&gt;0,TEXTJOIN("；",TRUE,IF(B27="","缺少设备名称",""),IF(AND(ISTEXT(B27),OR(B27&lt;&gt;TRIM(B27),ISNUMBER(SEARCH("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",C27)))),"型号含首尾空格或全角空格",""),IF(D27="","缺少数量",""),IF(D27="","",IF(NOT(ISNUMBER(D27)),"数量应为数值",IF(OR(D27&lt;=0,MOD(D27,1)&lt;&gt;0),"数量应为正整数",""))),IF(AND(ISTEXT(E27),OR(E27&lt;&gt;TRIM(E27),ISNUMBER(SEARCH("　",E27)))),"安装位置含首尾空格或全角空格",""),IF(F27="","缺少设备类别",""),IF(F27="","",IF(COUNTIF(EV_SUBMERSIBLE_CATEGORY,F27)=0,"设备类别不在标准枚举中","")),IF(AND(ISTEXT(F27),OR(F27&lt;&gt;TRIM(F27),ISNUMBER(SEARCH("　",F27)))),"设备类别含首尾空格或全角空格",""),IF(G27="","缺少设备形式",""),IF(G27="","",IF(COUNTIF(EV_SUB_FORM_ALL,G27)=0,"设备形式不在标准枚举中","")),IF(AND(ISTEXT(G27),OR(G27&lt;&gt;TRIM(G27),ISNUMBER(SEARCH("　",G27)))),"设备形式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工作温度",""),IF(K27="","",IF(NOT(ISNUMBER(K27)),"工作温度应为数值",IF(OR(K27&lt;0,K27&gt;100),"工作温度应为0～100",""))),IF(L27="","缺少额定功率",""),IF(L27="","",IF(NOT(ISNUMBER(L27)),"额定功率应为数值",IF(L27&lt;=0,"额定功率应大于0",""))),IF(M27="","缺少级数",""),IF(M27="","",IF(NOT(ISNUMBER(M27)),"级数应为数值",IF(OR(M27&lt;=0,MOD(M27,1)&lt;&gt;0),"级数应为正整数",""))),IF(N27="","缺少电泵效率",""),IF(N27="","",IF(NOT(ISNUMBER(N27)),"电泵效率应为数值",IF(OR(N27&lt;1,N27&gt;100),"电泵效率应为1～100的百分数本值",""))),IF(U27="","缺少铭牌照片",""),IF(AND(ISTEXT(V27),OR(V27&lt;&gt;TRIM(V27),ISNUMBER(SEARCH("　",V27)))),"填表备注含首尾空格或全角空格",""),IF(AND(F27="小型潜水电泵",G27&lt;&gt;"",COUNTIF(EV_SUB_FORM_SMALL,G27)=0),"设备形式与小型潜水电泵类别不匹配",""),IF(AND(F27="大中型潜水电泵",G27&lt;&gt;"",COUNTIF(EV_SUB_FORM_LARGE,G27)=0),"设备形式与大中型潜水电泵类别不匹配",""),IF(AND(F27="污水污物潜水电泵",G27&lt;&gt;"",COUNTIF(EV_SUB_FORM_WASTE,G27)=0),"设备形式与污水污物潜水电泵类别不匹配",""),IF(AND(F27="井用潜水电泵",G27&lt;&gt;"",COUNTIF(EV_SUB_FORM_WELL,G27)=0),"设备形式与井用潜水电泵类别不匹配",""),IF(AND(F27="混流潜水电泵",G27&lt;&gt;"",COUNTIF(EV_SUB_FORM_MIXED,G27)=0),"设备形式与混流潜水电泵类别不匹配","")),"")</f>
        <v/>
      </c>
    </row>
    <row r="28" ht="42" customHeight="1" s="184">
      <c r="A28" s="224">
        <f>IF(COUNTA(B28,C28,D28,E28,F28,G28,H28,I28,J28,K28,L28,M28,N28,U28,V28)&gt;0,ROW()-3,"")</f>
        <v/>
      </c>
      <c r="B28" s="176" t="n"/>
      <c r="C28" s="176" t="n"/>
      <c r="D28" s="228" t="n"/>
      <c r="E28" s="176" t="n"/>
      <c r="F28" s="218" t="n"/>
      <c r="G28" s="176" t="n"/>
      <c r="H28" s="229" t="n"/>
      <c r="I28" s="229" t="n"/>
      <c r="J28" s="229" t="n"/>
      <c r="K28" s="237" t="n"/>
      <c r="L28" s="229" t="n"/>
      <c r="M28" s="228" t="n"/>
      <c r="N28" s="229" t="n"/>
      <c r="O28" s="236" t="n"/>
      <c r="P28" s="236" t="n"/>
      <c r="Q28" s="227" t="n"/>
      <c r="R28" s="227" t="n"/>
      <c r="S28" s="227" t="n"/>
      <c r="T28" s="81" t="n"/>
      <c r="U28" s="180" t="n"/>
      <c r="V28" s="180" t="n"/>
      <c r="W28" s="99">
        <f>IF(COUNTA(B28,C28,D28,E28,F28,G28,H28,I28,J28,K28,L28,M28,N28,U28,V28)&gt;0,TEXTJOIN("；",TRUE,IF(B28="","缺少设备名称",""),IF(AND(ISTEXT(B28),OR(B28&lt;&gt;TRIM(B28),ISNUMBER(SEARCH("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",C28)))),"型号含首尾空格或全角空格",""),IF(D28="","缺少数量",""),IF(D28="","",IF(NOT(ISNUMBER(D28)),"数量应为数值",IF(OR(D28&lt;=0,MOD(D28,1)&lt;&gt;0),"数量应为正整数",""))),IF(AND(ISTEXT(E28),OR(E28&lt;&gt;TRIM(E28),ISNUMBER(SEARCH("　",E28)))),"安装位置含首尾空格或全角空格",""),IF(F28="","缺少设备类别",""),IF(F28="","",IF(COUNTIF(EV_SUBMERSIBLE_CATEGORY,F28)=0,"设备类别不在标准枚举中","")),IF(AND(ISTEXT(F28),OR(F28&lt;&gt;TRIM(F28),ISNUMBER(SEARCH("　",F28)))),"设备类别含首尾空格或全角空格",""),IF(G28="","缺少设备形式",""),IF(G28="","",IF(COUNTIF(EV_SUB_FORM_ALL,G28)=0,"设备形式不在标准枚举中","")),IF(AND(ISTEXT(G28),OR(G28&lt;&gt;TRIM(G28),ISNUMBER(SEARCH("　",G28)))),"设备形式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工作温度",""),IF(K28="","",IF(NOT(ISNUMBER(K28)),"工作温度应为数值",IF(OR(K28&lt;0,K28&gt;100),"工作温度应为0～100",""))),IF(L28="","缺少额定功率",""),IF(L28="","",IF(NOT(ISNUMBER(L28)),"额定功率应为数值",IF(L28&lt;=0,"额定功率应大于0",""))),IF(M28="","缺少级数",""),IF(M28="","",IF(NOT(ISNUMBER(M28)),"级数应为数值",IF(OR(M28&lt;=0,MOD(M28,1)&lt;&gt;0),"级数应为正整数",""))),IF(N28="","缺少电泵效率",""),IF(N28="","",IF(NOT(ISNUMBER(N28)),"电泵效率应为数值",IF(OR(N28&lt;1,N28&gt;100),"电泵效率应为1～100的百分数本值",""))),IF(U28="","缺少铭牌照片",""),IF(AND(ISTEXT(V28),OR(V28&lt;&gt;TRIM(V28),ISNUMBER(SEARCH("　",V28)))),"填表备注含首尾空格或全角空格",""),IF(AND(F28="小型潜水电泵",G28&lt;&gt;"",COUNTIF(EV_SUB_FORM_SMALL,G28)=0),"设备形式与小型潜水电泵类别不匹配",""),IF(AND(F28="大中型潜水电泵",G28&lt;&gt;"",COUNTIF(EV_SUB_FORM_LARGE,G28)=0),"设备形式与大中型潜水电泵类别不匹配",""),IF(AND(F28="污水污物潜水电泵",G28&lt;&gt;"",COUNTIF(EV_SUB_FORM_WASTE,G28)=0),"设备形式与污水污物潜水电泵类别不匹配",""),IF(AND(F28="井用潜水电泵",G28&lt;&gt;"",COUNTIF(EV_SUB_FORM_WELL,G28)=0),"设备形式与井用潜水电泵类别不匹配",""),IF(AND(F28="混流潜水电泵",G28&lt;&gt;"",COUNTIF(EV_SUB_FORM_MIXED,G28)=0),"设备形式与混流潜水电泵类别不匹配","")),"")</f>
        <v/>
      </c>
    </row>
    <row r="29" ht="42" customHeight="1" s="184">
      <c r="A29" s="224">
        <f>IF(COUNTA(B29,C29,D29,E29,F29,G29,H29,I29,J29,K29,L29,M29,N29,U29,V29)&gt;0,ROW()-3,"")</f>
        <v/>
      </c>
      <c r="B29" s="176" t="n"/>
      <c r="C29" s="176" t="n"/>
      <c r="D29" s="228" t="n"/>
      <c r="E29" s="176" t="n"/>
      <c r="F29" s="218" t="n"/>
      <c r="G29" s="176" t="n"/>
      <c r="H29" s="229" t="n"/>
      <c r="I29" s="229" t="n"/>
      <c r="J29" s="229" t="n"/>
      <c r="K29" s="237" t="n"/>
      <c r="L29" s="229" t="n"/>
      <c r="M29" s="228" t="n"/>
      <c r="N29" s="229" t="n"/>
      <c r="O29" s="236" t="n"/>
      <c r="P29" s="236" t="n"/>
      <c r="Q29" s="227" t="n"/>
      <c r="R29" s="227" t="n"/>
      <c r="S29" s="227" t="n"/>
      <c r="T29" s="81" t="n"/>
      <c r="U29" s="180" t="n"/>
      <c r="V29" s="180" t="n"/>
      <c r="W29" s="99">
        <f>IF(COUNTA(B29,C29,D29,E29,F29,G29,H29,I29,J29,K29,L29,M29,N29,U29,V29)&gt;0,TEXTJOIN("；",TRUE,IF(B29="","缺少设备名称",""),IF(AND(ISTEXT(B29),OR(B29&lt;&gt;TRIM(B29),ISNUMBER(SEARCH("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",C29)))),"型号含首尾空格或全角空格",""),IF(D29="","缺少数量",""),IF(D29="","",IF(NOT(ISNUMBER(D29)),"数量应为数值",IF(OR(D29&lt;=0,MOD(D29,1)&lt;&gt;0),"数量应为正整数",""))),IF(AND(ISTEXT(E29),OR(E29&lt;&gt;TRIM(E29),ISNUMBER(SEARCH("　",E29)))),"安装位置含首尾空格或全角空格",""),IF(F29="","缺少设备类别",""),IF(F29="","",IF(COUNTIF(EV_SUBMERSIBLE_CATEGORY,F29)=0,"设备类别不在标准枚举中","")),IF(AND(ISTEXT(F29),OR(F29&lt;&gt;TRIM(F29),ISNUMBER(SEARCH("　",F29)))),"设备类别含首尾空格或全角空格",""),IF(G29="","缺少设备形式",""),IF(G29="","",IF(COUNTIF(EV_SUB_FORM_ALL,G29)=0,"设备形式不在标准枚举中","")),IF(AND(ISTEXT(G29),OR(G29&lt;&gt;TRIM(G29),ISNUMBER(SEARCH("　",G29)))),"设备形式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工作温度",""),IF(K29="","",IF(NOT(ISNUMBER(K29)),"工作温度应为数值",IF(OR(K29&lt;0,K29&gt;100),"工作温度应为0～100",""))),IF(L29="","缺少额定功率",""),IF(L29="","",IF(NOT(ISNUMBER(L29)),"额定功率应为数值",IF(L29&lt;=0,"额定功率应大于0",""))),IF(M29="","缺少级数",""),IF(M29="","",IF(NOT(ISNUMBER(M29)),"级数应为数值",IF(OR(M29&lt;=0,MOD(M29,1)&lt;&gt;0),"级数应为正整数",""))),IF(N29="","缺少电泵效率",""),IF(N29="","",IF(NOT(ISNUMBER(N29)),"电泵效率应为数值",IF(OR(N29&lt;1,N29&gt;100),"电泵效率应为1～100的百分数本值",""))),IF(U29="","缺少铭牌照片",""),IF(AND(ISTEXT(V29),OR(V29&lt;&gt;TRIM(V29),ISNUMBER(SEARCH("　",V29)))),"填表备注含首尾空格或全角空格",""),IF(AND(F29="小型潜水电泵",G29&lt;&gt;"",COUNTIF(EV_SUB_FORM_SMALL,G29)=0),"设备形式与小型潜水电泵类别不匹配",""),IF(AND(F29="大中型潜水电泵",G29&lt;&gt;"",COUNTIF(EV_SUB_FORM_LARGE,G29)=0),"设备形式与大中型潜水电泵类别不匹配",""),IF(AND(F29="污水污物潜水电泵",G29&lt;&gt;"",COUNTIF(EV_SUB_FORM_WASTE,G29)=0),"设备形式与污水污物潜水电泵类别不匹配",""),IF(AND(F29="井用潜水电泵",G29&lt;&gt;"",COUNTIF(EV_SUB_FORM_WELL,G29)=0),"设备形式与井用潜水电泵类别不匹配",""),IF(AND(F29="混流潜水电泵",G29&lt;&gt;"",COUNTIF(EV_SUB_FORM_MIXED,G29)=0),"设备形式与混流潜水电泵类别不匹配","")),"")</f>
        <v/>
      </c>
    </row>
    <row r="30" ht="42" customHeight="1" s="184">
      <c r="A30" s="224">
        <f>IF(COUNTA(B30,C30,D30,E30,F30,G30,H30,I30,J30,K30,L30,M30,N30,U30,V30)&gt;0,ROW()-3,"")</f>
        <v/>
      </c>
      <c r="B30" s="176" t="n"/>
      <c r="C30" s="176" t="n"/>
      <c r="D30" s="228" t="n"/>
      <c r="E30" s="176" t="n"/>
      <c r="F30" s="218" t="n"/>
      <c r="G30" s="176" t="n"/>
      <c r="H30" s="229" t="n"/>
      <c r="I30" s="229" t="n"/>
      <c r="J30" s="229" t="n"/>
      <c r="K30" s="237" t="n"/>
      <c r="L30" s="229" t="n"/>
      <c r="M30" s="228" t="n"/>
      <c r="N30" s="229" t="n"/>
      <c r="O30" s="236" t="n"/>
      <c r="P30" s="236" t="n"/>
      <c r="Q30" s="227" t="n"/>
      <c r="R30" s="227" t="n"/>
      <c r="S30" s="227" t="n"/>
      <c r="T30" s="81" t="n"/>
      <c r="U30" s="180" t="n"/>
      <c r="V30" s="180" t="n"/>
      <c r="W30" s="99">
        <f>IF(COUNTA(B30,C30,D30,E30,F30,G30,H30,I30,J30,K30,L30,M30,N30,U30,V30)&gt;0,TEXTJOIN("；",TRUE,IF(B30="","缺少设备名称",""),IF(AND(ISTEXT(B30),OR(B30&lt;&gt;TRIM(B30),ISNUMBER(SEARCH("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",C30)))),"型号含首尾空格或全角空格",""),IF(D30="","缺少数量",""),IF(D30="","",IF(NOT(ISNUMBER(D30)),"数量应为数值",IF(OR(D30&lt;=0,MOD(D30,1)&lt;&gt;0),"数量应为正整数",""))),IF(AND(ISTEXT(E30),OR(E30&lt;&gt;TRIM(E30),ISNUMBER(SEARCH("　",E30)))),"安装位置含首尾空格或全角空格",""),IF(F30="","缺少设备类别",""),IF(F30="","",IF(COUNTIF(EV_SUBMERSIBLE_CATEGORY,F30)=0,"设备类别不在标准枚举中","")),IF(AND(ISTEXT(F30),OR(F30&lt;&gt;TRIM(F30),ISNUMBER(SEARCH("　",F30)))),"设备类别含首尾空格或全角空格",""),IF(G30="","缺少设备形式",""),IF(G30="","",IF(COUNTIF(EV_SUB_FORM_ALL,G30)=0,"设备形式不在标准枚举中","")),IF(AND(ISTEXT(G30),OR(G30&lt;&gt;TRIM(G30),ISNUMBER(SEARCH("　",G30)))),"设备形式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工作温度",""),IF(K30="","",IF(NOT(ISNUMBER(K30)),"工作温度应为数值",IF(OR(K30&lt;0,K30&gt;100),"工作温度应为0～100",""))),IF(L30="","缺少额定功率",""),IF(L30="","",IF(NOT(ISNUMBER(L30)),"额定功率应为数值",IF(L30&lt;=0,"额定功率应大于0",""))),IF(M30="","缺少级数",""),IF(M30="","",IF(NOT(ISNUMBER(M30)),"级数应为数值",IF(OR(M30&lt;=0,MOD(M30,1)&lt;&gt;0),"级数应为正整数",""))),IF(N30="","缺少电泵效率",""),IF(N30="","",IF(NOT(ISNUMBER(N30)),"电泵效率应为数值",IF(OR(N30&lt;1,N30&gt;100),"电泵效率应为1～100的百分数本值",""))),IF(U30="","缺少铭牌照片",""),IF(AND(ISTEXT(V30),OR(V30&lt;&gt;TRIM(V30),ISNUMBER(SEARCH("　",V30)))),"填表备注含首尾空格或全角空格",""),IF(AND(F30="小型潜水电泵",G30&lt;&gt;"",COUNTIF(EV_SUB_FORM_SMALL,G30)=0),"设备形式与小型潜水电泵类别不匹配",""),IF(AND(F30="大中型潜水电泵",G30&lt;&gt;"",COUNTIF(EV_SUB_FORM_LARGE,G30)=0),"设备形式与大中型潜水电泵类别不匹配",""),IF(AND(F30="污水污物潜水电泵",G30&lt;&gt;"",COUNTIF(EV_SUB_FORM_WASTE,G30)=0),"设备形式与污水污物潜水电泵类别不匹配",""),IF(AND(F30="井用潜水电泵",G30&lt;&gt;"",COUNTIF(EV_SUB_FORM_WELL,G30)=0),"设备形式与井用潜水电泵类别不匹配",""),IF(AND(F30="混流潜水电泵",G30&lt;&gt;"",COUNTIF(EV_SUB_FORM_MIXED,G30)=0),"设备形式与混流潜水电泵类别不匹配","")),"")</f>
        <v/>
      </c>
    </row>
    <row r="31" ht="42" customHeight="1" s="184">
      <c r="A31" s="224">
        <f>IF(COUNTA(B31,C31,D31,E31,F31,G31,H31,I31,J31,K31,L31,M31,N31,U31,V31)&gt;0,ROW()-3,"")</f>
        <v/>
      </c>
      <c r="B31" s="176" t="n"/>
      <c r="C31" s="176" t="n"/>
      <c r="D31" s="228" t="n"/>
      <c r="E31" s="176" t="n"/>
      <c r="F31" s="218" t="n"/>
      <c r="G31" s="176" t="n"/>
      <c r="H31" s="229" t="n"/>
      <c r="I31" s="229" t="n"/>
      <c r="J31" s="229" t="n"/>
      <c r="K31" s="237" t="n"/>
      <c r="L31" s="229" t="n"/>
      <c r="M31" s="228" t="n"/>
      <c r="N31" s="229" t="n"/>
      <c r="O31" s="236" t="n"/>
      <c r="P31" s="236" t="n"/>
      <c r="Q31" s="227" t="n"/>
      <c r="R31" s="227" t="n"/>
      <c r="S31" s="227" t="n"/>
      <c r="T31" s="81" t="n"/>
      <c r="U31" s="180" t="n"/>
      <c r="V31" s="180" t="n"/>
      <c r="W31" s="99">
        <f>IF(COUNTA(B31,C31,D31,E31,F31,G31,H31,I31,J31,K31,L31,M31,N31,U31,V31)&gt;0,TEXTJOIN("；",TRUE,IF(B31="","缺少设备名称",""),IF(AND(ISTEXT(B31),OR(B31&lt;&gt;TRIM(B31),ISNUMBER(SEARCH("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",C31)))),"型号含首尾空格或全角空格",""),IF(D31="","缺少数量",""),IF(D31="","",IF(NOT(ISNUMBER(D31)),"数量应为数值",IF(OR(D31&lt;=0,MOD(D31,1)&lt;&gt;0),"数量应为正整数",""))),IF(AND(ISTEXT(E31),OR(E31&lt;&gt;TRIM(E31),ISNUMBER(SEARCH("　",E31)))),"安装位置含首尾空格或全角空格",""),IF(F31="","缺少设备类别",""),IF(F31="","",IF(COUNTIF(EV_SUBMERSIBLE_CATEGORY,F31)=0,"设备类别不在标准枚举中","")),IF(AND(ISTEXT(F31),OR(F31&lt;&gt;TRIM(F31),ISNUMBER(SEARCH("　",F31)))),"设备类别含首尾空格或全角空格",""),IF(G31="","缺少设备形式",""),IF(G31="","",IF(COUNTIF(EV_SUB_FORM_ALL,G31)=0,"设备形式不在标准枚举中","")),IF(AND(ISTEXT(G31),OR(G31&lt;&gt;TRIM(G31),ISNUMBER(SEARCH("　",G31)))),"设备形式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工作温度",""),IF(K31="","",IF(NOT(ISNUMBER(K31)),"工作温度应为数值",IF(OR(K31&lt;0,K31&gt;100),"工作温度应为0～100",""))),IF(L31="","缺少额定功率",""),IF(L31="","",IF(NOT(ISNUMBER(L31)),"额定功率应为数值",IF(L31&lt;=0,"额定功率应大于0",""))),IF(M31="","缺少级数",""),IF(M31="","",IF(NOT(ISNUMBER(M31)),"级数应为数值",IF(OR(M31&lt;=0,MOD(M31,1)&lt;&gt;0),"级数应为正整数",""))),IF(N31="","缺少电泵效率",""),IF(N31="","",IF(NOT(ISNUMBER(N31)),"电泵效率应为数值",IF(OR(N31&lt;1,N31&gt;100),"电泵效率应为1～100的百分数本值",""))),IF(U31="","缺少铭牌照片",""),IF(AND(ISTEXT(V31),OR(V31&lt;&gt;TRIM(V31),ISNUMBER(SEARCH("　",V31)))),"填表备注含首尾空格或全角空格",""),IF(AND(F31="小型潜水电泵",G31&lt;&gt;"",COUNTIF(EV_SUB_FORM_SMALL,G31)=0),"设备形式与小型潜水电泵类别不匹配",""),IF(AND(F31="大中型潜水电泵",G31&lt;&gt;"",COUNTIF(EV_SUB_FORM_LARGE,G31)=0),"设备形式与大中型潜水电泵类别不匹配",""),IF(AND(F31="污水污物潜水电泵",G31&lt;&gt;"",COUNTIF(EV_SUB_FORM_WASTE,G31)=0),"设备形式与污水污物潜水电泵类别不匹配",""),IF(AND(F31="井用潜水电泵",G31&lt;&gt;"",COUNTIF(EV_SUB_FORM_WELL,G31)=0),"设备形式与井用潜水电泵类别不匹配",""),IF(AND(F31="混流潜水电泵",G31&lt;&gt;"",COUNTIF(EV_SUB_FORM_MIXED,G31)=0),"设备形式与混流潜水电泵类别不匹配","")),"")</f>
        <v/>
      </c>
    </row>
    <row r="32" ht="42" customHeight="1" s="184">
      <c r="A32" s="224">
        <f>IF(COUNTA(B32,C32,D32,E32,F32,G32,H32,I32,J32,K32,L32,M32,N32,U32,V32)&gt;0,ROW()-3,"")</f>
        <v/>
      </c>
      <c r="B32" s="176" t="n"/>
      <c r="C32" s="176" t="n"/>
      <c r="D32" s="228" t="n"/>
      <c r="E32" s="176" t="n"/>
      <c r="F32" s="218" t="n"/>
      <c r="G32" s="176" t="n"/>
      <c r="H32" s="229" t="n"/>
      <c r="I32" s="229" t="n"/>
      <c r="J32" s="229" t="n"/>
      <c r="K32" s="237" t="n"/>
      <c r="L32" s="229" t="n"/>
      <c r="M32" s="228" t="n"/>
      <c r="N32" s="229" t="n"/>
      <c r="O32" s="236" t="n"/>
      <c r="P32" s="236" t="n"/>
      <c r="Q32" s="227" t="n"/>
      <c r="R32" s="227" t="n"/>
      <c r="S32" s="227" t="n"/>
      <c r="T32" s="81" t="n"/>
      <c r="U32" s="180" t="n"/>
      <c r="V32" s="180" t="n"/>
      <c r="W32" s="99">
        <f>IF(COUNTA(B32,C32,D32,E32,F32,G32,H32,I32,J32,K32,L32,M32,N32,U32,V32)&gt;0,TEXTJOIN("；",TRUE,IF(B32="","缺少设备名称",""),IF(AND(ISTEXT(B32),OR(B32&lt;&gt;TRIM(B32),ISNUMBER(SEARCH("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",C32)))),"型号含首尾空格或全角空格",""),IF(D32="","缺少数量",""),IF(D32="","",IF(NOT(ISNUMBER(D32)),"数量应为数值",IF(OR(D32&lt;=0,MOD(D32,1)&lt;&gt;0),"数量应为正整数",""))),IF(AND(ISTEXT(E32),OR(E32&lt;&gt;TRIM(E32),ISNUMBER(SEARCH("　",E32)))),"安装位置含首尾空格或全角空格",""),IF(F32="","缺少设备类别",""),IF(F32="","",IF(COUNTIF(EV_SUBMERSIBLE_CATEGORY,F32)=0,"设备类别不在标准枚举中","")),IF(AND(ISTEXT(F32),OR(F32&lt;&gt;TRIM(F32),ISNUMBER(SEARCH("　",F32)))),"设备类别含首尾空格或全角空格",""),IF(G32="","缺少设备形式",""),IF(G32="","",IF(COUNTIF(EV_SUB_FORM_ALL,G32)=0,"设备形式不在标准枚举中","")),IF(AND(ISTEXT(G32),OR(G32&lt;&gt;TRIM(G32),ISNUMBER(SEARCH("　",G32)))),"设备形式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工作温度",""),IF(K32="","",IF(NOT(ISNUMBER(K32)),"工作温度应为数值",IF(OR(K32&lt;0,K32&gt;100),"工作温度应为0～100",""))),IF(L32="","缺少额定功率",""),IF(L32="","",IF(NOT(ISNUMBER(L32)),"额定功率应为数值",IF(L32&lt;=0,"额定功率应大于0",""))),IF(M32="","缺少级数",""),IF(M32="","",IF(NOT(ISNUMBER(M32)),"级数应为数值",IF(OR(M32&lt;=0,MOD(M32,1)&lt;&gt;0),"级数应为正整数",""))),IF(N32="","缺少电泵效率",""),IF(N32="","",IF(NOT(ISNUMBER(N32)),"电泵效率应为数值",IF(OR(N32&lt;1,N32&gt;100),"电泵效率应为1～100的百分数本值",""))),IF(U32="","缺少铭牌照片",""),IF(AND(ISTEXT(V32),OR(V32&lt;&gt;TRIM(V32),ISNUMBER(SEARCH("　",V32)))),"填表备注含首尾空格或全角空格",""),IF(AND(F32="小型潜水电泵",G32&lt;&gt;"",COUNTIF(EV_SUB_FORM_SMALL,G32)=0),"设备形式与小型潜水电泵类别不匹配",""),IF(AND(F32="大中型潜水电泵",G32&lt;&gt;"",COUNTIF(EV_SUB_FORM_LARGE,G32)=0),"设备形式与大中型潜水电泵类别不匹配",""),IF(AND(F32="污水污物潜水电泵",G32&lt;&gt;"",COUNTIF(EV_SUB_FORM_WASTE,G32)=0),"设备形式与污水污物潜水电泵类别不匹配",""),IF(AND(F32="井用潜水电泵",G32&lt;&gt;"",COUNTIF(EV_SUB_FORM_WELL,G32)=0),"设备形式与井用潜水电泵类别不匹配",""),IF(AND(F32="混流潜水电泵",G32&lt;&gt;"",COUNTIF(EV_SUB_FORM_MIXED,G32)=0),"设备形式与混流潜水电泵类别不匹配","")),"")</f>
        <v/>
      </c>
    </row>
    <row r="33" ht="42" customHeight="1" s="184">
      <c r="A33" s="224">
        <f>IF(COUNTA(B33,C33,D33,E33,F33,G33,H33,I33,J33,K33,L33,M33,N33,U33,V33)&gt;0,ROW()-3,"")</f>
        <v/>
      </c>
      <c r="B33" s="176" t="n"/>
      <c r="C33" s="176" t="n"/>
      <c r="D33" s="228" t="n"/>
      <c r="E33" s="176" t="n"/>
      <c r="F33" s="218" t="n"/>
      <c r="G33" s="176" t="n"/>
      <c r="H33" s="229" t="n"/>
      <c r="I33" s="229" t="n"/>
      <c r="J33" s="229" t="n"/>
      <c r="K33" s="237" t="n"/>
      <c r="L33" s="229" t="n"/>
      <c r="M33" s="228" t="n"/>
      <c r="N33" s="229" t="n"/>
      <c r="O33" s="236" t="n"/>
      <c r="P33" s="236" t="n"/>
      <c r="Q33" s="227" t="n"/>
      <c r="R33" s="227" t="n"/>
      <c r="S33" s="227" t="n"/>
      <c r="T33" s="81" t="n"/>
      <c r="U33" s="180" t="n"/>
      <c r="V33" s="180" t="n"/>
      <c r="W33" s="99">
        <f>IF(COUNTA(B33,C33,D33,E33,F33,G33,H33,I33,J33,K33,L33,M33,N33,U33,V33)&gt;0,TEXTJOIN("；",TRUE,IF(B33="","缺少设备名称",""),IF(AND(ISTEXT(B33),OR(B33&lt;&gt;TRIM(B33),ISNUMBER(SEARCH("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",C33)))),"型号含首尾空格或全角空格",""),IF(D33="","缺少数量",""),IF(D33="","",IF(NOT(ISNUMBER(D33)),"数量应为数值",IF(OR(D33&lt;=0,MOD(D33,1)&lt;&gt;0),"数量应为正整数",""))),IF(AND(ISTEXT(E33),OR(E33&lt;&gt;TRIM(E33),ISNUMBER(SEARCH("　",E33)))),"安装位置含首尾空格或全角空格",""),IF(F33="","缺少设备类别",""),IF(F33="","",IF(COUNTIF(EV_SUBMERSIBLE_CATEGORY,F33)=0,"设备类别不在标准枚举中","")),IF(AND(ISTEXT(F33),OR(F33&lt;&gt;TRIM(F33),ISNUMBER(SEARCH("　",F33)))),"设备类别含首尾空格或全角空格",""),IF(G33="","缺少设备形式",""),IF(G33="","",IF(COUNTIF(EV_SUB_FORM_ALL,G33)=0,"设备形式不在标准枚举中","")),IF(AND(ISTEXT(G33),OR(G33&lt;&gt;TRIM(G33),ISNUMBER(SEARCH("　",G33)))),"设备形式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工作温度",""),IF(K33="","",IF(NOT(ISNUMBER(K33)),"工作温度应为数值",IF(OR(K33&lt;0,K33&gt;100),"工作温度应为0～100",""))),IF(L33="","缺少额定功率",""),IF(L33="","",IF(NOT(ISNUMBER(L33)),"额定功率应为数值",IF(L33&lt;=0,"额定功率应大于0",""))),IF(M33="","缺少级数",""),IF(M33="","",IF(NOT(ISNUMBER(M33)),"级数应为数值",IF(OR(M33&lt;=0,MOD(M33,1)&lt;&gt;0),"级数应为正整数",""))),IF(N33="","缺少电泵效率",""),IF(N33="","",IF(NOT(ISNUMBER(N33)),"电泵效率应为数值",IF(OR(N33&lt;1,N33&gt;100),"电泵效率应为1～100的百分数本值",""))),IF(U33="","缺少铭牌照片",""),IF(AND(ISTEXT(V33),OR(V33&lt;&gt;TRIM(V33),ISNUMBER(SEARCH("　",V33)))),"填表备注含首尾空格或全角空格",""),IF(AND(F33="小型潜水电泵",G33&lt;&gt;"",COUNTIF(EV_SUB_FORM_SMALL,G33)=0),"设备形式与小型潜水电泵类别不匹配",""),IF(AND(F33="大中型潜水电泵",G33&lt;&gt;"",COUNTIF(EV_SUB_FORM_LARGE,G33)=0),"设备形式与大中型潜水电泵类别不匹配",""),IF(AND(F33="污水污物潜水电泵",G33&lt;&gt;"",COUNTIF(EV_SUB_FORM_WASTE,G33)=0),"设备形式与污水污物潜水电泵类别不匹配",""),IF(AND(F33="井用潜水电泵",G33&lt;&gt;"",COUNTIF(EV_SUB_FORM_WELL,G33)=0),"设备形式与井用潜水电泵类别不匹配",""),IF(AND(F33="混流潜水电泵",G33&lt;&gt;"",COUNTIF(EV_SUB_FORM_MIXED,G33)=0),"设备形式与混流潜水电泵类别不匹配","")),"")</f>
        <v/>
      </c>
    </row>
    <row r="34" ht="42" customHeight="1" s="184">
      <c r="A34" s="224">
        <f>IF(COUNTA(B34,C34,D34,E34,F34,G34,H34,I34,J34,K34,L34,M34,N34,U34,V34)&gt;0,ROW()-3,"")</f>
        <v/>
      </c>
      <c r="B34" s="176" t="n"/>
      <c r="C34" s="176" t="n"/>
      <c r="D34" s="228" t="n"/>
      <c r="E34" s="176" t="n"/>
      <c r="F34" s="218" t="n"/>
      <c r="G34" s="176" t="n"/>
      <c r="H34" s="229" t="n"/>
      <c r="I34" s="229" t="n"/>
      <c r="J34" s="229" t="n"/>
      <c r="K34" s="237" t="n"/>
      <c r="L34" s="229" t="n"/>
      <c r="M34" s="228" t="n"/>
      <c r="N34" s="229" t="n"/>
      <c r="O34" s="236" t="n"/>
      <c r="P34" s="236" t="n"/>
      <c r="Q34" s="227" t="n"/>
      <c r="R34" s="227" t="n"/>
      <c r="S34" s="227" t="n"/>
      <c r="T34" s="81" t="n"/>
      <c r="U34" s="180" t="n"/>
      <c r="V34" s="180" t="n"/>
      <c r="W34" s="99">
        <f>IF(COUNTA(B34,C34,D34,E34,F34,G34,H34,I34,J34,K34,L34,M34,N34,U34,V34)&gt;0,TEXTJOIN("；",TRUE,IF(B34="","缺少设备名称",""),IF(AND(ISTEXT(B34),OR(B34&lt;&gt;TRIM(B34),ISNUMBER(SEARCH("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",C34)))),"型号含首尾空格或全角空格",""),IF(D34="","缺少数量",""),IF(D34="","",IF(NOT(ISNUMBER(D34)),"数量应为数值",IF(OR(D34&lt;=0,MOD(D34,1)&lt;&gt;0),"数量应为正整数",""))),IF(AND(ISTEXT(E34),OR(E34&lt;&gt;TRIM(E34),ISNUMBER(SEARCH("　",E34)))),"安装位置含首尾空格或全角空格",""),IF(F34="","缺少设备类别",""),IF(F34="","",IF(COUNTIF(EV_SUBMERSIBLE_CATEGORY,F34)=0,"设备类别不在标准枚举中","")),IF(AND(ISTEXT(F34),OR(F34&lt;&gt;TRIM(F34),ISNUMBER(SEARCH("　",F34)))),"设备类别含首尾空格或全角空格",""),IF(G34="","缺少设备形式",""),IF(G34="","",IF(COUNTIF(EV_SUB_FORM_ALL,G34)=0,"设备形式不在标准枚举中","")),IF(AND(ISTEXT(G34),OR(G34&lt;&gt;TRIM(G34),ISNUMBER(SEARCH("　",G34)))),"设备形式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工作温度",""),IF(K34="","",IF(NOT(ISNUMBER(K34)),"工作温度应为数值",IF(OR(K34&lt;0,K34&gt;100),"工作温度应为0～100",""))),IF(L34="","缺少额定功率",""),IF(L34="","",IF(NOT(ISNUMBER(L34)),"额定功率应为数值",IF(L34&lt;=0,"额定功率应大于0",""))),IF(M34="","缺少级数",""),IF(M34="","",IF(NOT(ISNUMBER(M34)),"级数应为数值",IF(OR(M34&lt;=0,MOD(M34,1)&lt;&gt;0),"级数应为正整数",""))),IF(N34="","缺少电泵效率",""),IF(N34="","",IF(NOT(ISNUMBER(N34)),"电泵效率应为数值",IF(OR(N34&lt;1,N34&gt;100),"电泵效率应为1～100的百分数本值",""))),IF(U34="","缺少铭牌照片",""),IF(AND(ISTEXT(V34),OR(V34&lt;&gt;TRIM(V34),ISNUMBER(SEARCH("　",V34)))),"填表备注含首尾空格或全角空格",""),IF(AND(F34="小型潜水电泵",G34&lt;&gt;"",COUNTIF(EV_SUB_FORM_SMALL,G34)=0),"设备形式与小型潜水电泵类别不匹配",""),IF(AND(F34="大中型潜水电泵",G34&lt;&gt;"",COUNTIF(EV_SUB_FORM_LARGE,G34)=0),"设备形式与大中型潜水电泵类别不匹配",""),IF(AND(F34="污水污物潜水电泵",G34&lt;&gt;"",COUNTIF(EV_SUB_FORM_WASTE,G34)=0),"设备形式与污水污物潜水电泵类别不匹配",""),IF(AND(F34="井用潜水电泵",G34&lt;&gt;"",COUNTIF(EV_SUB_FORM_WELL,G34)=0),"设备形式与井用潜水电泵类别不匹配",""),IF(AND(F34="混流潜水电泵",G34&lt;&gt;"",COUNTIF(EV_SUB_FORM_MIXED,G34)=0),"设备形式与混流潜水电泵类别不匹配","")),"")</f>
        <v/>
      </c>
    </row>
    <row r="35" ht="42" customHeight="1" s="184">
      <c r="A35" s="224">
        <f>IF(COUNTA(B35,C35,D35,E35,F35,G35,H35,I35,J35,K35,L35,M35,N35,U35,V35)&gt;0,ROW()-3,"")</f>
        <v/>
      </c>
      <c r="B35" s="176" t="n"/>
      <c r="C35" s="176" t="n"/>
      <c r="D35" s="228" t="n"/>
      <c r="E35" s="176" t="n"/>
      <c r="F35" s="218" t="n"/>
      <c r="G35" s="176" t="n"/>
      <c r="H35" s="229" t="n"/>
      <c r="I35" s="229" t="n"/>
      <c r="J35" s="229" t="n"/>
      <c r="K35" s="237" t="n"/>
      <c r="L35" s="229" t="n"/>
      <c r="M35" s="228" t="n"/>
      <c r="N35" s="229" t="n"/>
      <c r="O35" s="236" t="n"/>
      <c r="P35" s="236" t="n"/>
      <c r="Q35" s="227" t="n"/>
      <c r="R35" s="227" t="n"/>
      <c r="S35" s="227" t="n"/>
      <c r="T35" s="81" t="n"/>
      <c r="U35" s="180" t="n"/>
      <c r="V35" s="180" t="n"/>
      <c r="W35" s="99">
        <f>IF(COUNTA(B35,C35,D35,E35,F35,G35,H35,I35,J35,K35,L35,M35,N35,U35,V35)&gt;0,TEXTJOIN("；",TRUE,IF(B35="","缺少设备名称",""),IF(AND(ISTEXT(B35),OR(B35&lt;&gt;TRIM(B35),ISNUMBER(SEARCH("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",C35)))),"型号含首尾空格或全角空格",""),IF(D35="","缺少数量",""),IF(D35="","",IF(NOT(ISNUMBER(D35)),"数量应为数值",IF(OR(D35&lt;=0,MOD(D35,1)&lt;&gt;0),"数量应为正整数",""))),IF(AND(ISTEXT(E35),OR(E35&lt;&gt;TRIM(E35),ISNUMBER(SEARCH("　",E35)))),"安装位置含首尾空格或全角空格",""),IF(F35="","缺少设备类别",""),IF(F35="","",IF(COUNTIF(EV_SUBMERSIBLE_CATEGORY,F35)=0,"设备类别不在标准枚举中","")),IF(AND(ISTEXT(F35),OR(F35&lt;&gt;TRIM(F35),ISNUMBER(SEARCH("　",F35)))),"设备类别含首尾空格或全角空格",""),IF(G35="","缺少设备形式",""),IF(G35="","",IF(COUNTIF(EV_SUB_FORM_ALL,G35)=0,"设备形式不在标准枚举中","")),IF(AND(ISTEXT(G35),OR(G35&lt;&gt;TRIM(G35),ISNUMBER(SEARCH("　",G35)))),"设备形式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工作温度",""),IF(K35="","",IF(NOT(ISNUMBER(K35)),"工作温度应为数值",IF(OR(K35&lt;0,K35&gt;100),"工作温度应为0～100",""))),IF(L35="","缺少额定功率",""),IF(L35="","",IF(NOT(ISNUMBER(L35)),"额定功率应为数值",IF(L35&lt;=0,"额定功率应大于0",""))),IF(M35="","缺少级数",""),IF(M35="","",IF(NOT(ISNUMBER(M35)),"级数应为数值",IF(OR(M35&lt;=0,MOD(M35,1)&lt;&gt;0),"级数应为正整数",""))),IF(N35="","缺少电泵效率",""),IF(N35="","",IF(NOT(ISNUMBER(N35)),"电泵效率应为数值",IF(OR(N35&lt;1,N35&gt;100),"电泵效率应为1～100的百分数本值",""))),IF(U35="","缺少铭牌照片",""),IF(AND(ISTEXT(V35),OR(V35&lt;&gt;TRIM(V35),ISNUMBER(SEARCH("　",V35)))),"填表备注含首尾空格或全角空格",""),IF(AND(F35="小型潜水电泵",G35&lt;&gt;"",COUNTIF(EV_SUB_FORM_SMALL,G35)=0),"设备形式与小型潜水电泵类别不匹配",""),IF(AND(F35="大中型潜水电泵",G35&lt;&gt;"",COUNTIF(EV_SUB_FORM_LARGE,G35)=0),"设备形式与大中型潜水电泵类别不匹配",""),IF(AND(F35="污水污物潜水电泵",G35&lt;&gt;"",COUNTIF(EV_SUB_FORM_WASTE,G35)=0),"设备形式与污水污物潜水电泵类别不匹配",""),IF(AND(F35="井用潜水电泵",G35&lt;&gt;"",COUNTIF(EV_SUB_FORM_WELL,G35)=0),"设备形式与井用潜水电泵类别不匹配",""),IF(AND(F35="混流潜水电泵",G35&lt;&gt;"",COUNTIF(EV_SUB_FORM_MIXED,G35)=0),"设备形式与混流潜水电泵类别不匹配","")),"")</f>
        <v/>
      </c>
    </row>
    <row r="36" ht="42" customHeight="1" s="184">
      <c r="A36" s="224">
        <f>IF(COUNTA(B36,C36,D36,E36,F36,G36,H36,I36,J36,K36,L36,M36,N36,U36,V36)&gt;0,ROW()-3,"")</f>
        <v/>
      </c>
      <c r="B36" s="176" t="n"/>
      <c r="C36" s="176" t="n"/>
      <c r="D36" s="228" t="n"/>
      <c r="E36" s="176" t="n"/>
      <c r="F36" s="218" t="n"/>
      <c r="G36" s="176" t="n"/>
      <c r="H36" s="229" t="n"/>
      <c r="I36" s="229" t="n"/>
      <c r="J36" s="229" t="n"/>
      <c r="K36" s="237" t="n"/>
      <c r="L36" s="229" t="n"/>
      <c r="M36" s="228" t="n"/>
      <c r="N36" s="229" t="n"/>
      <c r="O36" s="236" t="n"/>
      <c r="P36" s="236" t="n"/>
      <c r="Q36" s="227" t="n"/>
      <c r="R36" s="227" t="n"/>
      <c r="S36" s="227" t="n"/>
      <c r="T36" s="81" t="n"/>
      <c r="U36" s="180" t="n"/>
      <c r="V36" s="180" t="n"/>
      <c r="W36" s="99">
        <f>IF(COUNTA(B36,C36,D36,E36,F36,G36,H36,I36,J36,K36,L36,M36,N36,U36,V36)&gt;0,TEXTJOIN("；",TRUE,IF(B36="","缺少设备名称",""),IF(AND(ISTEXT(B36),OR(B36&lt;&gt;TRIM(B36),ISNUMBER(SEARCH("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",C36)))),"型号含首尾空格或全角空格",""),IF(D36="","缺少数量",""),IF(D36="","",IF(NOT(ISNUMBER(D36)),"数量应为数值",IF(OR(D36&lt;=0,MOD(D36,1)&lt;&gt;0),"数量应为正整数",""))),IF(AND(ISTEXT(E36),OR(E36&lt;&gt;TRIM(E36),ISNUMBER(SEARCH("　",E36)))),"安装位置含首尾空格或全角空格",""),IF(F36="","缺少设备类别",""),IF(F36="","",IF(COUNTIF(EV_SUBMERSIBLE_CATEGORY,F36)=0,"设备类别不在标准枚举中","")),IF(AND(ISTEXT(F36),OR(F36&lt;&gt;TRIM(F36),ISNUMBER(SEARCH("　",F36)))),"设备类别含首尾空格或全角空格",""),IF(G36="","缺少设备形式",""),IF(G36="","",IF(COUNTIF(EV_SUB_FORM_ALL,G36)=0,"设备形式不在标准枚举中","")),IF(AND(ISTEXT(G36),OR(G36&lt;&gt;TRIM(G36),ISNUMBER(SEARCH("　",G36)))),"设备形式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工作温度",""),IF(K36="","",IF(NOT(ISNUMBER(K36)),"工作温度应为数值",IF(OR(K36&lt;0,K36&gt;100),"工作温度应为0～100",""))),IF(L36="","缺少额定功率",""),IF(L36="","",IF(NOT(ISNUMBER(L36)),"额定功率应为数值",IF(L36&lt;=0,"额定功率应大于0",""))),IF(M36="","缺少级数",""),IF(M36="","",IF(NOT(ISNUMBER(M36)),"级数应为数值",IF(OR(M36&lt;=0,MOD(M36,1)&lt;&gt;0),"级数应为正整数",""))),IF(N36="","缺少电泵效率",""),IF(N36="","",IF(NOT(ISNUMBER(N36)),"电泵效率应为数值",IF(OR(N36&lt;1,N36&gt;100),"电泵效率应为1～100的百分数本值",""))),IF(U36="","缺少铭牌照片",""),IF(AND(ISTEXT(V36),OR(V36&lt;&gt;TRIM(V36),ISNUMBER(SEARCH("　",V36)))),"填表备注含首尾空格或全角空格",""),IF(AND(F36="小型潜水电泵",G36&lt;&gt;"",COUNTIF(EV_SUB_FORM_SMALL,G36)=0),"设备形式与小型潜水电泵类别不匹配",""),IF(AND(F36="大中型潜水电泵",G36&lt;&gt;"",COUNTIF(EV_SUB_FORM_LARGE,G36)=0),"设备形式与大中型潜水电泵类别不匹配",""),IF(AND(F36="污水污物潜水电泵",G36&lt;&gt;"",COUNTIF(EV_SUB_FORM_WASTE,G36)=0),"设备形式与污水污物潜水电泵类别不匹配",""),IF(AND(F36="井用潜水电泵",G36&lt;&gt;"",COUNTIF(EV_SUB_FORM_WELL,G36)=0),"设备形式与井用潜水电泵类别不匹配",""),IF(AND(F36="混流潜水电泵",G36&lt;&gt;"",COUNTIF(EV_SUB_FORM_MIXED,G36)=0),"设备形式与混流潜水电泵类别不匹配","")),"")</f>
        <v/>
      </c>
    </row>
    <row r="37" ht="42" customHeight="1" s="184">
      <c r="A37" s="224">
        <f>IF(COUNTA(B37,C37,D37,E37,F37,G37,H37,I37,J37,K37,L37,M37,N37,U37,V37)&gt;0,ROW()-3,"")</f>
        <v/>
      </c>
      <c r="B37" s="176" t="n"/>
      <c r="C37" s="176" t="n"/>
      <c r="D37" s="228" t="n"/>
      <c r="E37" s="176" t="n"/>
      <c r="F37" s="218" t="n"/>
      <c r="G37" s="176" t="n"/>
      <c r="H37" s="229" t="n"/>
      <c r="I37" s="229" t="n"/>
      <c r="J37" s="229" t="n"/>
      <c r="K37" s="237" t="n"/>
      <c r="L37" s="229" t="n"/>
      <c r="M37" s="228" t="n"/>
      <c r="N37" s="229" t="n"/>
      <c r="O37" s="236" t="n"/>
      <c r="P37" s="236" t="n"/>
      <c r="Q37" s="227" t="n"/>
      <c r="R37" s="227" t="n"/>
      <c r="S37" s="227" t="n"/>
      <c r="T37" s="81" t="n"/>
      <c r="U37" s="180" t="n"/>
      <c r="V37" s="180" t="n"/>
      <c r="W37" s="99">
        <f>IF(COUNTA(B37,C37,D37,E37,F37,G37,H37,I37,J37,K37,L37,M37,N37,U37,V37)&gt;0,TEXTJOIN("；",TRUE,IF(B37="","缺少设备名称",""),IF(AND(ISTEXT(B37),OR(B37&lt;&gt;TRIM(B37),ISNUMBER(SEARCH("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",C37)))),"型号含首尾空格或全角空格",""),IF(D37="","缺少数量",""),IF(D37="","",IF(NOT(ISNUMBER(D37)),"数量应为数值",IF(OR(D37&lt;=0,MOD(D37,1)&lt;&gt;0),"数量应为正整数",""))),IF(AND(ISTEXT(E37),OR(E37&lt;&gt;TRIM(E37),ISNUMBER(SEARCH("　",E37)))),"安装位置含首尾空格或全角空格",""),IF(F37="","缺少设备类别",""),IF(F37="","",IF(COUNTIF(EV_SUBMERSIBLE_CATEGORY,F37)=0,"设备类别不在标准枚举中","")),IF(AND(ISTEXT(F37),OR(F37&lt;&gt;TRIM(F37),ISNUMBER(SEARCH("　",F37)))),"设备类别含首尾空格或全角空格",""),IF(G37="","缺少设备形式",""),IF(G37="","",IF(COUNTIF(EV_SUB_FORM_ALL,G37)=0,"设备形式不在标准枚举中","")),IF(AND(ISTEXT(G37),OR(G37&lt;&gt;TRIM(G37),ISNUMBER(SEARCH("　",G37)))),"设备形式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工作温度",""),IF(K37="","",IF(NOT(ISNUMBER(K37)),"工作温度应为数值",IF(OR(K37&lt;0,K37&gt;100),"工作温度应为0～100",""))),IF(L37="","缺少额定功率",""),IF(L37="","",IF(NOT(ISNUMBER(L37)),"额定功率应为数值",IF(L37&lt;=0,"额定功率应大于0",""))),IF(M37="","缺少级数",""),IF(M37="","",IF(NOT(ISNUMBER(M37)),"级数应为数值",IF(OR(M37&lt;=0,MOD(M37,1)&lt;&gt;0),"级数应为正整数",""))),IF(N37="","缺少电泵效率",""),IF(N37="","",IF(NOT(ISNUMBER(N37)),"电泵效率应为数值",IF(OR(N37&lt;1,N37&gt;100),"电泵效率应为1～100的百分数本值",""))),IF(U37="","缺少铭牌照片",""),IF(AND(ISTEXT(V37),OR(V37&lt;&gt;TRIM(V37),ISNUMBER(SEARCH("　",V37)))),"填表备注含首尾空格或全角空格",""),IF(AND(F37="小型潜水电泵",G37&lt;&gt;"",COUNTIF(EV_SUB_FORM_SMALL,G37)=0),"设备形式与小型潜水电泵类别不匹配",""),IF(AND(F37="大中型潜水电泵",G37&lt;&gt;"",COUNTIF(EV_SUB_FORM_LARGE,G37)=0),"设备形式与大中型潜水电泵类别不匹配",""),IF(AND(F37="污水污物潜水电泵",G37&lt;&gt;"",COUNTIF(EV_SUB_FORM_WASTE,G37)=0),"设备形式与污水污物潜水电泵类别不匹配",""),IF(AND(F37="井用潜水电泵",G37&lt;&gt;"",COUNTIF(EV_SUB_FORM_WELL,G37)=0),"设备形式与井用潜水电泵类别不匹配",""),IF(AND(F37="混流潜水电泵",G37&lt;&gt;"",COUNTIF(EV_SUB_FORM_MIXED,G37)=0),"设备形式与混流潜水电泵类别不匹配","")),"")</f>
        <v/>
      </c>
    </row>
    <row r="38" ht="42" customHeight="1" s="184">
      <c r="A38" s="224">
        <f>IF(COUNTA(B38,C38,D38,E38,F38,G38,H38,I38,J38,K38,L38,M38,N38,U38,V38)&gt;0,ROW()-3,"")</f>
        <v/>
      </c>
      <c r="B38" s="176" t="n"/>
      <c r="C38" s="176" t="n"/>
      <c r="D38" s="228" t="n"/>
      <c r="E38" s="176" t="n"/>
      <c r="F38" s="218" t="n"/>
      <c r="G38" s="176" t="n"/>
      <c r="H38" s="229" t="n"/>
      <c r="I38" s="229" t="n"/>
      <c r="J38" s="229" t="n"/>
      <c r="K38" s="237" t="n"/>
      <c r="L38" s="229" t="n"/>
      <c r="M38" s="228" t="n"/>
      <c r="N38" s="229" t="n"/>
      <c r="O38" s="236" t="n"/>
      <c r="P38" s="236" t="n"/>
      <c r="Q38" s="227" t="n"/>
      <c r="R38" s="227" t="n"/>
      <c r="S38" s="227" t="n"/>
      <c r="T38" s="81" t="n"/>
      <c r="U38" s="180" t="n"/>
      <c r="V38" s="180" t="n"/>
      <c r="W38" s="99">
        <f>IF(COUNTA(B38,C38,D38,E38,F38,G38,H38,I38,J38,K38,L38,M38,N38,U38,V38)&gt;0,TEXTJOIN("；",TRUE,IF(B38="","缺少设备名称",""),IF(AND(ISTEXT(B38),OR(B38&lt;&gt;TRIM(B38),ISNUMBER(SEARCH("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",C38)))),"型号含首尾空格或全角空格",""),IF(D38="","缺少数量",""),IF(D38="","",IF(NOT(ISNUMBER(D38)),"数量应为数值",IF(OR(D38&lt;=0,MOD(D38,1)&lt;&gt;0),"数量应为正整数",""))),IF(AND(ISTEXT(E38),OR(E38&lt;&gt;TRIM(E38),ISNUMBER(SEARCH("　",E38)))),"安装位置含首尾空格或全角空格",""),IF(F38="","缺少设备类别",""),IF(F38="","",IF(COUNTIF(EV_SUBMERSIBLE_CATEGORY,F38)=0,"设备类别不在标准枚举中","")),IF(AND(ISTEXT(F38),OR(F38&lt;&gt;TRIM(F38),ISNUMBER(SEARCH("　",F38)))),"设备类别含首尾空格或全角空格",""),IF(G38="","缺少设备形式",""),IF(G38="","",IF(COUNTIF(EV_SUB_FORM_ALL,G38)=0,"设备形式不在标准枚举中","")),IF(AND(ISTEXT(G38),OR(G38&lt;&gt;TRIM(G38),ISNUMBER(SEARCH("　",G38)))),"设备形式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工作温度",""),IF(K38="","",IF(NOT(ISNUMBER(K38)),"工作温度应为数值",IF(OR(K38&lt;0,K38&gt;100),"工作温度应为0～100",""))),IF(L38="","缺少额定功率",""),IF(L38="","",IF(NOT(ISNUMBER(L38)),"额定功率应为数值",IF(L38&lt;=0,"额定功率应大于0",""))),IF(M38="","缺少级数",""),IF(M38="","",IF(NOT(ISNUMBER(M38)),"级数应为数值",IF(OR(M38&lt;=0,MOD(M38,1)&lt;&gt;0),"级数应为正整数",""))),IF(N38="","缺少电泵效率",""),IF(N38="","",IF(NOT(ISNUMBER(N38)),"电泵效率应为数值",IF(OR(N38&lt;1,N38&gt;100),"电泵效率应为1～100的百分数本值",""))),IF(U38="","缺少铭牌照片",""),IF(AND(ISTEXT(V38),OR(V38&lt;&gt;TRIM(V38),ISNUMBER(SEARCH("　",V38)))),"填表备注含首尾空格或全角空格",""),IF(AND(F38="小型潜水电泵",G38&lt;&gt;"",COUNTIF(EV_SUB_FORM_SMALL,G38)=0),"设备形式与小型潜水电泵类别不匹配",""),IF(AND(F38="大中型潜水电泵",G38&lt;&gt;"",COUNTIF(EV_SUB_FORM_LARGE,G38)=0),"设备形式与大中型潜水电泵类别不匹配",""),IF(AND(F38="污水污物潜水电泵",G38&lt;&gt;"",COUNTIF(EV_SUB_FORM_WASTE,G38)=0),"设备形式与污水污物潜水电泵类别不匹配",""),IF(AND(F38="井用潜水电泵",G38&lt;&gt;"",COUNTIF(EV_SUB_FORM_WELL,G38)=0),"设备形式与井用潜水电泵类别不匹配",""),IF(AND(F38="混流潜水电泵",G38&lt;&gt;"",COUNTIF(EV_SUB_FORM_MIXED,G38)=0),"设备形式与混流潜水电泵类别不匹配","")),"")</f>
        <v/>
      </c>
    </row>
    <row r="39" ht="42" customHeight="1" s="184">
      <c r="A39" s="224">
        <f>IF(COUNTA(B39,C39,D39,E39,F39,G39,H39,I39,J39,K39,L39,M39,N39,U39,V39)&gt;0,ROW()-3,"")</f>
        <v/>
      </c>
      <c r="B39" s="176" t="n"/>
      <c r="C39" s="176" t="n"/>
      <c r="D39" s="228" t="n"/>
      <c r="E39" s="176" t="n"/>
      <c r="F39" s="218" t="n"/>
      <c r="G39" s="176" t="n"/>
      <c r="H39" s="229" t="n"/>
      <c r="I39" s="229" t="n"/>
      <c r="J39" s="229" t="n"/>
      <c r="K39" s="237" t="n"/>
      <c r="L39" s="229" t="n"/>
      <c r="M39" s="228" t="n"/>
      <c r="N39" s="229" t="n"/>
      <c r="O39" s="236" t="n"/>
      <c r="P39" s="236" t="n"/>
      <c r="Q39" s="227" t="n"/>
      <c r="R39" s="227" t="n"/>
      <c r="S39" s="227" t="n"/>
      <c r="T39" s="81" t="n"/>
      <c r="U39" s="180" t="n"/>
      <c r="V39" s="180" t="n"/>
      <c r="W39" s="99">
        <f>IF(COUNTA(B39,C39,D39,E39,F39,G39,H39,I39,J39,K39,L39,M39,N39,U39,V39)&gt;0,TEXTJOIN("；",TRUE,IF(B39="","缺少设备名称",""),IF(AND(ISTEXT(B39),OR(B39&lt;&gt;TRIM(B39),ISNUMBER(SEARCH("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",C39)))),"型号含首尾空格或全角空格",""),IF(D39="","缺少数量",""),IF(D39="","",IF(NOT(ISNUMBER(D39)),"数量应为数值",IF(OR(D39&lt;=0,MOD(D39,1)&lt;&gt;0),"数量应为正整数",""))),IF(AND(ISTEXT(E39),OR(E39&lt;&gt;TRIM(E39),ISNUMBER(SEARCH("　",E39)))),"安装位置含首尾空格或全角空格",""),IF(F39="","缺少设备类别",""),IF(F39="","",IF(COUNTIF(EV_SUBMERSIBLE_CATEGORY,F39)=0,"设备类别不在标准枚举中","")),IF(AND(ISTEXT(F39),OR(F39&lt;&gt;TRIM(F39),ISNUMBER(SEARCH("　",F39)))),"设备类别含首尾空格或全角空格",""),IF(G39="","缺少设备形式",""),IF(G39="","",IF(COUNTIF(EV_SUB_FORM_ALL,G39)=0,"设备形式不在标准枚举中","")),IF(AND(ISTEXT(G39),OR(G39&lt;&gt;TRIM(G39),ISNUMBER(SEARCH("　",G39)))),"设备形式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工作温度",""),IF(K39="","",IF(NOT(ISNUMBER(K39)),"工作温度应为数值",IF(OR(K39&lt;0,K39&gt;100),"工作温度应为0～100",""))),IF(L39="","缺少额定功率",""),IF(L39="","",IF(NOT(ISNUMBER(L39)),"额定功率应为数值",IF(L39&lt;=0,"额定功率应大于0",""))),IF(M39="","缺少级数",""),IF(M39="","",IF(NOT(ISNUMBER(M39)),"级数应为数值",IF(OR(M39&lt;=0,MOD(M39,1)&lt;&gt;0),"级数应为正整数",""))),IF(N39="","缺少电泵效率",""),IF(N39="","",IF(NOT(ISNUMBER(N39)),"电泵效率应为数值",IF(OR(N39&lt;1,N39&gt;100),"电泵效率应为1～100的百分数本值",""))),IF(U39="","缺少铭牌照片",""),IF(AND(ISTEXT(V39),OR(V39&lt;&gt;TRIM(V39),ISNUMBER(SEARCH("　",V39)))),"填表备注含首尾空格或全角空格",""),IF(AND(F39="小型潜水电泵",G39&lt;&gt;"",COUNTIF(EV_SUB_FORM_SMALL,G39)=0),"设备形式与小型潜水电泵类别不匹配",""),IF(AND(F39="大中型潜水电泵",G39&lt;&gt;"",COUNTIF(EV_SUB_FORM_LARGE,G39)=0),"设备形式与大中型潜水电泵类别不匹配",""),IF(AND(F39="污水污物潜水电泵",G39&lt;&gt;"",COUNTIF(EV_SUB_FORM_WASTE,G39)=0),"设备形式与污水污物潜水电泵类别不匹配",""),IF(AND(F39="井用潜水电泵",G39&lt;&gt;"",COUNTIF(EV_SUB_FORM_WELL,G39)=0),"设备形式与井用潜水电泵类别不匹配",""),IF(AND(F39="混流潜水电泵",G39&lt;&gt;"",COUNTIF(EV_SUB_FORM_MIXED,G39)=0),"设备形式与混流潜水电泵类别不匹配","")),"")</f>
        <v/>
      </c>
    </row>
    <row r="40" ht="42" customHeight="1" s="184">
      <c r="A40" s="224">
        <f>IF(COUNTA(B40,C40,D40,E40,F40,G40,H40,I40,J40,K40,L40,M40,N40,U40,V40)&gt;0,ROW()-3,"")</f>
        <v/>
      </c>
      <c r="B40" s="176" t="n"/>
      <c r="C40" s="176" t="n"/>
      <c r="D40" s="228" t="n"/>
      <c r="E40" s="176" t="n"/>
      <c r="F40" s="218" t="n"/>
      <c r="G40" s="176" t="n"/>
      <c r="H40" s="229" t="n"/>
      <c r="I40" s="229" t="n"/>
      <c r="J40" s="229" t="n"/>
      <c r="K40" s="237" t="n"/>
      <c r="L40" s="229" t="n"/>
      <c r="M40" s="228" t="n"/>
      <c r="N40" s="229" t="n"/>
      <c r="O40" s="236" t="n"/>
      <c r="P40" s="236" t="n"/>
      <c r="Q40" s="227" t="n"/>
      <c r="R40" s="227" t="n"/>
      <c r="S40" s="227" t="n"/>
      <c r="T40" s="81" t="n"/>
      <c r="U40" s="180" t="n"/>
      <c r="V40" s="180" t="n"/>
      <c r="W40" s="99">
        <f>IF(COUNTA(B40,C40,D40,E40,F40,G40,H40,I40,J40,K40,L40,M40,N40,U40,V40)&gt;0,TEXTJOIN("；",TRUE,IF(B40="","缺少设备名称",""),IF(AND(ISTEXT(B40),OR(B40&lt;&gt;TRIM(B40),ISNUMBER(SEARCH("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",C40)))),"型号含首尾空格或全角空格",""),IF(D40="","缺少数量",""),IF(D40="","",IF(NOT(ISNUMBER(D40)),"数量应为数值",IF(OR(D40&lt;=0,MOD(D40,1)&lt;&gt;0),"数量应为正整数",""))),IF(AND(ISTEXT(E40),OR(E40&lt;&gt;TRIM(E40),ISNUMBER(SEARCH("　",E40)))),"安装位置含首尾空格或全角空格",""),IF(F40="","缺少设备类别",""),IF(F40="","",IF(COUNTIF(EV_SUBMERSIBLE_CATEGORY,F40)=0,"设备类别不在标准枚举中","")),IF(AND(ISTEXT(F40),OR(F40&lt;&gt;TRIM(F40),ISNUMBER(SEARCH("　",F40)))),"设备类别含首尾空格或全角空格",""),IF(G40="","缺少设备形式",""),IF(G40="","",IF(COUNTIF(EV_SUB_FORM_ALL,G40)=0,"设备形式不在标准枚举中","")),IF(AND(ISTEXT(G40),OR(G40&lt;&gt;TRIM(G40),ISNUMBER(SEARCH("　",G40)))),"设备形式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工作温度",""),IF(K40="","",IF(NOT(ISNUMBER(K40)),"工作温度应为数值",IF(OR(K40&lt;0,K40&gt;100),"工作温度应为0～100",""))),IF(L40="","缺少额定功率",""),IF(L40="","",IF(NOT(ISNUMBER(L40)),"额定功率应为数值",IF(L40&lt;=0,"额定功率应大于0",""))),IF(M40="","缺少级数",""),IF(M40="","",IF(NOT(ISNUMBER(M40)),"级数应为数值",IF(OR(M40&lt;=0,MOD(M40,1)&lt;&gt;0),"级数应为正整数",""))),IF(N40="","缺少电泵效率",""),IF(N40="","",IF(NOT(ISNUMBER(N40)),"电泵效率应为数值",IF(OR(N40&lt;1,N40&gt;100),"电泵效率应为1～100的百分数本值",""))),IF(U40="","缺少铭牌照片",""),IF(AND(ISTEXT(V40),OR(V40&lt;&gt;TRIM(V40),ISNUMBER(SEARCH("　",V40)))),"填表备注含首尾空格或全角空格",""),IF(AND(F40="小型潜水电泵",G40&lt;&gt;"",COUNTIF(EV_SUB_FORM_SMALL,G40)=0),"设备形式与小型潜水电泵类别不匹配",""),IF(AND(F40="大中型潜水电泵",G40&lt;&gt;"",COUNTIF(EV_SUB_FORM_LARGE,G40)=0),"设备形式与大中型潜水电泵类别不匹配",""),IF(AND(F40="污水污物潜水电泵",G40&lt;&gt;"",COUNTIF(EV_SUB_FORM_WASTE,G40)=0),"设备形式与污水污物潜水电泵类别不匹配",""),IF(AND(F40="井用潜水电泵",G40&lt;&gt;"",COUNTIF(EV_SUB_FORM_WELL,G40)=0),"设备形式与井用潜水电泵类别不匹配",""),IF(AND(F40="混流潜水电泵",G40&lt;&gt;"",COUNTIF(EV_SUB_FORM_MIXED,G40)=0),"设备形式与混流潜水电泵类别不匹配","")),"")</f>
        <v/>
      </c>
    </row>
    <row r="41" ht="42" customHeight="1" s="184">
      <c r="A41" s="224">
        <f>IF(COUNTA(B41,C41,D41,E41,F41,G41,H41,I41,J41,K41,L41,M41,N41,U41,V41)&gt;0,ROW()-3,"")</f>
        <v/>
      </c>
      <c r="B41" s="176" t="n"/>
      <c r="C41" s="176" t="n"/>
      <c r="D41" s="228" t="n"/>
      <c r="E41" s="176" t="n"/>
      <c r="F41" s="218" t="n"/>
      <c r="G41" s="176" t="n"/>
      <c r="H41" s="229" t="n"/>
      <c r="I41" s="229" t="n"/>
      <c r="J41" s="229" t="n"/>
      <c r="K41" s="237" t="n"/>
      <c r="L41" s="229" t="n"/>
      <c r="M41" s="228" t="n"/>
      <c r="N41" s="229" t="n"/>
      <c r="O41" s="236" t="n"/>
      <c r="P41" s="236" t="n"/>
      <c r="Q41" s="227" t="n"/>
      <c r="R41" s="227" t="n"/>
      <c r="S41" s="227" t="n"/>
      <c r="T41" s="81" t="n"/>
      <c r="U41" s="180" t="n"/>
      <c r="V41" s="180" t="n"/>
      <c r="W41" s="99">
        <f>IF(COUNTA(B41,C41,D41,E41,F41,G41,H41,I41,J41,K41,L41,M41,N41,U41,V41)&gt;0,TEXTJOIN("；",TRUE,IF(B41="","缺少设备名称",""),IF(AND(ISTEXT(B41),OR(B41&lt;&gt;TRIM(B41),ISNUMBER(SEARCH("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",C41)))),"型号含首尾空格或全角空格",""),IF(D41="","缺少数量",""),IF(D41="","",IF(NOT(ISNUMBER(D41)),"数量应为数值",IF(OR(D41&lt;=0,MOD(D41,1)&lt;&gt;0),"数量应为正整数",""))),IF(AND(ISTEXT(E41),OR(E41&lt;&gt;TRIM(E41),ISNUMBER(SEARCH("　",E41)))),"安装位置含首尾空格或全角空格",""),IF(F41="","缺少设备类别",""),IF(F41="","",IF(COUNTIF(EV_SUBMERSIBLE_CATEGORY,F41)=0,"设备类别不在标准枚举中","")),IF(AND(ISTEXT(F41),OR(F41&lt;&gt;TRIM(F41),ISNUMBER(SEARCH("　",F41)))),"设备类别含首尾空格或全角空格",""),IF(G41="","缺少设备形式",""),IF(G41="","",IF(COUNTIF(EV_SUB_FORM_ALL,G41)=0,"设备形式不在标准枚举中","")),IF(AND(ISTEXT(G41),OR(G41&lt;&gt;TRIM(G41),ISNUMBER(SEARCH("　",G41)))),"设备形式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工作温度",""),IF(K41="","",IF(NOT(ISNUMBER(K41)),"工作温度应为数值",IF(OR(K41&lt;0,K41&gt;100),"工作温度应为0～100",""))),IF(L41="","缺少额定功率",""),IF(L41="","",IF(NOT(ISNUMBER(L41)),"额定功率应为数值",IF(L41&lt;=0,"额定功率应大于0",""))),IF(M41="","缺少级数",""),IF(M41="","",IF(NOT(ISNUMBER(M41)),"级数应为数值",IF(OR(M41&lt;=0,MOD(M41,1)&lt;&gt;0),"级数应为正整数",""))),IF(N41="","缺少电泵效率",""),IF(N41="","",IF(NOT(ISNUMBER(N41)),"电泵效率应为数值",IF(OR(N41&lt;1,N41&gt;100),"电泵效率应为1～100的百分数本值",""))),IF(U41="","缺少铭牌照片",""),IF(AND(ISTEXT(V41),OR(V41&lt;&gt;TRIM(V41),ISNUMBER(SEARCH("　",V41)))),"填表备注含首尾空格或全角空格",""),IF(AND(F41="小型潜水电泵",G41&lt;&gt;"",COUNTIF(EV_SUB_FORM_SMALL,G41)=0),"设备形式与小型潜水电泵类别不匹配",""),IF(AND(F41="大中型潜水电泵",G41&lt;&gt;"",COUNTIF(EV_SUB_FORM_LARGE,G41)=0),"设备形式与大中型潜水电泵类别不匹配",""),IF(AND(F41="污水污物潜水电泵",G41&lt;&gt;"",COUNTIF(EV_SUB_FORM_WASTE,G41)=0),"设备形式与污水污物潜水电泵类别不匹配",""),IF(AND(F41="井用潜水电泵",G41&lt;&gt;"",COUNTIF(EV_SUB_FORM_WELL,G41)=0),"设备形式与井用潜水电泵类别不匹配",""),IF(AND(F41="混流潜水电泵",G41&lt;&gt;"",COUNTIF(EV_SUB_FORM_MIXED,G41)=0),"设备形式与混流潜水电泵类别不匹配","")),"")</f>
        <v/>
      </c>
    </row>
    <row r="42" ht="42" customHeight="1" s="184">
      <c r="A42" s="224">
        <f>IF(COUNTA(B42,C42,D42,E42,F42,G42,H42,I42,J42,K42,L42,M42,N42,U42,V42)&gt;0,ROW()-3,"")</f>
        <v/>
      </c>
      <c r="B42" s="176" t="n"/>
      <c r="C42" s="176" t="n"/>
      <c r="D42" s="228" t="n"/>
      <c r="E42" s="176" t="n"/>
      <c r="F42" s="218" t="n"/>
      <c r="G42" s="176" t="n"/>
      <c r="H42" s="229" t="n"/>
      <c r="I42" s="229" t="n"/>
      <c r="J42" s="229" t="n"/>
      <c r="K42" s="237" t="n"/>
      <c r="L42" s="229" t="n"/>
      <c r="M42" s="228" t="n"/>
      <c r="N42" s="229" t="n"/>
      <c r="O42" s="236" t="n"/>
      <c r="P42" s="236" t="n"/>
      <c r="Q42" s="227" t="n"/>
      <c r="R42" s="227" t="n"/>
      <c r="S42" s="227" t="n"/>
      <c r="T42" s="81" t="n"/>
      <c r="U42" s="180" t="n"/>
      <c r="V42" s="180" t="n"/>
      <c r="W42" s="99">
        <f>IF(COUNTA(B42,C42,D42,E42,F42,G42,H42,I42,J42,K42,L42,M42,N42,U42,V42)&gt;0,TEXTJOIN("；",TRUE,IF(B42="","缺少设备名称",""),IF(AND(ISTEXT(B42),OR(B42&lt;&gt;TRIM(B42),ISNUMBER(SEARCH("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",C42)))),"型号含首尾空格或全角空格",""),IF(D42="","缺少数量",""),IF(D42="","",IF(NOT(ISNUMBER(D42)),"数量应为数值",IF(OR(D42&lt;=0,MOD(D42,1)&lt;&gt;0),"数量应为正整数",""))),IF(AND(ISTEXT(E42),OR(E42&lt;&gt;TRIM(E42),ISNUMBER(SEARCH("　",E42)))),"安装位置含首尾空格或全角空格",""),IF(F42="","缺少设备类别",""),IF(F42="","",IF(COUNTIF(EV_SUBMERSIBLE_CATEGORY,F42)=0,"设备类别不在标准枚举中","")),IF(AND(ISTEXT(F42),OR(F42&lt;&gt;TRIM(F42),ISNUMBER(SEARCH("　",F42)))),"设备类别含首尾空格或全角空格",""),IF(G42="","缺少设备形式",""),IF(G42="","",IF(COUNTIF(EV_SUB_FORM_ALL,G42)=0,"设备形式不在标准枚举中","")),IF(AND(ISTEXT(G42),OR(G42&lt;&gt;TRIM(G42),ISNUMBER(SEARCH("　",G42)))),"设备形式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工作温度",""),IF(K42="","",IF(NOT(ISNUMBER(K42)),"工作温度应为数值",IF(OR(K42&lt;0,K42&gt;100),"工作温度应为0～100",""))),IF(L42="","缺少额定功率",""),IF(L42="","",IF(NOT(ISNUMBER(L42)),"额定功率应为数值",IF(L42&lt;=0,"额定功率应大于0",""))),IF(M42="","缺少级数",""),IF(M42="","",IF(NOT(ISNUMBER(M42)),"级数应为数值",IF(OR(M42&lt;=0,MOD(M42,1)&lt;&gt;0),"级数应为正整数",""))),IF(N42="","缺少电泵效率",""),IF(N42="","",IF(NOT(ISNUMBER(N42)),"电泵效率应为数值",IF(OR(N42&lt;1,N42&gt;100),"电泵效率应为1～100的百分数本值",""))),IF(U42="","缺少铭牌照片",""),IF(AND(ISTEXT(V42),OR(V42&lt;&gt;TRIM(V42),ISNUMBER(SEARCH("　",V42)))),"填表备注含首尾空格或全角空格",""),IF(AND(F42="小型潜水电泵",G42&lt;&gt;"",COUNTIF(EV_SUB_FORM_SMALL,G42)=0),"设备形式与小型潜水电泵类别不匹配",""),IF(AND(F42="大中型潜水电泵",G42&lt;&gt;"",COUNTIF(EV_SUB_FORM_LARGE,G42)=0),"设备形式与大中型潜水电泵类别不匹配",""),IF(AND(F42="污水污物潜水电泵",G42&lt;&gt;"",COUNTIF(EV_SUB_FORM_WASTE,G42)=0),"设备形式与污水污物潜水电泵类别不匹配",""),IF(AND(F42="井用潜水电泵",G42&lt;&gt;"",COUNTIF(EV_SUB_FORM_WELL,G42)=0),"设备形式与井用潜水电泵类别不匹配",""),IF(AND(F42="混流潜水电泵",G42&lt;&gt;"",COUNTIF(EV_SUB_FORM_MIXED,G42)=0),"设备形式与混流潜水电泵类别不匹配","")),"")</f>
        <v/>
      </c>
    </row>
    <row r="43" ht="42" customHeight="1" s="184">
      <c r="A43" s="224">
        <f>IF(COUNTA(B43,C43,D43,E43,F43,G43,H43,I43,J43,K43,L43,M43,N43,U43,V43)&gt;0,ROW()-3,"")</f>
        <v/>
      </c>
      <c r="B43" s="176" t="n"/>
      <c r="C43" s="176" t="n"/>
      <c r="D43" s="228" t="n"/>
      <c r="E43" s="176" t="n"/>
      <c r="F43" s="218" t="n"/>
      <c r="G43" s="176" t="n"/>
      <c r="H43" s="229" t="n"/>
      <c r="I43" s="229" t="n"/>
      <c r="J43" s="229" t="n"/>
      <c r="K43" s="237" t="n"/>
      <c r="L43" s="229" t="n"/>
      <c r="M43" s="228" t="n"/>
      <c r="N43" s="229" t="n"/>
      <c r="O43" s="236" t="n"/>
      <c r="P43" s="236" t="n"/>
      <c r="Q43" s="227" t="n"/>
      <c r="R43" s="227" t="n"/>
      <c r="S43" s="227" t="n"/>
      <c r="T43" s="81" t="n"/>
      <c r="U43" s="180" t="n"/>
      <c r="V43" s="180" t="n"/>
      <c r="W43" s="99">
        <f>IF(COUNTA(B43,C43,D43,E43,F43,G43,H43,I43,J43,K43,L43,M43,N43,U43,V43)&gt;0,TEXTJOIN("；",TRUE,IF(B43="","缺少设备名称",""),IF(AND(ISTEXT(B43),OR(B43&lt;&gt;TRIM(B43),ISNUMBER(SEARCH("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",C43)))),"型号含首尾空格或全角空格",""),IF(D43="","缺少数量",""),IF(D43="","",IF(NOT(ISNUMBER(D43)),"数量应为数值",IF(OR(D43&lt;=0,MOD(D43,1)&lt;&gt;0),"数量应为正整数",""))),IF(AND(ISTEXT(E43),OR(E43&lt;&gt;TRIM(E43),ISNUMBER(SEARCH("　",E43)))),"安装位置含首尾空格或全角空格",""),IF(F43="","缺少设备类别",""),IF(F43="","",IF(COUNTIF(EV_SUBMERSIBLE_CATEGORY,F43)=0,"设备类别不在标准枚举中","")),IF(AND(ISTEXT(F43),OR(F43&lt;&gt;TRIM(F43),ISNUMBER(SEARCH("　",F43)))),"设备类别含首尾空格或全角空格",""),IF(G43="","缺少设备形式",""),IF(G43="","",IF(COUNTIF(EV_SUB_FORM_ALL,G43)=0,"设备形式不在标准枚举中","")),IF(AND(ISTEXT(G43),OR(G43&lt;&gt;TRIM(G43),ISNUMBER(SEARCH("　",G43)))),"设备形式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工作温度",""),IF(K43="","",IF(NOT(ISNUMBER(K43)),"工作温度应为数值",IF(OR(K43&lt;0,K43&gt;100),"工作温度应为0～100",""))),IF(L43="","缺少额定功率",""),IF(L43="","",IF(NOT(ISNUMBER(L43)),"额定功率应为数值",IF(L43&lt;=0,"额定功率应大于0",""))),IF(M43="","缺少级数",""),IF(M43="","",IF(NOT(ISNUMBER(M43)),"级数应为数值",IF(OR(M43&lt;=0,MOD(M43,1)&lt;&gt;0),"级数应为正整数",""))),IF(N43="","缺少电泵效率",""),IF(N43="","",IF(NOT(ISNUMBER(N43)),"电泵效率应为数值",IF(OR(N43&lt;1,N43&gt;100),"电泵效率应为1～100的百分数本值",""))),IF(U43="","缺少铭牌照片",""),IF(AND(ISTEXT(V43),OR(V43&lt;&gt;TRIM(V43),ISNUMBER(SEARCH("　",V43)))),"填表备注含首尾空格或全角空格",""),IF(AND(F43="小型潜水电泵",G43&lt;&gt;"",COUNTIF(EV_SUB_FORM_SMALL,G43)=0),"设备形式与小型潜水电泵类别不匹配",""),IF(AND(F43="大中型潜水电泵",G43&lt;&gt;"",COUNTIF(EV_SUB_FORM_LARGE,G43)=0),"设备形式与大中型潜水电泵类别不匹配",""),IF(AND(F43="污水污物潜水电泵",G43&lt;&gt;"",COUNTIF(EV_SUB_FORM_WASTE,G43)=0),"设备形式与污水污物潜水电泵类别不匹配",""),IF(AND(F43="井用潜水电泵",G43&lt;&gt;"",COUNTIF(EV_SUB_FORM_WELL,G43)=0),"设备形式与井用潜水电泵类别不匹配",""),IF(AND(F43="混流潜水电泵",G43&lt;&gt;"",COUNTIF(EV_SUB_FORM_MIXED,G43)=0),"设备形式与混流潜水电泵类别不匹配","")),"")</f>
        <v/>
      </c>
    </row>
    <row r="44" ht="42" customHeight="1" s="184">
      <c r="A44" s="224">
        <f>IF(COUNTA(B44,C44,D44,E44,F44,G44,H44,I44,J44,K44,L44,M44,N44,U44,V44)&gt;0,ROW()-3,"")</f>
        <v/>
      </c>
      <c r="B44" s="176" t="n"/>
      <c r="C44" s="176" t="n"/>
      <c r="D44" s="228" t="n"/>
      <c r="E44" s="176" t="n"/>
      <c r="F44" s="218" t="n"/>
      <c r="G44" s="176" t="n"/>
      <c r="H44" s="229" t="n"/>
      <c r="I44" s="229" t="n"/>
      <c r="J44" s="229" t="n"/>
      <c r="K44" s="237" t="n"/>
      <c r="L44" s="229" t="n"/>
      <c r="M44" s="228" t="n"/>
      <c r="N44" s="229" t="n"/>
      <c r="O44" s="236" t="n"/>
      <c r="P44" s="236" t="n"/>
      <c r="Q44" s="227" t="n"/>
      <c r="R44" s="227" t="n"/>
      <c r="S44" s="227" t="n"/>
      <c r="T44" s="81" t="n"/>
      <c r="U44" s="180" t="n"/>
      <c r="V44" s="180" t="n"/>
      <c r="W44" s="99">
        <f>IF(COUNTA(B44,C44,D44,E44,F44,G44,H44,I44,J44,K44,L44,M44,N44,U44,V44)&gt;0,TEXTJOIN("；",TRUE,IF(B44="","缺少设备名称",""),IF(AND(ISTEXT(B44),OR(B44&lt;&gt;TRIM(B44),ISNUMBER(SEARCH("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",C44)))),"型号含首尾空格或全角空格",""),IF(D44="","缺少数量",""),IF(D44="","",IF(NOT(ISNUMBER(D44)),"数量应为数值",IF(OR(D44&lt;=0,MOD(D44,1)&lt;&gt;0),"数量应为正整数",""))),IF(AND(ISTEXT(E44),OR(E44&lt;&gt;TRIM(E44),ISNUMBER(SEARCH("　",E44)))),"安装位置含首尾空格或全角空格",""),IF(F44="","缺少设备类别",""),IF(F44="","",IF(COUNTIF(EV_SUBMERSIBLE_CATEGORY,F44)=0,"设备类别不在标准枚举中","")),IF(AND(ISTEXT(F44),OR(F44&lt;&gt;TRIM(F44),ISNUMBER(SEARCH("　",F44)))),"设备类别含首尾空格或全角空格",""),IF(G44="","缺少设备形式",""),IF(G44="","",IF(COUNTIF(EV_SUB_FORM_ALL,G44)=0,"设备形式不在标准枚举中","")),IF(AND(ISTEXT(G44),OR(G44&lt;&gt;TRIM(G44),ISNUMBER(SEARCH("　",G44)))),"设备形式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工作温度",""),IF(K44="","",IF(NOT(ISNUMBER(K44)),"工作温度应为数值",IF(OR(K44&lt;0,K44&gt;100),"工作温度应为0～100",""))),IF(L44="","缺少额定功率",""),IF(L44="","",IF(NOT(ISNUMBER(L44)),"额定功率应为数值",IF(L44&lt;=0,"额定功率应大于0",""))),IF(M44="","缺少级数",""),IF(M44="","",IF(NOT(ISNUMBER(M44)),"级数应为数值",IF(OR(M44&lt;=0,MOD(M44,1)&lt;&gt;0),"级数应为正整数",""))),IF(N44="","缺少电泵效率",""),IF(N44="","",IF(NOT(ISNUMBER(N44)),"电泵效率应为数值",IF(OR(N44&lt;1,N44&gt;100),"电泵效率应为1～100的百分数本值",""))),IF(U44="","缺少铭牌照片",""),IF(AND(ISTEXT(V44),OR(V44&lt;&gt;TRIM(V44),ISNUMBER(SEARCH("　",V44)))),"填表备注含首尾空格或全角空格",""),IF(AND(F44="小型潜水电泵",G44&lt;&gt;"",COUNTIF(EV_SUB_FORM_SMALL,G44)=0),"设备形式与小型潜水电泵类别不匹配",""),IF(AND(F44="大中型潜水电泵",G44&lt;&gt;"",COUNTIF(EV_SUB_FORM_LARGE,G44)=0),"设备形式与大中型潜水电泵类别不匹配",""),IF(AND(F44="污水污物潜水电泵",G44&lt;&gt;"",COUNTIF(EV_SUB_FORM_WASTE,G44)=0),"设备形式与污水污物潜水电泵类别不匹配",""),IF(AND(F44="井用潜水电泵",G44&lt;&gt;"",COUNTIF(EV_SUB_FORM_WELL,G44)=0),"设备形式与井用潜水电泵类别不匹配",""),IF(AND(F44="混流潜水电泵",G44&lt;&gt;"",COUNTIF(EV_SUB_FORM_MIXED,G44)=0),"设备形式与混流潜水电泵类别不匹配","")),"")</f>
        <v/>
      </c>
    </row>
    <row r="45" ht="42" customHeight="1" s="184">
      <c r="A45" s="224">
        <f>IF(COUNTA(B45,C45,D45,E45,F45,G45,H45,I45,J45,K45,L45,M45,N45,U45,V45)&gt;0,ROW()-3,"")</f>
        <v/>
      </c>
      <c r="B45" s="176" t="n"/>
      <c r="C45" s="176" t="n"/>
      <c r="D45" s="228" t="n"/>
      <c r="E45" s="176" t="n"/>
      <c r="F45" s="218" t="n"/>
      <c r="G45" s="176" t="n"/>
      <c r="H45" s="229" t="n"/>
      <c r="I45" s="229" t="n"/>
      <c r="J45" s="229" t="n"/>
      <c r="K45" s="237" t="n"/>
      <c r="L45" s="229" t="n"/>
      <c r="M45" s="228" t="n"/>
      <c r="N45" s="229" t="n"/>
      <c r="O45" s="236" t="n"/>
      <c r="P45" s="236" t="n"/>
      <c r="Q45" s="227" t="n"/>
      <c r="R45" s="227" t="n"/>
      <c r="S45" s="227" t="n"/>
      <c r="T45" s="81" t="n"/>
      <c r="U45" s="180" t="n"/>
      <c r="V45" s="180" t="n"/>
      <c r="W45" s="99">
        <f>IF(COUNTA(B45,C45,D45,E45,F45,G45,H45,I45,J45,K45,L45,M45,N45,U45,V45)&gt;0,TEXTJOIN("；",TRUE,IF(B45="","缺少设备名称",""),IF(AND(ISTEXT(B45),OR(B45&lt;&gt;TRIM(B45),ISNUMBER(SEARCH("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",C45)))),"型号含首尾空格或全角空格",""),IF(D45="","缺少数量",""),IF(D45="","",IF(NOT(ISNUMBER(D45)),"数量应为数值",IF(OR(D45&lt;=0,MOD(D45,1)&lt;&gt;0),"数量应为正整数",""))),IF(AND(ISTEXT(E45),OR(E45&lt;&gt;TRIM(E45),ISNUMBER(SEARCH("　",E45)))),"安装位置含首尾空格或全角空格",""),IF(F45="","缺少设备类别",""),IF(F45="","",IF(COUNTIF(EV_SUBMERSIBLE_CATEGORY,F45)=0,"设备类别不在标准枚举中","")),IF(AND(ISTEXT(F45),OR(F45&lt;&gt;TRIM(F45),ISNUMBER(SEARCH("　",F45)))),"设备类别含首尾空格或全角空格",""),IF(G45="","缺少设备形式",""),IF(G45="","",IF(COUNTIF(EV_SUB_FORM_ALL,G45)=0,"设备形式不在标准枚举中","")),IF(AND(ISTEXT(G45),OR(G45&lt;&gt;TRIM(G45),ISNUMBER(SEARCH("　",G45)))),"设备形式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工作温度",""),IF(K45="","",IF(NOT(ISNUMBER(K45)),"工作温度应为数值",IF(OR(K45&lt;0,K45&gt;100),"工作温度应为0～100",""))),IF(L45="","缺少额定功率",""),IF(L45="","",IF(NOT(ISNUMBER(L45)),"额定功率应为数值",IF(L45&lt;=0,"额定功率应大于0",""))),IF(M45="","缺少级数",""),IF(M45="","",IF(NOT(ISNUMBER(M45)),"级数应为数值",IF(OR(M45&lt;=0,MOD(M45,1)&lt;&gt;0),"级数应为正整数",""))),IF(N45="","缺少电泵效率",""),IF(N45="","",IF(NOT(ISNUMBER(N45)),"电泵效率应为数值",IF(OR(N45&lt;1,N45&gt;100),"电泵效率应为1～100的百分数本值",""))),IF(U45="","缺少铭牌照片",""),IF(AND(ISTEXT(V45),OR(V45&lt;&gt;TRIM(V45),ISNUMBER(SEARCH("　",V45)))),"填表备注含首尾空格或全角空格",""),IF(AND(F45="小型潜水电泵",G45&lt;&gt;"",COUNTIF(EV_SUB_FORM_SMALL,G45)=0),"设备形式与小型潜水电泵类别不匹配",""),IF(AND(F45="大中型潜水电泵",G45&lt;&gt;"",COUNTIF(EV_SUB_FORM_LARGE,G45)=0),"设备形式与大中型潜水电泵类别不匹配",""),IF(AND(F45="污水污物潜水电泵",G45&lt;&gt;"",COUNTIF(EV_SUB_FORM_WASTE,G45)=0),"设备形式与污水污物潜水电泵类别不匹配",""),IF(AND(F45="井用潜水电泵",G45&lt;&gt;"",COUNTIF(EV_SUB_FORM_WELL,G45)=0),"设备形式与井用潜水电泵类别不匹配",""),IF(AND(F45="混流潜水电泵",G45&lt;&gt;"",COUNTIF(EV_SUB_FORM_MIXED,G45)=0),"设备形式与混流潜水电泵类别不匹配","")),"")</f>
        <v/>
      </c>
    </row>
    <row r="46" ht="42" customHeight="1" s="184">
      <c r="A46" s="224">
        <f>IF(COUNTA(B46,C46,D46,E46,F46,G46,H46,I46,J46,K46,L46,M46,N46,U46,V46)&gt;0,ROW()-3,"")</f>
        <v/>
      </c>
      <c r="B46" s="176" t="n"/>
      <c r="C46" s="176" t="n"/>
      <c r="D46" s="228" t="n"/>
      <c r="E46" s="176" t="n"/>
      <c r="F46" s="218" t="n"/>
      <c r="G46" s="176" t="n"/>
      <c r="H46" s="229" t="n"/>
      <c r="I46" s="229" t="n"/>
      <c r="J46" s="229" t="n"/>
      <c r="K46" s="237" t="n"/>
      <c r="L46" s="229" t="n"/>
      <c r="M46" s="228" t="n"/>
      <c r="N46" s="229" t="n"/>
      <c r="O46" s="236" t="n"/>
      <c r="P46" s="236" t="n"/>
      <c r="Q46" s="227" t="n"/>
      <c r="R46" s="227" t="n"/>
      <c r="S46" s="227" t="n"/>
      <c r="T46" s="81" t="n"/>
      <c r="U46" s="180" t="n"/>
      <c r="V46" s="180" t="n"/>
      <c r="W46" s="99">
        <f>IF(COUNTA(B46,C46,D46,E46,F46,G46,H46,I46,J46,K46,L46,M46,N46,U46,V46)&gt;0,TEXTJOIN("；",TRUE,IF(B46="","缺少设备名称",""),IF(AND(ISTEXT(B46),OR(B46&lt;&gt;TRIM(B46),ISNUMBER(SEARCH("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",C46)))),"型号含首尾空格或全角空格",""),IF(D46="","缺少数量",""),IF(D46="","",IF(NOT(ISNUMBER(D46)),"数量应为数值",IF(OR(D46&lt;=0,MOD(D46,1)&lt;&gt;0),"数量应为正整数",""))),IF(AND(ISTEXT(E46),OR(E46&lt;&gt;TRIM(E46),ISNUMBER(SEARCH("　",E46)))),"安装位置含首尾空格或全角空格",""),IF(F46="","缺少设备类别",""),IF(F46="","",IF(COUNTIF(EV_SUBMERSIBLE_CATEGORY,F46)=0,"设备类别不在标准枚举中","")),IF(AND(ISTEXT(F46),OR(F46&lt;&gt;TRIM(F46),ISNUMBER(SEARCH("　",F46)))),"设备类别含首尾空格或全角空格",""),IF(G46="","缺少设备形式",""),IF(G46="","",IF(COUNTIF(EV_SUB_FORM_ALL,G46)=0,"设备形式不在标准枚举中","")),IF(AND(ISTEXT(G46),OR(G46&lt;&gt;TRIM(G46),ISNUMBER(SEARCH("　",G46)))),"设备形式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工作温度",""),IF(K46="","",IF(NOT(ISNUMBER(K46)),"工作温度应为数值",IF(OR(K46&lt;0,K46&gt;100),"工作温度应为0～100",""))),IF(L46="","缺少额定功率",""),IF(L46="","",IF(NOT(ISNUMBER(L46)),"额定功率应为数值",IF(L46&lt;=0,"额定功率应大于0",""))),IF(M46="","缺少级数",""),IF(M46="","",IF(NOT(ISNUMBER(M46)),"级数应为数值",IF(OR(M46&lt;=0,MOD(M46,1)&lt;&gt;0),"级数应为正整数",""))),IF(N46="","缺少电泵效率",""),IF(N46="","",IF(NOT(ISNUMBER(N46)),"电泵效率应为数值",IF(OR(N46&lt;1,N46&gt;100),"电泵效率应为1～100的百分数本值",""))),IF(U46="","缺少铭牌照片",""),IF(AND(ISTEXT(V46),OR(V46&lt;&gt;TRIM(V46),ISNUMBER(SEARCH("　",V46)))),"填表备注含首尾空格或全角空格",""),IF(AND(F46="小型潜水电泵",G46&lt;&gt;"",COUNTIF(EV_SUB_FORM_SMALL,G46)=0),"设备形式与小型潜水电泵类别不匹配",""),IF(AND(F46="大中型潜水电泵",G46&lt;&gt;"",COUNTIF(EV_SUB_FORM_LARGE,G46)=0),"设备形式与大中型潜水电泵类别不匹配",""),IF(AND(F46="污水污物潜水电泵",G46&lt;&gt;"",COUNTIF(EV_SUB_FORM_WASTE,G46)=0),"设备形式与污水污物潜水电泵类别不匹配",""),IF(AND(F46="井用潜水电泵",G46&lt;&gt;"",COUNTIF(EV_SUB_FORM_WELL,G46)=0),"设备形式与井用潜水电泵类别不匹配",""),IF(AND(F46="混流潜水电泵",G46&lt;&gt;"",COUNTIF(EV_SUB_FORM_MIXED,G46)=0),"设备形式与混流潜水电泵类别不匹配","")),"")</f>
        <v/>
      </c>
    </row>
    <row r="47" ht="42" customHeight="1" s="184">
      <c r="A47" s="224">
        <f>IF(COUNTA(B47,C47,D47,E47,F47,G47,H47,I47,J47,K47,L47,M47,N47,U47,V47)&gt;0,ROW()-3,"")</f>
        <v/>
      </c>
      <c r="B47" s="176" t="n"/>
      <c r="C47" s="176" t="n"/>
      <c r="D47" s="228" t="n"/>
      <c r="E47" s="176" t="n"/>
      <c r="F47" s="218" t="n"/>
      <c r="G47" s="176" t="n"/>
      <c r="H47" s="229" t="n"/>
      <c r="I47" s="229" t="n"/>
      <c r="J47" s="229" t="n"/>
      <c r="K47" s="237" t="n"/>
      <c r="L47" s="229" t="n"/>
      <c r="M47" s="228" t="n"/>
      <c r="N47" s="229" t="n"/>
      <c r="O47" s="236" t="n"/>
      <c r="P47" s="236" t="n"/>
      <c r="Q47" s="227" t="n"/>
      <c r="R47" s="227" t="n"/>
      <c r="S47" s="227" t="n"/>
      <c r="T47" s="81" t="n"/>
      <c r="U47" s="180" t="n"/>
      <c r="V47" s="180" t="n"/>
      <c r="W47" s="99">
        <f>IF(COUNTA(B47,C47,D47,E47,F47,G47,H47,I47,J47,K47,L47,M47,N47,U47,V47)&gt;0,TEXTJOIN("；",TRUE,IF(B47="","缺少设备名称",""),IF(AND(ISTEXT(B47),OR(B47&lt;&gt;TRIM(B47),ISNUMBER(SEARCH("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",C47)))),"型号含首尾空格或全角空格",""),IF(D47="","缺少数量",""),IF(D47="","",IF(NOT(ISNUMBER(D47)),"数量应为数值",IF(OR(D47&lt;=0,MOD(D47,1)&lt;&gt;0),"数量应为正整数",""))),IF(AND(ISTEXT(E47),OR(E47&lt;&gt;TRIM(E47),ISNUMBER(SEARCH("　",E47)))),"安装位置含首尾空格或全角空格",""),IF(F47="","缺少设备类别",""),IF(F47="","",IF(COUNTIF(EV_SUBMERSIBLE_CATEGORY,F47)=0,"设备类别不在标准枚举中","")),IF(AND(ISTEXT(F47),OR(F47&lt;&gt;TRIM(F47),ISNUMBER(SEARCH("　",F47)))),"设备类别含首尾空格或全角空格",""),IF(G47="","缺少设备形式",""),IF(G47="","",IF(COUNTIF(EV_SUB_FORM_ALL,G47)=0,"设备形式不在标准枚举中","")),IF(AND(ISTEXT(G47),OR(G47&lt;&gt;TRIM(G47),ISNUMBER(SEARCH("　",G47)))),"设备形式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工作温度",""),IF(K47="","",IF(NOT(ISNUMBER(K47)),"工作温度应为数值",IF(OR(K47&lt;0,K47&gt;100),"工作温度应为0～100",""))),IF(L47="","缺少额定功率",""),IF(L47="","",IF(NOT(ISNUMBER(L47)),"额定功率应为数值",IF(L47&lt;=0,"额定功率应大于0",""))),IF(M47="","缺少级数",""),IF(M47="","",IF(NOT(ISNUMBER(M47)),"级数应为数值",IF(OR(M47&lt;=0,MOD(M47,1)&lt;&gt;0),"级数应为正整数",""))),IF(N47="","缺少电泵效率",""),IF(N47="","",IF(NOT(ISNUMBER(N47)),"电泵效率应为数值",IF(OR(N47&lt;1,N47&gt;100),"电泵效率应为1～100的百分数本值",""))),IF(U47="","缺少铭牌照片",""),IF(AND(ISTEXT(V47),OR(V47&lt;&gt;TRIM(V47),ISNUMBER(SEARCH("　",V47)))),"填表备注含首尾空格或全角空格",""),IF(AND(F47="小型潜水电泵",G47&lt;&gt;"",COUNTIF(EV_SUB_FORM_SMALL,G47)=0),"设备形式与小型潜水电泵类别不匹配",""),IF(AND(F47="大中型潜水电泵",G47&lt;&gt;"",COUNTIF(EV_SUB_FORM_LARGE,G47)=0),"设备形式与大中型潜水电泵类别不匹配",""),IF(AND(F47="污水污物潜水电泵",G47&lt;&gt;"",COUNTIF(EV_SUB_FORM_WASTE,G47)=0),"设备形式与污水污物潜水电泵类别不匹配",""),IF(AND(F47="井用潜水电泵",G47&lt;&gt;"",COUNTIF(EV_SUB_FORM_WELL,G47)=0),"设备形式与井用潜水电泵类别不匹配",""),IF(AND(F47="混流潜水电泵",G47&lt;&gt;"",COUNTIF(EV_SUB_FORM_MIXED,G47)=0),"设备形式与混流潜水电泵类别不匹配","")),"")</f>
        <v/>
      </c>
    </row>
    <row r="48" ht="42" customHeight="1" s="184">
      <c r="A48" s="224">
        <f>IF(COUNTA(B48,C48,D48,E48,F48,G48,H48,I48,J48,K48,L48,M48,N48,U48,V48)&gt;0,ROW()-3,"")</f>
        <v/>
      </c>
      <c r="B48" s="176" t="n"/>
      <c r="C48" s="176" t="n"/>
      <c r="D48" s="228" t="n"/>
      <c r="E48" s="176" t="n"/>
      <c r="F48" s="218" t="n"/>
      <c r="G48" s="176" t="n"/>
      <c r="H48" s="229" t="n"/>
      <c r="I48" s="229" t="n"/>
      <c r="J48" s="229" t="n"/>
      <c r="K48" s="237" t="n"/>
      <c r="L48" s="229" t="n"/>
      <c r="M48" s="228" t="n"/>
      <c r="N48" s="229" t="n"/>
      <c r="O48" s="236" t="n"/>
      <c r="P48" s="236" t="n"/>
      <c r="Q48" s="227" t="n"/>
      <c r="R48" s="227" t="n"/>
      <c r="S48" s="227" t="n"/>
      <c r="T48" s="81" t="n"/>
      <c r="U48" s="180" t="n"/>
      <c r="V48" s="180" t="n"/>
      <c r="W48" s="99">
        <f>IF(COUNTA(B48,C48,D48,E48,F48,G48,H48,I48,J48,K48,L48,M48,N48,U48,V48)&gt;0,TEXTJOIN("；",TRUE,IF(B48="","缺少设备名称",""),IF(AND(ISTEXT(B48),OR(B48&lt;&gt;TRIM(B48),ISNUMBER(SEARCH("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",C48)))),"型号含首尾空格或全角空格",""),IF(D48="","缺少数量",""),IF(D48="","",IF(NOT(ISNUMBER(D48)),"数量应为数值",IF(OR(D48&lt;=0,MOD(D48,1)&lt;&gt;0),"数量应为正整数",""))),IF(AND(ISTEXT(E48),OR(E48&lt;&gt;TRIM(E48),ISNUMBER(SEARCH("　",E48)))),"安装位置含首尾空格或全角空格",""),IF(F48="","缺少设备类别",""),IF(F48="","",IF(COUNTIF(EV_SUBMERSIBLE_CATEGORY,F48)=0,"设备类别不在标准枚举中","")),IF(AND(ISTEXT(F48),OR(F48&lt;&gt;TRIM(F48),ISNUMBER(SEARCH("　",F48)))),"设备类别含首尾空格或全角空格",""),IF(G48="","缺少设备形式",""),IF(G48="","",IF(COUNTIF(EV_SUB_FORM_ALL,G48)=0,"设备形式不在标准枚举中","")),IF(AND(ISTEXT(G48),OR(G48&lt;&gt;TRIM(G48),ISNUMBER(SEARCH("　",G48)))),"设备形式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工作温度",""),IF(K48="","",IF(NOT(ISNUMBER(K48)),"工作温度应为数值",IF(OR(K48&lt;0,K48&gt;100),"工作温度应为0～100",""))),IF(L48="","缺少额定功率",""),IF(L48="","",IF(NOT(ISNUMBER(L48)),"额定功率应为数值",IF(L48&lt;=0,"额定功率应大于0",""))),IF(M48="","缺少级数",""),IF(M48="","",IF(NOT(ISNUMBER(M48)),"级数应为数值",IF(OR(M48&lt;=0,MOD(M48,1)&lt;&gt;0),"级数应为正整数",""))),IF(N48="","缺少电泵效率",""),IF(N48="","",IF(NOT(ISNUMBER(N48)),"电泵效率应为数值",IF(OR(N48&lt;1,N48&gt;100),"电泵效率应为1～100的百分数本值",""))),IF(U48="","缺少铭牌照片",""),IF(AND(ISTEXT(V48),OR(V48&lt;&gt;TRIM(V48),ISNUMBER(SEARCH("　",V48)))),"填表备注含首尾空格或全角空格",""),IF(AND(F48="小型潜水电泵",G48&lt;&gt;"",COUNTIF(EV_SUB_FORM_SMALL,G48)=0),"设备形式与小型潜水电泵类别不匹配",""),IF(AND(F48="大中型潜水电泵",G48&lt;&gt;"",COUNTIF(EV_SUB_FORM_LARGE,G48)=0),"设备形式与大中型潜水电泵类别不匹配",""),IF(AND(F48="污水污物潜水电泵",G48&lt;&gt;"",COUNTIF(EV_SUB_FORM_WASTE,G48)=0),"设备形式与污水污物潜水电泵类别不匹配",""),IF(AND(F48="井用潜水电泵",G48&lt;&gt;"",COUNTIF(EV_SUB_FORM_WELL,G48)=0),"设备形式与井用潜水电泵类别不匹配",""),IF(AND(F48="混流潜水电泵",G48&lt;&gt;"",COUNTIF(EV_SUB_FORM_MIXED,G48)=0),"设备形式与混流潜水电泵类别不匹配","")),"")</f>
        <v/>
      </c>
    </row>
    <row r="49" ht="42" customHeight="1" s="184">
      <c r="A49" s="224">
        <f>IF(COUNTA(B49,C49,D49,E49,F49,G49,H49,I49,J49,K49,L49,M49,N49,U49,V49)&gt;0,ROW()-3,"")</f>
        <v/>
      </c>
      <c r="B49" s="176" t="n"/>
      <c r="C49" s="176" t="n"/>
      <c r="D49" s="228" t="n"/>
      <c r="E49" s="176" t="n"/>
      <c r="F49" s="218" t="n"/>
      <c r="G49" s="176" t="n"/>
      <c r="H49" s="229" t="n"/>
      <c r="I49" s="229" t="n"/>
      <c r="J49" s="229" t="n"/>
      <c r="K49" s="237" t="n"/>
      <c r="L49" s="229" t="n"/>
      <c r="M49" s="228" t="n"/>
      <c r="N49" s="229" t="n"/>
      <c r="O49" s="236" t="n"/>
      <c r="P49" s="236" t="n"/>
      <c r="Q49" s="227" t="n"/>
      <c r="R49" s="227" t="n"/>
      <c r="S49" s="227" t="n"/>
      <c r="T49" s="81" t="n"/>
      <c r="U49" s="180" t="n"/>
      <c r="V49" s="180" t="n"/>
      <c r="W49" s="99">
        <f>IF(COUNTA(B49,C49,D49,E49,F49,G49,H49,I49,J49,K49,L49,M49,N49,U49,V49)&gt;0,TEXTJOIN("；",TRUE,IF(B49="","缺少设备名称",""),IF(AND(ISTEXT(B49),OR(B49&lt;&gt;TRIM(B49),ISNUMBER(SEARCH("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",C49)))),"型号含首尾空格或全角空格",""),IF(D49="","缺少数量",""),IF(D49="","",IF(NOT(ISNUMBER(D49)),"数量应为数值",IF(OR(D49&lt;=0,MOD(D49,1)&lt;&gt;0),"数量应为正整数",""))),IF(AND(ISTEXT(E49),OR(E49&lt;&gt;TRIM(E49),ISNUMBER(SEARCH("　",E49)))),"安装位置含首尾空格或全角空格",""),IF(F49="","缺少设备类别",""),IF(F49="","",IF(COUNTIF(EV_SUBMERSIBLE_CATEGORY,F49)=0,"设备类别不在标准枚举中","")),IF(AND(ISTEXT(F49),OR(F49&lt;&gt;TRIM(F49),ISNUMBER(SEARCH("　",F49)))),"设备类别含首尾空格或全角空格",""),IF(G49="","缺少设备形式",""),IF(G49="","",IF(COUNTIF(EV_SUB_FORM_ALL,G49)=0,"设备形式不在标准枚举中","")),IF(AND(ISTEXT(G49),OR(G49&lt;&gt;TRIM(G49),ISNUMBER(SEARCH("　",G49)))),"设备形式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工作温度",""),IF(K49="","",IF(NOT(ISNUMBER(K49)),"工作温度应为数值",IF(OR(K49&lt;0,K49&gt;100),"工作温度应为0～100",""))),IF(L49="","缺少额定功率",""),IF(L49="","",IF(NOT(ISNUMBER(L49)),"额定功率应为数值",IF(L49&lt;=0,"额定功率应大于0",""))),IF(M49="","缺少级数",""),IF(M49="","",IF(NOT(ISNUMBER(M49)),"级数应为数值",IF(OR(M49&lt;=0,MOD(M49,1)&lt;&gt;0),"级数应为正整数",""))),IF(N49="","缺少电泵效率",""),IF(N49="","",IF(NOT(ISNUMBER(N49)),"电泵效率应为数值",IF(OR(N49&lt;1,N49&gt;100),"电泵效率应为1～100的百分数本值",""))),IF(U49="","缺少铭牌照片",""),IF(AND(ISTEXT(V49),OR(V49&lt;&gt;TRIM(V49),ISNUMBER(SEARCH("　",V49)))),"填表备注含首尾空格或全角空格",""),IF(AND(F49="小型潜水电泵",G49&lt;&gt;"",COUNTIF(EV_SUB_FORM_SMALL,G49)=0),"设备形式与小型潜水电泵类别不匹配",""),IF(AND(F49="大中型潜水电泵",G49&lt;&gt;"",COUNTIF(EV_SUB_FORM_LARGE,G49)=0),"设备形式与大中型潜水电泵类别不匹配",""),IF(AND(F49="污水污物潜水电泵",G49&lt;&gt;"",COUNTIF(EV_SUB_FORM_WASTE,G49)=0),"设备形式与污水污物潜水电泵类别不匹配",""),IF(AND(F49="井用潜水电泵",G49&lt;&gt;"",COUNTIF(EV_SUB_FORM_WELL,G49)=0),"设备形式与井用潜水电泵类别不匹配",""),IF(AND(F49="混流潜水电泵",G49&lt;&gt;"",COUNTIF(EV_SUB_FORM_MIXED,G49)=0),"设备形式与混流潜水电泵类别不匹配","")),"")</f>
        <v/>
      </c>
    </row>
    <row r="50" ht="42" customHeight="1" s="184">
      <c r="A50" s="224">
        <f>IF(COUNTA(B50,C50,D50,E50,F50,G50,H50,I50,J50,K50,L50,M50,N50,U50,V50)&gt;0,ROW()-3,"")</f>
        <v/>
      </c>
      <c r="B50" s="176" t="n"/>
      <c r="C50" s="176" t="n"/>
      <c r="D50" s="228" t="n"/>
      <c r="E50" s="176" t="n"/>
      <c r="F50" s="218" t="n"/>
      <c r="G50" s="176" t="n"/>
      <c r="H50" s="229" t="n"/>
      <c r="I50" s="229" t="n"/>
      <c r="J50" s="229" t="n"/>
      <c r="K50" s="237" t="n"/>
      <c r="L50" s="229" t="n"/>
      <c r="M50" s="228" t="n"/>
      <c r="N50" s="229" t="n"/>
      <c r="O50" s="236" t="n"/>
      <c r="P50" s="236" t="n"/>
      <c r="Q50" s="227" t="n"/>
      <c r="R50" s="227" t="n"/>
      <c r="S50" s="227" t="n"/>
      <c r="T50" s="81" t="n"/>
      <c r="U50" s="180" t="n"/>
      <c r="V50" s="180" t="n"/>
      <c r="W50" s="99">
        <f>IF(COUNTA(B50,C50,D50,E50,F50,G50,H50,I50,J50,K50,L50,M50,N50,U50,V50)&gt;0,TEXTJOIN("；",TRUE,IF(B50="","缺少设备名称",""),IF(AND(ISTEXT(B50),OR(B50&lt;&gt;TRIM(B50),ISNUMBER(SEARCH("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",C50)))),"型号含首尾空格或全角空格",""),IF(D50="","缺少数量",""),IF(D50="","",IF(NOT(ISNUMBER(D50)),"数量应为数值",IF(OR(D50&lt;=0,MOD(D50,1)&lt;&gt;0),"数量应为正整数",""))),IF(AND(ISTEXT(E50),OR(E50&lt;&gt;TRIM(E50),ISNUMBER(SEARCH("　",E50)))),"安装位置含首尾空格或全角空格",""),IF(F50="","缺少设备类别",""),IF(F50="","",IF(COUNTIF(EV_SUBMERSIBLE_CATEGORY,F50)=0,"设备类别不在标准枚举中","")),IF(AND(ISTEXT(F50),OR(F50&lt;&gt;TRIM(F50),ISNUMBER(SEARCH("　",F50)))),"设备类别含首尾空格或全角空格",""),IF(G50="","缺少设备形式",""),IF(G50="","",IF(COUNTIF(EV_SUB_FORM_ALL,G50)=0,"设备形式不在标准枚举中","")),IF(AND(ISTEXT(G50),OR(G50&lt;&gt;TRIM(G50),ISNUMBER(SEARCH("　",G50)))),"设备形式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工作温度",""),IF(K50="","",IF(NOT(ISNUMBER(K50)),"工作温度应为数值",IF(OR(K50&lt;0,K50&gt;100),"工作温度应为0～100",""))),IF(L50="","缺少额定功率",""),IF(L50="","",IF(NOT(ISNUMBER(L50)),"额定功率应为数值",IF(L50&lt;=0,"额定功率应大于0",""))),IF(M50="","缺少级数",""),IF(M50="","",IF(NOT(ISNUMBER(M50)),"级数应为数值",IF(OR(M50&lt;=0,MOD(M50,1)&lt;&gt;0),"级数应为正整数",""))),IF(N50="","缺少电泵效率",""),IF(N50="","",IF(NOT(ISNUMBER(N50)),"电泵效率应为数值",IF(OR(N50&lt;1,N50&gt;100),"电泵效率应为1～100的百分数本值",""))),IF(U50="","缺少铭牌照片",""),IF(AND(ISTEXT(V50),OR(V50&lt;&gt;TRIM(V50),ISNUMBER(SEARCH("　",V50)))),"填表备注含首尾空格或全角空格",""),IF(AND(F50="小型潜水电泵",G50&lt;&gt;"",COUNTIF(EV_SUB_FORM_SMALL,G50)=0),"设备形式与小型潜水电泵类别不匹配",""),IF(AND(F50="大中型潜水电泵",G50&lt;&gt;"",COUNTIF(EV_SUB_FORM_LARGE,G50)=0),"设备形式与大中型潜水电泵类别不匹配",""),IF(AND(F50="污水污物潜水电泵",G50&lt;&gt;"",COUNTIF(EV_SUB_FORM_WASTE,G50)=0),"设备形式与污水污物潜水电泵类别不匹配",""),IF(AND(F50="井用潜水电泵",G50&lt;&gt;"",COUNTIF(EV_SUB_FORM_WELL,G50)=0),"设备形式与井用潜水电泵类别不匹配",""),IF(AND(F50="混流潜水电泵",G50&lt;&gt;"",COUNTIF(EV_SUB_FORM_MIXED,G50)=0),"设备形式与混流潜水电泵类别不匹配","")),"")</f>
        <v/>
      </c>
    </row>
    <row r="51" ht="42" customHeight="1" s="184">
      <c r="A51" s="224">
        <f>IF(COUNTA(B51,C51,D51,E51,F51,G51,H51,I51,J51,K51,L51,M51,N51,U51,V51)&gt;0,ROW()-3,"")</f>
        <v/>
      </c>
      <c r="B51" s="176" t="n"/>
      <c r="C51" s="176" t="n"/>
      <c r="D51" s="228" t="n"/>
      <c r="E51" s="176" t="n"/>
      <c r="F51" s="218" t="n"/>
      <c r="G51" s="176" t="n"/>
      <c r="H51" s="229" t="n"/>
      <c r="I51" s="229" t="n"/>
      <c r="J51" s="229" t="n"/>
      <c r="K51" s="237" t="n"/>
      <c r="L51" s="229" t="n"/>
      <c r="M51" s="228" t="n"/>
      <c r="N51" s="229" t="n"/>
      <c r="O51" s="236" t="n"/>
      <c r="P51" s="236" t="n"/>
      <c r="Q51" s="227" t="n"/>
      <c r="R51" s="227" t="n"/>
      <c r="S51" s="227" t="n"/>
      <c r="T51" s="81" t="n"/>
      <c r="U51" s="180" t="n"/>
      <c r="V51" s="180" t="n"/>
      <c r="W51" s="99">
        <f>IF(COUNTA(B51,C51,D51,E51,F51,G51,H51,I51,J51,K51,L51,M51,N51,U51,V51)&gt;0,TEXTJOIN("；",TRUE,IF(B51="","缺少设备名称",""),IF(AND(ISTEXT(B51),OR(B51&lt;&gt;TRIM(B51),ISNUMBER(SEARCH("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",C51)))),"型号含首尾空格或全角空格",""),IF(D51="","缺少数量",""),IF(D51="","",IF(NOT(ISNUMBER(D51)),"数量应为数值",IF(OR(D51&lt;=0,MOD(D51,1)&lt;&gt;0),"数量应为正整数",""))),IF(AND(ISTEXT(E51),OR(E51&lt;&gt;TRIM(E51),ISNUMBER(SEARCH("　",E51)))),"安装位置含首尾空格或全角空格",""),IF(F51="","缺少设备类别",""),IF(F51="","",IF(COUNTIF(EV_SUBMERSIBLE_CATEGORY,F51)=0,"设备类别不在标准枚举中","")),IF(AND(ISTEXT(F51),OR(F51&lt;&gt;TRIM(F51),ISNUMBER(SEARCH("　",F51)))),"设备类别含首尾空格或全角空格",""),IF(G51="","缺少设备形式",""),IF(G51="","",IF(COUNTIF(EV_SUB_FORM_ALL,G51)=0,"设备形式不在标准枚举中","")),IF(AND(ISTEXT(G51),OR(G51&lt;&gt;TRIM(G51),ISNUMBER(SEARCH("　",G51)))),"设备形式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工作温度",""),IF(K51="","",IF(NOT(ISNUMBER(K51)),"工作温度应为数值",IF(OR(K51&lt;0,K51&gt;100),"工作温度应为0～100",""))),IF(L51="","缺少额定功率",""),IF(L51="","",IF(NOT(ISNUMBER(L51)),"额定功率应为数值",IF(L51&lt;=0,"额定功率应大于0",""))),IF(M51="","缺少级数",""),IF(M51="","",IF(NOT(ISNUMBER(M51)),"级数应为数值",IF(OR(M51&lt;=0,MOD(M51,1)&lt;&gt;0),"级数应为正整数",""))),IF(N51="","缺少电泵效率",""),IF(N51="","",IF(NOT(ISNUMBER(N51)),"电泵效率应为数值",IF(OR(N51&lt;1,N51&gt;100),"电泵效率应为1～100的百分数本值",""))),IF(U51="","缺少铭牌照片",""),IF(AND(ISTEXT(V51),OR(V51&lt;&gt;TRIM(V51),ISNUMBER(SEARCH("　",V51)))),"填表备注含首尾空格或全角空格",""),IF(AND(F51="小型潜水电泵",G51&lt;&gt;"",COUNTIF(EV_SUB_FORM_SMALL,G51)=0),"设备形式与小型潜水电泵类别不匹配",""),IF(AND(F51="大中型潜水电泵",G51&lt;&gt;"",COUNTIF(EV_SUB_FORM_LARGE,G51)=0),"设备形式与大中型潜水电泵类别不匹配",""),IF(AND(F51="污水污物潜水电泵",G51&lt;&gt;"",COUNTIF(EV_SUB_FORM_WASTE,G51)=0),"设备形式与污水污物潜水电泵类别不匹配",""),IF(AND(F51="井用潜水电泵",G51&lt;&gt;"",COUNTIF(EV_SUB_FORM_WELL,G51)=0),"设备形式与井用潜水电泵类别不匹配",""),IF(AND(F51="混流潜水电泵",G51&lt;&gt;"",COUNTIF(EV_SUB_FORM_MIXED,G51)=0),"设备形式与混流潜水电泵类别不匹配","")),"")</f>
        <v/>
      </c>
    </row>
    <row r="52" ht="42" customHeight="1" s="184">
      <c r="A52" s="224">
        <f>IF(COUNTA(B52,C52,D52,E52,F52,G52,H52,I52,J52,K52,L52,M52,N52,U52,V52)&gt;0,ROW()-3,"")</f>
        <v/>
      </c>
      <c r="B52" s="176" t="n"/>
      <c r="C52" s="176" t="n"/>
      <c r="D52" s="228" t="n"/>
      <c r="E52" s="176" t="n"/>
      <c r="F52" s="218" t="n"/>
      <c r="G52" s="176" t="n"/>
      <c r="H52" s="229" t="n"/>
      <c r="I52" s="229" t="n"/>
      <c r="J52" s="229" t="n"/>
      <c r="K52" s="237" t="n"/>
      <c r="L52" s="229" t="n"/>
      <c r="M52" s="228" t="n"/>
      <c r="N52" s="229" t="n"/>
      <c r="O52" s="236" t="n"/>
      <c r="P52" s="236" t="n"/>
      <c r="Q52" s="227" t="n"/>
      <c r="R52" s="227" t="n"/>
      <c r="S52" s="227" t="n"/>
      <c r="T52" s="81" t="n"/>
      <c r="U52" s="180" t="n"/>
      <c r="V52" s="180" t="n"/>
      <c r="W52" s="99">
        <f>IF(COUNTA(B52,C52,D52,E52,F52,G52,H52,I52,J52,K52,L52,M52,N52,U52,V52)&gt;0,TEXTJOIN("；",TRUE,IF(B52="","缺少设备名称",""),IF(AND(ISTEXT(B52),OR(B52&lt;&gt;TRIM(B52),ISNUMBER(SEARCH("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",C52)))),"型号含首尾空格或全角空格",""),IF(D52="","缺少数量",""),IF(D52="","",IF(NOT(ISNUMBER(D52)),"数量应为数值",IF(OR(D52&lt;=0,MOD(D52,1)&lt;&gt;0),"数量应为正整数",""))),IF(AND(ISTEXT(E52),OR(E52&lt;&gt;TRIM(E52),ISNUMBER(SEARCH("　",E52)))),"安装位置含首尾空格或全角空格",""),IF(F52="","缺少设备类别",""),IF(F52="","",IF(COUNTIF(EV_SUBMERSIBLE_CATEGORY,F52)=0,"设备类别不在标准枚举中","")),IF(AND(ISTEXT(F52),OR(F52&lt;&gt;TRIM(F52),ISNUMBER(SEARCH("　",F52)))),"设备类别含首尾空格或全角空格",""),IF(G52="","缺少设备形式",""),IF(G52="","",IF(COUNTIF(EV_SUB_FORM_ALL,G52)=0,"设备形式不在标准枚举中","")),IF(AND(ISTEXT(G52),OR(G52&lt;&gt;TRIM(G52),ISNUMBER(SEARCH("　",G52)))),"设备形式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工作温度",""),IF(K52="","",IF(NOT(ISNUMBER(K52)),"工作温度应为数值",IF(OR(K52&lt;0,K52&gt;100),"工作温度应为0～100",""))),IF(L52="","缺少额定功率",""),IF(L52="","",IF(NOT(ISNUMBER(L52)),"额定功率应为数值",IF(L52&lt;=0,"额定功率应大于0",""))),IF(M52="","缺少级数",""),IF(M52="","",IF(NOT(ISNUMBER(M52)),"级数应为数值",IF(OR(M52&lt;=0,MOD(M52,1)&lt;&gt;0),"级数应为正整数",""))),IF(N52="","缺少电泵效率",""),IF(N52="","",IF(NOT(ISNUMBER(N52)),"电泵效率应为数值",IF(OR(N52&lt;1,N52&gt;100),"电泵效率应为1～100的百分数本值",""))),IF(U52="","缺少铭牌照片",""),IF(AND(ISTEXT(V52),OR(V52&lt;&gt;TRIM(V52),ISNUMBER(SEARCH("　",V52)))),"填表备注含首尾空格或全角空格",""),IF(AND(F52="小型潜水电泵",G52&lt;&gt;"",COUNTIF(EV_SUB_FORM_SMALL,G52)=0),"设备形式与小型潜水电泵类别不匹配",""),IF(AND(F52="大中型潜水电泵",G52&lt;&gt;"",COUNTIF(EV_SUB_FORM_LARGE,G52)=0),"设备形式与大中型潜水电泵类别不匹配",""),IF(AND(F52="污水污物潜水电泵",G52&lt;&gt;"",COUNTIF(EV_SUB_FORM_WASTE,G52)=0),"设备形式与污水污物潜水电泵类别不匹配",""),IF(AND(F52="井用潜水电泵",G52&lt;&gt;"",COUNTIF(EV_SUB_FORM_WELL,G52)=0),"设备形式与井用潜水电泵类别不匹配",""),IF(AND(F52="混流潜水电泵",G52&lt;&gt;"",COUNTIF(EV_SUB_FORM_MIXED,G52)=0),"设备形式与混流潜水电泵类别不匹配","")),"")</f>
        <v/>
      </c>
    </row>
    <row r="53" ht="42" customHeight="1" s="184">
      <c r="A53" s="224">
        <f>IF(COUNTA(B53,C53,D53,E53,F53,G53,H53,I53,J53,K53,L53,M53,N53,U53,V53)&gt;0,ROW()-3,"")</f>
        <v/>
      </c>
      <c r="B53" s="176" t="n"/>
      <c r="C53" s="176" t="n"/>
      <c r="D53" s="228" t="n"/>
      <c r="E53" s="176" t="n"/>
      <c r="F53" s="218" t="n"/>
      <c r="G53" s="176" t="n"/>
      <c r="H53" s="229" t="n"/>
      <c r="I53" s="229" t="n"/>
      <c r="J53" s="229" t="n"/>
      <c r="K53" s="237" t="n"/>
      <c r="L53" s="229" t="n"/>
      <c r="M53" s="228" t="n"/>
      <c r="N53" s="229" t="n"/>
      <c r="O53" s="236" t="n"/>
      <c r="P53" s="236" t="n"/>
      <c r="Q53" s="227" t="n"/>
      <c r="R53" s="227" t="n"/>
      <c r="S53" s="227" t="n"/>
      <c r="T53" s="81" t="n"/>
      <c r="U53" s="180" t="n"/>
      <c r="V53" s="180" t="n"/>
      <c r="W53" s="99">
        <f>IF(COUNTA(B53,C53,D53,E53,F53,G53,H53,I53,J53,K53,L53,M53,N53,U53,V53)&gt;0,TEXTJOIN("；",TRUE,IF(B53="","缺少设备名称",""),IF(AND(ISTEXT(B53),OR(B53&lt;&gt;TRIM(B53),ISNUMBER(SEARCH("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",C53)))),"型号含首尾空格或全角空格",""),IF(D53="","缺少数量",""),IF(D53="","",IF(NOT(ISNUMBER(D53)),"数量应为数值",IF(OR(D53&lt;=0,MOD(D53,1)&lt;&gt;0),"数量应为正整数",""))),IF(AND(ISTEXT(E53),OR(E53&lt;&gt;TRIM(E53),ISNUMBER(SEARCH("　",E53)))),"安装位置含首尾空格或全角空格",""),IF(F53="","缺少设备类别",""),IF(F53="","",IF(COUNTIF(EV_SUBMERSIBLE_CATEGORY,F53)=0,"设备类别不在标准枚举中","")),IF(AND(ISTEXT(F53),OR(F53&lt;&gt;TRIM(F53),ISNUMBER(SEARCH("　",F53)))),"设备类别含首尾空格或全角空格",""),IF(G53="","缺少设备形式",""),IF(G53="","",IF(COUNTIF(EV_SUB_FORM_ALL,G53)=0,"设备形式不在标准枚举中","")),IF(AND(ISTEXT(G53),OR(G53&lt;&gt;TRIM(G53),ISNUMBER(SEARCH("　",G53)))),"设备形式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工作温度",""),IF(K53="","",IF(NOT(ISNUMBER(K53)),"工作温度应为数值",IF(OR(K53&lt;0,K53&gt;100),"工作温度应为0～100",""))),IF(L53="","缺少额定功率",""),IF(L53="","",IF(NOT(ISNUMBER(L53)),"额定功率应为数值",IF(L53&lt;=0,"额定功率应大于0",""))),IF(M53="","缺少级数",""),IF(M53="","",IF(NOT(ISNUMBER(M53)),"级数应为数值",IF(OR(M53&lt;=0,MOD(M53,1)&lt;&gt;0),"级数应为正整数",""))),IF(N53="","缺少电泵效率",""),IF(N53="","",IF(NOT(ISNUMBER(N53)),"电泵效率应为数值",IF(OR(N53&lt;1,N53&gt;100),"电泵效率应为1～100的百分数本值",""))),IF(U53="","缺少铭牌照片",""),IF(AND(ISTEXT(V53),OR(V53&lt;&gt;TRIM(V53),ISNUMBER(SEARCH("　",V53)))),"填表备注含首尾空格或全角空格",""),IF(AND(F53="小型潜水电泵",G53&lt;&gt;"",COUNTIF(EV_SUB_FORM_SMALL,G53)=0),"设备形式与小型潜水电泵类别不匹配",""),IF(AND(F53="大中型潜水电泵",G53&lt;&gt;"",COUNTIF(EV_SUB_FORM_LARGE,G53)=0),"设备形式与大中型潜水电泵类别不匹配",""),IF(AND(F53="污水污物潜水电泵",G53&lt;&gt;"",COUNTIF(EV_SUB_FORM_WASTE,G53)=0),"设备形式与污水污物潜水电泵类别不匹配",""),IF(AND(F53="井用潜水电泵",G53&lt;&gt;"",COUNTIF(EV_SUB_FORM_WELL,G53)=0),"设备形式与井用潜水电泵类别不匹配",""),IF(AND(F53="混流潜水电泵",G53&lt;&gt;"",COUNTIF(EV_SUB_FORM_MIXED,G53)=0),"设备形式与混流潜水电泵类别不匹配","")),"")</f>
        <v/>
      </c>
    </row>
    <row r="54" ht="42" customHeight="1" s="184">
      <c r="A54" s="224">
        <f>IF(COUNTA(B54,C54,D54,E54,F54,G54,H54,I54,J54,K54,L54,M54,N54,U54,V54)&gt;0,ROW()-3,"")</f>
        <v/>
      </c>
      <c r="B54" s="176" t="n"/>
      <c r="C54" s="176" t="n"/>
      <c r="D54" s="228" t="n"/>
      <c r="E54" s="176" t="n"/>
      <c r="F54" s="218" t="n"/>
      <c r="G54" s="176" t="n"/>
      <c r="H54" s="229" t="n"/>
      <c r="I54" s="229" t="n"/>
      <c r="J54" s="229" t="n"/>
      <c r="K54" s="237" t="n"/>
      <c r="L54" s="229" t="n"/>
      <c r="M54" s="228" t="n"/>
      <c r="N54" s="229" t="n"/>
      <c r="O54" s="236" t="n"/>
      <c r="P54" s="236" t="n"/>
      <c r="Q54" s="227" t="n"/>
      <c r="R54" s="227" t="n"/>
      <c r="S54" s="227" t="n"/>
      <c r="T54" s="81" t="n"/>
      <c r="U54" s="180" t="n"/>
      <c r="V54" s="180" t="n"/>
      <c r="W54" s="99">
        <f>IF(COUNTA(B54,C54,D54,E54,F54,G54,H54,I54,J54,K54,L54,M54,N54,U54,V54)&gt;0,TEXTJOIN("；",TRUE,IF(B54="","缺少设备名称",""),IF(AND(ISTEXT(B54),OR(B54&lt;&gt;TRIM(B54),ISNUMBER(SEARCH("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",C54)))),"型号含首尾空格或全角空格",""),IF(D54="","缺少数量",""),IF(D54="","",IF(NOT(ISNUMBER(D54)),"数量应为数值",IF(OR(D54&lt;=0,MOD(D54,1)&lt;&gt;0),"数量应为正整数",""))),IF(AND(ISTEXT(E54),OR(E54&lt;&gt;TRIM(E54),ISNUMBER(SEARCH("　",E54)))),"安装位置含首尾空格或全角空格",""),IF(F54="","缺少设备类别",""),IF(F54="","",IF(COUNTIF(EV_SUBMERSIBLE_CATEGORY,F54)=0,"设备类别不在标准枚举中","")),IF(AND(ISTEXT(F54),OR(F54&lt;&gt;TRIM(F54),ISNUMBER(SEARCH("　",F54)))),"设备类别含首尾空格或全角空格",""),IF(G54="","缺少设备形式",""),IF(G54="","",IF(COUNTIF(EV_SUB_FORM_ALL,G54)=0,"设备形式不在标准枚举中","")),IF(AND(ISTEXT(G54),OR(G54&lt;&gt;TRIM(G54),ISNUMBER(SEARCH("　",G54)))),"设备形式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工作温度",""),IF(K54="","",IF(NOT(ISNUMBER(K54)),"工作温度应为数值",IF(OR(K54&lt;0,K54&gt;100),"工作温度应为0～100",""))),IF(L54="","缺少额定功率",""),IF(L54="","",IF(NOT(ISNUMBER(L54)),"额定功率应为数值",IF(L54&lt;=0,"额定功率应大于0",""))),IF(M54="","缺少级数",""),IF(M54="","",IF(NOT(ISNUMBER(M54)),"级数应为数值",IF(OR(M54&lt;=0,MOD(M54,1)&lt;&gt;0),"级数应为正整数",""))),IF(N54="","缺少电泵效率",""),IF(N54="","",IF(NOT(ISNUMBER(N54)),"电泵效率应为数值",IF(OR(N54&lt;1,N54&gt;100),"电泵效率应为1～100的百分数本值",""))),IF(U54="","缺少铭牌照片",""),IF(AND(ISTEXT(V54),OR(V54&lt;&gt;TRIM(V54),ISNUMBER(SEARCH("　",V54)))),"填表备注含首尾空格或全角空格",""),IF(AND(F54="小型潜水电泵",G54&lt;&gt;"",COUNTIF(EV_SUB_FORM_SMALL,G54)=0),"设备形式与小型潜水电泵类别不匹配",""),IF(AND(F54="大中型潜水电泵",G54&lt;&gt;"",COUNTIF(EV_SUB_FORM_LARGE,G54)=0),"设备形式与大中型潜水电泵类别不匹配",""),IF(AND(F54="污水污物潜水电泵",G54&lt;&gt;"",COUNTIF(EV_SUB_FORM_WASTE,G54)=0),"设备形式与污水污物潜水电泵类别不匹配",""),IF(AND(F54="井用潜水电泵",G54&lt;&gt;"",COUNTIF(EV_SUB_FORM_WELL,G54)=0),"设备形式与井用潜水电泵类别不匹配",""),IF(AND(F54="混流潜水电泵",G54&lt;&gt;"",COUNTIF(EV_SUB_FORM_MIXED,G54)=0),"设备形式与混流潜水电泵类别不匹配","")),"")</f>
        <v/>
      </c>
    </row>
    <row r="55" ht="42" customHeight="1" s="184">
      <c r="A55" s="224">
        <f>IF(COUNTA(B55,C55,D55,E55,F55,G55,H55,I55,J55,K55,L55,M55,N55,U55,V55)&gt;0,ROW()-3,"")</f>
        <v/>
      </c>
      <c r="B55" s="176" t="n"/>
      <c r="C55" s="176" t="n"/>
      <c r="D55" s="228" t="n"/>
      <c r="E55" s="176" t="n"/>
      <c r="F55" s="218" t="n"/>
      <c r="G55" s="176" t="n"/>
      <c r="H55" s="229" t="n"/>
      <c r="I55" s="229" t="n"/>
      <c r="J55" s="229" t="n"/>
      <c r="K55" s="237" t="n"/>
      <c r="L55" s="229" t="n"/>
      <c r="M55" s="228" t="n"/>
      <c r="N55" s="229" t="n"/>
      <c r="O55" s="236" t="n"/>
      <c r="P55" s="236" t="n"/>
      <c r="Q55" s="227" t="n"/>
      <c r="R55" s="227" t="n"/>
      <c r="S55" s="227" t="n"/>
      <c r="T55" s="81" t="n"/>
      <c r="U55" s="180" t="n"/>
      <c r="V55" s="180" t="n"/>
      <c r="W55" s="99">
        <f>IF(COUNTA(B55,C55,D55,E55,F55,G55,H55,I55,J55,K55,L55,M55,N55,U55,V55)&gt;0,TEXTJOIN("；",TRUE,IF(B55="","缺少设备名称",""),IF(AND(ISTEXT(B55),OR(B55&lt;&gt;TRIM(B55),ISNUMBER(SEARCH("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",C55)))),"型号含首尾空格或全角空格",""),IF(D55="","缺少数量",""),IF(D55="","",IF(NOT(ISNUMBER(D55)),"数量应为数值",IF(OR(D55&lt;=0,MOD(D55,1)&lt;&gt;0),"数量应为正整数",""))),IF(AND(ISTEXT(E55),OR(E55&lt;&gt;TRIM(E55),ISNUMBER(SEARCH("　",E55)))),"安装位置含首尾空格或全角空格",""),IF(F55="","缺少设备类别",""),IF(F55="","",IF(COUNTIF(EV_SUBMERSIBLE_CATEGORY,F55)=0,"设备类别不在标准枚举中","")),IF(AND(ISTEXT(F55),OR(F55&lt;&gt;TRIM(F55),ISNUMBER(SEARCH("　",F55)))),"设备类别含首尾空格或全角空格",""),IF(G55="","缺少设备形式",""),IF(G55="","",IF(COUNTIF(EV_SUB_FORM_ALL,G55)=0,"设备形式不在标准枚举中","")),IF(AND(ISTEXT(G55),OR(G55&lt;&gt;TRIM(G55),ISNUMBER(SEARCH("　",G55)))),"设备形式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工作温度",""),IF(K55="","",IF(NOT(ISNUMBER(K55)),"工作温度应为数值",IF(OR(K55&lt;0,K55&gt;100),"工作温度应为0～100",""))),IF(L55="","缺少额定功率",""),IF(L55="","",IF(NOT(ISNUMBER(L55)),"额定功率应为数值",IF(L55&lt;=0,"额定功率应大于0",""))),IF(M55="","缺少级数",""),IF(M55="","",IF(NOT(ISNUMBER(M55)),"级数应为数值",IF(OR(M55&lt;=0,MOD(M55,1)&lt;&gt;0),"级数应为正整数",""))),IF(N55="","缺少电泵效率",""),IF(N55="","",IF(NOT(ISNUMBER(N55)),"电泵效率应为数值",IF(OR(N55&lt;1,N55&gt;100),"电泵效率应为1～100的百分数本值",""))),IF(U55="","缺少铭牌照片",""),IF(AND(ISTEXT(V55),OR(V55&lt;&gt;TRIM(V55),ISNUMBER(SEARCH("　",V55)))),"填表备注含首尾空格或全角空格",""),IF(AND(F55="小型潜水电泵",G55&lt;&gt;"",COUNTIF(EV_SUB_FORM_SMALL,G55)=0),"设备形式与小型潜水电泵类别不匹配",""),IF(AND(F55="大中型潜水电泵",G55&lt;&gt;"",COUNTIF(EV_SUB_FORM_LARGE,G55)=0),"设备形式与大中型潜水电泵类别不匹配",""),IF(AND(F55="污水污物潜水电泵",G55&lt;&gt;"",COUNTIF(EV_SUB_FORM_WASTE,G55)=0),"设备形式与污水污物潜水电泵类别不匹配",""),IF(AND(F55="井用潜水电泵",G55&lt;&gt;"",COUNTIF(EV_SUB_FORM_WELL,G55)=0),"设备形式与井用潜水电泵类别不匹配",""),IF(AND(F55="混流潜水电泵",G55&lt;&gt;"",COUNTIF(EV_SUB_FORM_MIXED,G55)=0),"设备形式与混流潜水电泵类别不匹配","")),"")</f>
        <v/>
      </c>
    </row>
    <row r="56" ht="42" customHeight="1" s="184">
      <c r="A56" s="224">
        <f>IF(COUNTA(B56,C56,D56,E56,F56,G56,H56,I56,J56,K56,L56,M56,N56,U56,V56)&gt;0,ROW()-3,"")</f>
        <v/>
      </c>
      <c r="B56" s="176" t="n"/>
      <c r="C56" s="176" t="n"/>
      <c r="D56" s="228" t="n"/>
      <c r="E56" s="176" t="n"/>
      <c r="F56" s="218" t="n"/>
      <c r="G56" s="176" t="n"/>
      <c r="H56" s="229" t="n"/>
      <c r="I56" s="229" t="n"/>
      <c r="J56" s="229" t="n"/>
      <c r="K56" s="237" t="n"/>
      <c r="L56" s="229" t="n"/>
      <c r="M56" s="228" t="n"/>
      <c r="N56" s="229" t="n"/>
      <c r="O56" s="236" t="n"/>
      <c r="P56" s="236" t="n"/>
      <c r="Q56" s="227" t="n"/>
      <c r="R56" s="227" t="n"/>
      <c r="S56" s="227" t="n"/>
      <c r="T56" s="81" t="n"/>
      <c r="U56" s="180" t="n"/>
      <c r="V56" s="180" t="n"/>
      <c r="W56" s="99">
        <f>IF(COUNTA(B56,C56,D56,E56,F56,G56,H56,I56,J56,K56,L56,M56,N56,U56,V56)&gt;0,TEXTJOIN("；",TRUE,IF(B56="","缺少设备名称",""),IF(AND(ISTEXT(B56),OR(B56&lt;&gt;TRIM(B56),ISNUMBER(SEARCH("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",C56)))),"型号含首尾空格或全角空格",""),IF(D56="","缺少数量",""),IF(D56="","",IF(NOT(ISNUMBER(D56)),"数量应为数值",IF(OR(D56&lt;=0,MOD(D56,1)&lt;&gt;0),"数量应为正整数",""))),IF(AND(ISTEXT(E56),OR(E56&lt;&gt;TRIM(E56),ISNUMBER(SEARCH("　",E56)))),"安装位置含首尾空格或全角空格",""),IF(F56="","缺少设备类别",""),IF(F56="","",IF(COUNTIF(EV_SUBMERSIBLE_CATEGORY,F56)=0,"设备类别不在标准枚举中","")),IF(AND(ISTEXT(F56),OR(F56&lt;&gt;TRIM(F56),ISNUMBER(SEARCH("　",F56)))),"设备类别含首尾空格或全角空格",""),IF(G56="","缺少设备形式",""),IF(G56="","",IF(COUNTIF(EV_SUB_FORM_ALL,G56)=0,"设备形式不在标准枚举中","")),IF(AND(ISTEXT(G56),OR(G56&lt;&gt;TRIM(G56),ISNUMBER(SEARCH("　",G56)))),"设备形式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工作温度",""),IF(K56="","",IF(NOT(ISNUMBER(K56)),"工作温度应为数值",IF(OR(K56&lt;0,K56&gt;100),"工作温度应为0～100",""))),IF(L56="","缺少额定功率",""),IF(L56="","",IF(NOT(ISNUMBER(L56)),"额定功率应为数值",IF(L56&lt;=0,"额定功率应大于0",""))),IF(M56="","缺少级数",""),IF(M56="","",IF(NOT(ISNUMBER(M56)),"级数应为数值",IF(OR(M56&lt;=0,MOD(M56,1)&lt;&gt;0),"级数应为正整数",""))),IF(N56="","缺少电泵效率",""),IF(N56="","",IF(NOT(ISNUMBER(N56)),"电泵效率应为数值",IF(OR(N56&lt;1,N56&gt;100),"电泵效率应为1～100的百分数本值",""))),IF(U56="","缺少铭牌照片",""),IF(AND(ISTEXT(V56),OR(V56&lt;&gt;TRIM(V56),ISNUMBER(SEARCH("　",V56)))),"填表备注含首尾空格或全角空格",""),IF(AND(F56="小型潜水电泵",G56&lt;&gt;"",COUNTIF(EV_SUB_FORM_SMALL,G56)=0),"设备形式与小型潜水电泵类别不匹配",""),IF(AND(F56="大中型潜水电泵",G56&lt;&gt;"",COUNTIF(EV_SUB_FORM_LARGE,G56)=0),"设备形式与大中型潜水电泵类别不匹配",""),IF(AND(F56="污水污物潜水电泵",G56&lt;&gt;"",COUNTIF(EV_SUB_FORM_WASTE,G56)=0),"设备形式与污水污物潜水电泵类别不匹配",""),IF(AND(F56="井用潜水电泵",G56&lt;&gt;"",COUNTIF(EV_SUB_FORM_WELL,G56)=0),"设备形式与井用潜水电泵类别不匹配",""),IF(AND(F56="混流潜水电泵",G56&lt;&gt;"",COUNTIF(EV_SUB_FORM_MIXED,G56)=0),"设备形式与混流潜水电泵类别不匹配","")),"")</f>
        <v/>
      </c>
    </row>
    <row r="57" ht="42" customHeight="1" s="184">
      <c r="A57" s="224">
        <f>IF(COUNTA(B57,C57,D57,E57,F57,G57,H57,I57,J57,K57,L57,M57,N57,U57,V57)&gt;0,ROW()-3,"")</f>
        <v/>
      </c>
      <c r="B57" s="176" t="n"/>
      <c r="C57" s="176" t="n"/>
      <c r="D57" s="228" t="n"/>
      <c r="E57" s="176" t="n"/>
      <c r="F57" s="218" t="n"/>
      <c r="G57" s="176" t="n"/>
      <c r="H57" s="229" t="n"/>
      <c r="I57" s="229" t="n"/>
      <c r="J57" s="229" t="n"/>
      <c r="K57" s="237" t="n"/>
      <c r="L57" s="229" t="n"/>
      <c r="M57" s="228" t="n"/>
      <c r="N57" s="229" t="n"/>
      <c r="O57" s="236" t="n"/>
      <c r="P57" s="236" t="n"/>
      <c r="Q57" s="227" t="n"/>
      <c r="R57" s="227" t="n"/>
      <c r="S57" s="227" t="n"/>
      <c r="T57" s="81" t="n"/>
      <c r="U57" s="180" t="n"/>
      <c r="V57" s="180" t="n"/>
      <c r="W57" s="99">
        <f>IF(COUNTA(B57,C57,D57,E57,F57,G57,H57,I57,J57,K57,L57,M57,N57,U57,V57)&gt;0,TEXTJOIN("；",TRUE,IF(B57="","缺少设备名称",""),IF(AND(ISTEXT(B57),OR(B57&lt;&gt;TRIM(B57),ISNUMBER(SEARCH("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",C57)))),"型号含首尾空格或全角空格",""),IF(D57="","缺少数量",""),IF(D57="","",IF(NOT(ISNUMBER(D57)),"数量应为数值",IF(OR(D57&lt;=0,MOD(D57,1)&lt;&gt;0),"数量应为正整数",""))),IF(AND(ISTEXT(E57),OR(E57&lt;&gt;TRIM(E57),ISNUMBER(SEARCH("　",E57)))),"安装位置含首尾空格或全角空格",""),IF(F57="","缺少设备类别",""),IF(F57="","",IF(COUNTIF(EV_SUBMERSIBLE_CATEGORY,F57)=0,"设备类别不在标准枚举中","")),IF(AND(ISTEXT(F57),OR(F57&lt;&gt;TRIM(F57),ISNUMBER(SEARCH("　",F57)))),"设备类别含首尾空格或全角空格",""),IF(G57="","缺少设备形式",""),IF(G57="","",IF(COUNTIF(EV_SUB_FORM_ALL,G57)=0,"设备形式不在标准枚举中","")),IF(AND(ISTEXT(G57),OR(G57&lt;&gt;TRIM(G57),ISNUMBER(SEARCH("　",G57)))),"设备形式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工作温度",""),IF(K57="","",IF(NOT(ISNUMBER(K57)),"工作温度应为数值",IF(OR(K57&lt;0,K57&gt;100),"工作温度应为0～100",""))),IF(L57="","缺少额定功率",""),IF(L57="","",IF(NOT(ISNUMBER(L57)),"额定功率应为数值",IF(L57&lt;=0,"额定功率应大于0",""))),IF(M57="","缺少级数",""),IF(M57="","",IF(NOT(ISNUMBER(M57)),"级数应为数值",IF(OR(M57&lt;=0,MOD(M57,1)&lt;&gt;0),"级数应为正整数",""))),IF(N57="","缺少电泵效率",""),IF(N57="","",IF(NOT(ISNUMBER(N57)),"电泵效率应为数值",IF(OR(N57&lt;1,N57&gt;100),"电泵效率应为1～100的百分数本值",""))),IF(U57="","缺少铭牌照片",""),IF(AND(ISTEXT(V57),OR(V57&lt;&gt;TRIM(V57),ISNUMBER(SEARCH("　",V57)))),"填表备注含首尾空格或全角空格",""),IF(AND(F57="小型潜水电泵",G57&lt;&gt;"",COUNTIF(EV_SUB_FORM_SMALL,G57)=0),"设备形式与小型潜水电泵类别不匹配",""),IF(AND(F57="大中型潜水电泵",G57&lt;&gt;"",COUNTIF(EV_SUB_FORM_LARGE,G57)=0),"设备形式与大中型潜水电泵类别不匹配",""),IF(AND(F57="污水污物潜水电泵",G57&lt;&gt;"",COUNTIF(EV_SUB_FORM_WASTE,G57)=0),"设备形式与污水污物潜水电泵类别不匹配",""),IF(AND(F57="井用潜水电泵",G57&lt;&gt;"",COUNTIF(EV_SUB_FORM_WELL,G57)=0),"设备形式与井用潜水电泵类别不匹配",""),IF(AND(F57="混流潜水电泵",G57&lt;&gt;"",COUNTIF(EV_SUB_FORM_MIXED,G57)=0),"设备形式与混流潜水电泵类别不匹配","")),"")</f>
        <v/>
      </c>
    </row>
    <row r="58" ht="42" customHeight="1" s="184">
      <c r="A58" s="224">
        <f>IF(COUNTA(B58,C58,D58,E58,F58,G58,H58,I58,J58,K58,L58,M58,N58,U58,V58)&gt;0,ROW()-3,"")</f>
        <v/>
      </c>
      <c r="B58" s="176" t="n"/>
      <c r="C58" s="176" t="n"/>
      <c r="D58" s="228" t="n"/>
      <c r="E58" s="176" t="n"/>
      <c r="F58" s="218" t="n"/>
      <c r="G58" s="176" t="n"/>
      <c r="H58" s="229" t="n"/>
      <c r="I58" s="229" t="n"/>
      <c r="J58" s="229" t="n"/>
      <c r="K58" s="237" t="n"/>
      <c r="L58" s="229" t="n"/>
      <c r="M58" s="228" t="n"/>
      <c r="N58" s="229" t="n"/>
      <c r="O58" s="236" t="n"/>
      <c r="P58" s="236" t="n"/>
      <c r="Q58" s="227" t="n"/>
      <c r="R58" s="227" t="n"/>
      <c r="S58" s="227" t="n"/>
      <c r="T58" s="81" t="n"/>
      <c r="U58" s="180" t="n"/>
      <c r="V58" s="180" t="n"/>
      <c r="W58" s="99">
        <f>IF(COUNTA(B58,C58,D58,E58,F58,G58,H58,I58,J58,K58,L58,M58,N58,U58,V58)&gt;0,TEXTJOIN("；",TRUE,IF(B58="","缺少设备名称",""),IF(AND(ISTEXT(B58),OR(B58&lt;&gt;TRIM(B58),ISNUMBER(SEARCH("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",C58)))),"型号含首尾空格或全角空格",""),IF(D58="","缺少数量",""),IF(D58="","",IF(NOT(ISNUMBER(D58)),"数量应为数值",IF(OR(D58&lt;=0,MOD(D58,1)&lt;&gt;0),"数量应为正整数",""))),IF(AND(ISTEXT(E58),OR(E58&lt;&gt;TRIM(E58),ISNUMBER(SEARCH("　",E58)))),"安装位置含首尾空格或全角空格",""),IF(F58="","缺少设备类别",""),IF(F58="","",IF(COUNTIF(EV_SUBMERSIBLE_CATEGORY,F58)=0,"设备类别不在标准枚举中","")),IF(AND(ISTEXT(F58),OR(F58&lt;&gt;TRIM(F58),ISNUMBER(SEARCH("　",F58)))),"设备类别含首尾空格或全角空格",""),IF(G58="","缺少设备形式",""),IF(G58="","",IF(COUNTIF(EV_SUB_FORM_ALL,G58)=0,"设备形式不在标准枚举中","")),IF(AND(ISTEXT(G58),OR(G58&lt;&gt;TRIM(G58),ISNUMBER(SEARCH("　",G58)))),"设备形式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工作温度",""),IF(K58="","",IF(NOT(ISNUMBER(K58)),"工作温度应为数值",IF(OR(K58&lt;0,K58&gt;100),"工作温度应为0～100",""))),IF(L58="","缺少额定功率",""),IF(L58="","",IF(NOT(ISNUMBER(L58)),"额定功率应为数值",IF(L58&lt;=0,"额定功率应大于0",""))),IF(M58="","缺少级数",""),IF(M58="","",IF(NOT(ISNUMBER(M58)),"级数应为数值",IF(OR(M58&lt;=0,MOD(M58,1)&lt;&gt;0),"级数应为正整数",""))),IF(N58="","缺少电泵效率",""),IF(N58="","",IF(NOT(ISNUMBER(N58)),"电泵效率应为数值",IF(OR(N58&lt;1,N58&gt;100),"电泵效率应为1～100的百分数本值",""))),IF(U58="","缺少铭牌照片",""),IF(AND(ISTEXT(V58),OR(V58&lt;&gt;TRIM(V58),ISNUMBER(SEARCH("　",V58)))),"填表备注含首尾空格或全角空格",""),IF(AND(F58="小型潜水电泵",G58&lt;&gt;"",COUNTIF(EV_SUB_FORM_SMALL,G58)=0),"设备形式与小型潜水电泵类别不匹配",""),IF(AND(F58="大中型潜水电泵",G58&lt;&gt;"",COUNTIF(EV_SUB_FORM_LARGE,G58)=0),"设备形式与大中型潜水电泵类别不匹配",""),IF(AND(F58="污水污物潜水电泵",G58&lt;&gt;"",COUNTIF(EV_SUB_FORM_WASTE,G58)=0),"设备形式与污水污物潜水电泵类别不匹配",""),IF(AND(F58="井用潜水电泵",G58&lt;&gt;"",COUNTIF(EV_SUB_FORM_WELL,G58)=0),"设备形式与井用潜水电泵类别不匹配",""),IF(AND(F58="混流潜水电泵",G58&lt;&gt;"",COUNTIF(EV_SUB_FORM_MIXED,G58)=0),"设备形式与混流潜水电泵类别不匹配","")),"")</f>
        <v/>
      </c>
    </row>
    <row r="59" ht="42" customHeight="1" s="184">
      <c r="A59" s="224">
        <f>IF(COUNTA(B59,C59,D59,E59,F59,G59,H59,I59,J59,K59,L59,M59,N59,U59,V59)&gt;0,ROW()-3,"")</f>
        <v/>
      </c>
      <c r="B59" s="176" t="n"/>
      <c r="C59" s="176" t="n"/>
      <c r="D59" s="228" t="n"/>
      <c r="E59" s="176" t="n"/>
      <c r="F59" s="218" t="n"/>
      <c r="G59" s="176" t="n"/>
      <c r="H59" s="229" t="n"/>
      <c r="I59" s="229" t="n"/>
      <c r="J59" s="229" t="n"/>
      <c r="K59" s="237" t="n"/>
      <c r="L59" s="229" t="n"/>
      <c r="M59" s="228" t="n"/>
      <c r="N59" s="229" t="n"/>
      <c r="O59" s="236" t="n"/>
      <c r="P59" s="236" t="n"/>
      <c r="Q59" s="227" t="n"/>
      <c r="R59" s="227" t="n"/>
      <c r="S59" s="227" t="n"/>
      <c r="T59" s="81" t="n"/>
      <c r="U59" s="180" t="n"/>
      <c r="V59" s="180" t="n"/>
      <c r="W59" s="99">
        <f>IF(COUNTA(B59,C59,D59,E59,F59,G59,H59,I59,J59,K59,L59,M59,N59,U59,V59)&gt;0,TEXTJOIN("；",TRUE,IF(B59="","缺少设备名称",""),IF(AND(ISTEXT(B59),OR(B59&lt;&gt;TRIM(B59),ISNUMBER(SEARCH("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",C59)))),"型号含首尾空格或全角空格",""),IF(D59="","缺少数量",""),IF(D59="","",IF(NOT(ISNUMBER(D59)),"数量应为数值",IF(OR(D59&lt;=0,MOD(D59,1)&lt;&gt;0),"数量应为正整数",""))),IF(AND(ISTEXT(E59),OR(E59&lt;&gt;TRIM(E59),ISNUMBER(SEARCH("　",E59)))),"安装位置含首尾空格或全角空格",""),IF(F59="","缺少设备类别",""),IF(F59="","",IF(COUNTIF(EV_SUBMERSIBLE_CATEGORY,F59)=0,"设备类别不在标准枚举中","")),IF(AND(ISTEXT(F59),OR(F59&lt;&gt;TRIM(F59),ISNUMBER(SEARCH("　",F59)))),"设备类别含首尾空格或全角空格",""),IF(G59="","缺少设备形式",""),IF(G59="","",IF(COUNTIF(EV_SUB_FORM_ALL,G59)=0,"设备形式不在标准枚举中","")),IF(AND(ISTEXT(G59),OR(G59&lt;&gt;TRIM(G59),ISNUMBER(SEARCH("　",G59)))),"设备形式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工作温度",""),IF(K59="","",IF(NOT(ISNUMBER(K59)),"工作温度应为数值",IF(OR(K59&lt;0,K59&gt;100),"工作温度应为0～100",""))),IF(L59="","缺少额定功率",""),IF(L59="","",IF(NOT(ISNUMBER(L59)),"额定功率应为数值",IF(L59&lt;=0,"额定功率应大于0",""))),IF(M59="","缺少级数",""),IF(M59="","",IF(NOT(ISNUMBER(M59)),"级数应为数值",IF(OR(M59&lt;=0,MOD(M59,1)&lt;&gt;0),"级数应为正整数",""))),IF(N59="","缺少电泵效率",""),IF(N59="","",IF(NOT(ISNUMBER(N59)),"电泵效率应为数值",IF(OR(N59&lt;1,N59&gt;100),"电泵效率应为1～100的百分数本值",""))),IF(U59="","缺少铭牌照片",""),IF(AND(ISTEXT(V59),OR(V59&lt;&gt;TRIM(V59),ISNUMBER(SEARCH("　",V59)))),"填表备注含首尾空格或全角空格",""),IF(AND(F59="小型潜水电泵",G59&lt;&gt;"",COUNTIF(EV_SUB_FORM_SMALL,G59)=0),"设备形式与小型潜水电泵类别不匹配",""),IF(AND(F59="大中型潜水电泵",G59&lt;&gt;"",COUNTIF(EV_SUB_FORM_LARGE,G59)=0),"设备形式与大中型潜水电泵类别不匹配",""),IF(AND(F59="污水污物潜水电泵",G59&lt;&gt;"",COUNTIF(EV_SUB_FORM_WASTE,G59)=0),"设备形式与污水污物潜水电泵类别不匹配",""),IF(AND(F59="井用潜水电泵",G59&lt;&gt;"",COUNTIF(EV_SUB_FORM_WELL,G59)=0),"设备形式与井用潜水电泵类别不匹配",""),IF(AND(F59="混流潜水电泵",G59&lt;&gt;"",COUNTIF(EV_SUB_FORM_MIXED,G59)=0),"设备形式与混流潜水电泵类别不匹配","")),"")</f>
        <v/>
      </c>
    </row>
    <row r="60" ht="42" customHeight="1" s="184">
      <c r="A60" s="224">
        <f>IF(COUNTA(B60,C60,D60,E60,F60,G60,H60,I60,J60,K60,L60,M60,N60,U60,V60)&gt;0,ROW()-3,"")</f>
        <v/>
      </c>
      <c r="B60" s="176" t="n"/>
      <c r="C60" s="176" t="n"/>
      <c r="D60" s="228" t="n"/>
      <c r="E60" s="176" t="n"/>
      <c r="F60" s="218" t="n"/>
      <c r="G60" s="176" t="n"/>
      <c r="H60" s="229" t="n"/>
      <c r="I60" s="229" t="n"/>
      <c r="J60" s="229" t="n"/>
      <c r="K60" s="237" t="n"/>
      <c r="L60" s="229" t="n"/>
      <c r="M60" s="228" t="n"/>
      <c r="N60" s="229" t="n"/>
      <c r="O60" s="236" t="n"/>
      <c r="P60" s="236" t="n"/>
      <c r="Q60" s="227" t="n"/>
      <c r="R60" s="227" t="n"/>
      <c r="S60" s="227" t="n"/>
      <c r="T60" s="81" t="n"/>
      <c r="U60" s="180" t="n"/>
      <c r="V60" s="180" t="n"/>
      <c r="W60" s="99">
        <f>IF(COUNTA(B60,C60,D60,E60,F60,G60,H60,I60,J60,K60,L60,M60,N60,U60,V60)&gt;0,TEXTJOIN("；",TRUE,IF(B60="","缺少设备名称",""),IF(AND(ISTEXT(B60),OR(B60&lt;&gt;TRIM(B60),ISNUMBER(SEARCH("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",C60)))),"型号含首尾空格或全角空格",""),IF(D60="","缺少数量",""),IF(D60="","",IF(NOT(ISNUMBER(D60)),"数量应为数值",IF(OR(D60&lt;=0,MOD(D60,1)&lt;&gt;0),"数量应为正整数",""))),IF(AND(ISTEXT(E60),OR(E60&lt;&gt;TRIM(E60),ISNUMBER(SEARCH("　",E60)))),"安装位置含首尾空格或全角空格",""),IF(F60="","缺少设备类别",""),IF(F60="","",IF(COUNTIF(EV_SUBMERSIBLE_CATEGORY,F60)=0,"设备类别不在标准枚举中","")),IF(AND(ISTEXT(F60),OR(F60&lt;&gt;TRIM(F60),ISNUMBER(SEARCH("　",F60)))),"设备类别含首尾空格或全角空格",""),IF(G60="","缺少设备形式",""),IF(G60="","",IF(COUNTIF(EV_SUB_FORM_ALL,G60)=0,"设备形式不在标准枚举中","")),IF(AND(ISTEXT(G60),OR(G60&lt;&gt;TRIM(G60),ISNUMBER(SEARCH("　",G60)))),"设备形式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工作温度",""),IF(K60="","",IF(NOT(ISNUMBER(K60)),"工作温度应为数值",IF(OR(K60&lt;0,K60&gt;100),"工作温度应为0～100",""))),IF(L60="","缺少额定功率",""),IF(L60="","",IF(NOT(ISNUMBER(L60)),"额定功率应为数值",IF(L60&lt;=0,"额定功率应大于0",""))),IF(M60="","缺少级数",""),IF(M60="","",IF(NOT(ISNUMBER(M60)),"级数应为数值",IF(OR(M60&lt;=0,MOD(M60,1)&lt;&gt;0),"级数应为正整数",""))),IF(N60="","缺少电泵效率",""),IF(N60="","",IF(NOT(ISNUMBER(N60)),"电泵效率应为数值",IF(OR(N60&lt;1,N60&gt;100),"电泵效率应为1～100的百分数本值",""))),IF(U60="","缺少铭牌照片",""),IF(AND(ISTEXT(V60),OR(V60&lt;&gt;TRIM(V60),ISNUMBER(SEARCH("　",V60)))),"填表备注含首尾空格或全角空格",""),IF(AND(F60="小型潜水电泵",G60&lt;&gt;"",COUNTIF(EV_SUB_FORM_SMALL,G60)=0),"设备形式与小型潜水电泵类别不匹配",""),IF(AND(F60="大中型潜水电泵",G60&lt;&gt;"",COUNTIF(EV_SUB_FORM_LARGE,G60)=0),"设备形式与大中型潜水电泵类别不匹配",""),IF(AND(F60="污水污物潜水电泵",G60&lt;&gt;"",COUNTIF(EV_SUB_FORM_WASTE,G60)=0),"设备形式与污水污物潜水电泵类别不匹配",""),IF(AND(F60="井用潜水电泵",G60&lt;&gt;"",COUNTIF(EV_SUB_FORM_WELL,G60)=0),"设备形式与井用潜水电泵类别不匹配",""),IF(AND(F60="混流潜水电泵",G60&lt;&gt;"",COUNTIF(EV_SUB_FORM_MIXED,G60)=0),"设备形式与混流潜水电泵类别不匹配","")),"")</f>
        <v/>
      </c>
    </row>
    <row r="61" ht="42" customHeight="1" s="184">
      <c r="A61" s="224">
        <f>IF(COUNTA(B61,C61,D61,E61,F61,G61,H61,I61,J61,K61,L61,M61,N61,U61,V61)&gt;0,ROW()-3,"")</f>
        <v/>
      </c>
      <c r="B61" s="176" t="n"/>
      <c r="C61" s="176" t="n"/>
      <c r="D61" s="228" t="n"/>
      <c r="E61" s="176" t="n"/>
      <c r="F61" s="218" t="n"/>
      <c r="G61" s="176" t="n"/>
      <c r="H61" s="229" t="n"/>
      <c r="I61" s="229" t="n"/>
      <c r="J61" s="229" t="n"/>
      <c r="K61" s="237" t="n"/>
      <c r="L61" s="229" t="n"/>
      <c r="M61" s="228" t="n"/>
      <c r="N61" s="229" t="n"/>
      <c r="O61" s="236" t="n"/>
      <c r="P61" s="236" t="n"/>
      <c r="Q61" s="227" t="n"/>
      <c r="R61" s="227" t="n"/>
      <c r="S61" s="227" t="n"/>
      <c r="T61" s="81" t="n"/>
      <c r="U61" s="180" t="n"/>
      <c r="V61" s="180" t="n"/>
      <c r="W61" s="99">
        <f>IF(COUNTA(B61,C61,D61,E61,F61,G61,H61,I61,J61,K61,L61,M61,N61,U61,V61)&gt;0,TEXTJOIN("；",TRUE,IF(B61="","缺少设备名称",""),IF(AND(ISTEXT(B61),OR(B61&lt;&gt;TRIM(B61),ISNUMBER(SEARCH("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",C61)))),"型号含首尾空格或全角空格",""),IF(D61="","缺少数量",""),IF(D61="","",IF(NOT(ISNUMBER(D61)),"数量应为数值",IF(OR(D61&lt;=0,MOD(D61,1)&lt;&gt;0),"数量应为正整数",""))),IF(AND(ISTEXT(E61),OR(E61&lt;&gt;TRIM(E61),ISNUMBER(SEARCH("　",E61)))),"安装位置含首尾空格或全角空格",""),IF(F61="","缺少设备类别",""),IF(F61="","",IF(COUNTIF(EV_SUBMERSIBLE_CATEGORY,F61)=0,"设备类别不在标准枚举中","")),IF(AND(ISTEXT(F61),OR(F61&lt;&gt;TRIM(F61),ISNUMBER(SEARCH("　",F61)))),"设备类别含首尾空格或全角空格",""),IF(G61="","缺少设备形式",""),IF(G61="","",IF(COUNTIF(EV_SUB_FORM_ALL,G61)=0,"设备形式不在标准枚举中","")),IF(AND(ISTEXT(G61),OR(G61&lt;&gt;TRIM(G61),ISNUMBER(SEARCH("　",G61)))),"设备形式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工作温度",""),IF(K61="","",IF(NOT(ISNUMBER(K61)),"工作温度应为数值",IF(OR(K61&lt;0,K61&gt;100),"工作温度应为0～100",""))),IF(L61="","缺少额定功率",""),IF(L61="","",IF(NOT(ISNUMBER(L61)),"额定功率应为数值",IF(L61&lt;=0,"额定功率应大于0",""))),IF(M61="","缺少级数",""),IF(M61="","",IF(NOT(ISNUMBER(M61)),"级数应为数值",IF(OR(M61&lt;=0,MOD(M61,1)&lt;&gt;0),"级数应为正整数",""))),IF(N61="","缺少电泵效率",""),IF(N61="","",IF(NOT(ISNUMBER(N61)),"电泵效率应为数值",IF(OR(N61&lt;1,N61&gt;100),"电泵效率应为1～100的百分数本值",""))),IF(U61="","缺少铭牌照片",""),IF(AND(ISTEXT(V61),OR(V61&lt;&gt;TRIM(V61),ISNUMBER(SEARCH("　",V61)))),"填表备注含首尾空格或全角空格",""),IF(AND(F61="小型潜水电泵",G61&lt;&gt;"",COUNTIF(EV_SUB_FORM_SMALL,G61)=0),"设备形式与小型潜水电泵类别不匹配",""),IF(AND(F61="大中型潜水电泵",G61&lt;&gt;"",COUNTIF(EV_SUB_FORM_LARGE,G61)=0),"设备形式与大中型潜水电泵类别不匹配",""),IF(AND(F61="污水污物潜水电泵",G61&lt;&gt;"",COUNTIF(EV_SUB_FORM_WASTE,G61)=0),"设备形式与污水污物潜水电泵类别不匹配",""),IF(AND(F61="井用潜水电泵",G61&lt;&gt;"",COUNTIF(EV_SUB_FORM_WELL,G61)=0),"设备形式与井用潜水电泵类别不匹配",""),IF(AND(F61="混流潜水电泵",G61&lt;&gt;"",COUNTIF(EV_SUB_FORM_MIXED,G61)=0),"设备形式与混流潜水电泵类别不匹配","")),"")</f>
        <v/>
      </c>
    </row>
    <row r="62" ht="42" customHeight="1" s="184">
      <c r="A62" s="224">
        <f>IF(COUNTA(B62,C62,D62,E62,F62,G62,H62,I62,J62,K62,L62,M62,N62,U62,V62)&gt;0,ROW()-3,"")</f>
        <v/>
      </c>
      <c r="B62" s="176" t="n"/>
      <c r="C62" s="176" t="n"/>
      <c r="D62" s="228" t="n"/>
      <c r="E62" s="176" t="n"/>
      <c r="F62" s="218" t="n"/>
      <c r="G62" s="176" t="n"/>
      <c r="H62" s="229" t="n"/>
      <c r="I62" s="229" t="n"/>
      <c r="J62" s="229" t="n"/>
      <c r="K62" s="237" t="n"/>
      <c r="L62" s="229" t="n"/>
      <c r="M62" s="228" t="n"/>
      <c r="N62" s="229" t="n"/>
      <c r="O62" s="236" t="n"/>
      <c r="P62" s="236" t="n"/>
      <c r="Q62" s="227" t="n"/>
      <c r="R62" s="227" t="n"/>
      <c r="S62" s="227" t="n"/>
      <c r="T62" s="81" t="n"/>
      <c r="U62" s="180" t="n"/>
      <c r="V62" s="180" t="n"/>
      <c r="W62" s="99">
        <f>IF(COUNTA(B62,C62,D62,E62,F62,G62,H62,I62,J62,K62,L62,M62,N62,U62,V62)&gt;0,TEXTJOIN("；",TRUE,IF(B62="","缺少设备名称",""),IF(AND(ISTEXT(B62),OR(B62&lt;&gt;TRIM(B62),ISNUMBER(SEARCH("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",C62)))),"型号含首尾空格或全角空格",""),IF(D62="","缺少数量",""),IF(D62="","",IF(NOT(ISNUMBER(D62)),"数量应为数值",IF(OR(D62&lt;=0,MOD(D62,1)&lt;&gt;0),"数量应为正整数",""))),IF(AND(ISTEXT(E62),OR(E62&lt;&gt;TRIM(E62),ISNUMBER(SEARCH("　",E62)))),"安装位置含首尾空格或全角空格",""),IF(F62="","缺少设备类别",""),IF(F62="","",IF(COUNTIF(EV_SUBMERSIBLE_CATEGORY,F62)=0,"设备类别不在标准枚举中","")),IF(AND(ISTEXT(F62),OR(F62&lt;&gt;TRIM(F62),ISNUMBER(SEARCH("　",F62)))),"设备类别含首尾空格或全角空格",""),IF(G62="","缺少设备形式",""),IF(G62="","",IF(COUNTIF(EV_SUB_FORM_ALL,G62)=0,"设备形式不在标准枚举中","")),IF(AND(ISTEXT(G62),OR(G62&lt;&gt;TRIM(G62),ISNUMBER(SEARCH("　",G62)))),"设备形式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工作温度",""),IF(K62="","",IF(NOT(ISNUMBER(K62)),"工作温度应为数值",IF(OR(K62&lt;0,K62&gt;100),"工作温度应为0～100",""))),IF(L62="","缺少额定功率",""),IF(L62="","",IF(NOT(ISNUMBER(L62)),"额定功率应为数值",IF(L62&lt;=0,"额定功率应大于0",""))),IF(M62="","缺少级数",""),IF(M62="","",IF(NOT(ISNUMBER(M62)),"级数应为数值",IF(OR(M62&lt;=0,MOD(M62,1)&lt;&gt;0),"级数应为正整数",""))),IF(N62="","缺少电泵效率",""),IF(N62="","",IF(NOT(ISNUMBER(N62)),"电泵效率应为数值",IF(OR(N62&lt;1,N62&gt;100),"电泵效率应为1～100的百分数本值",""))),IF(U62="","缺少铭牌照片",""),IF(AND(ISTEXT(V62),OR(V62&lt;&gt;TRIM(V62),ISNUMBER(SEARCH("　",V62)))),"填表备注含首尾空格或全角空格",""),IF(AND(F62="小型潜水电泵",G62&lt;&gt;"",COUNTIF(EV_SUB_FORM_SMALL,G62)=0),"设备形式与小型潜水电泵类别不匹配",""),IF(AND(F62="大中型潜水电泵",G62&lt;&gt;"",COUNTIF(EV_SUB_FORM_LARGE,G62)=0),"设备形式与大中型潜水电泵类别不匹配",""),IF(AND(F62="污水污物潜水电泵",G62&lt;&gt;"",COUNTIF(EV_SUB_FORM_WASTE,G62)=0),"设备形式与污水污物潜水电泵类别不匹配",""),IF(AND(F62="井用潜水电泵",G62&lt;&gt;"",COUNTIF(EV_SUB_FORM_WELL,G62)=0),"设备形式与井用潜水电泵类别不匹配",""),IF(AND(F62="混流潜水电泵",G62&lt;&gt;"",COUNTIF(EV_SUB_FORM_MIXED,G62)=0),"设备形式与混流潜水电泵类别不匹配","")),"")</f>
        <v/>
      </c>
    </row>
    <row r="63" ht="42" customHeight="1" s="184">
      <c r="A63" s="224">
        <f>IF(COUNTA(B63,C63,D63,E63,F63,G63,H63,I63,J63,K63,L63,M63,N63,U63,V63)&gt;0,ROW()-3,"")</f>
        <v/>
      </c>
      <c r="B63" s="176" t="n"/>
      <c r="C63" s="176" t="n"/>
      <c r="D63" s="228" t="n"/>
      <c r="E63" s="176" t="n"/>
      <c r="F63" s="218" t="n"/>
      <c r="G63" s="176" t="n"/>
      <c r="H63" s="229" t="n"/>
      <c r="I63" s="229" t="n"/>
      <c r="J63" s="229" t="n"/>
      <c r="K63" s="237" t="n"/>
      <c r="L63" s="229" t="n"/>
      <c r="M63" s="228" t="n"/>
      <c r="N63" s="229" t="n"/>
      <c r="O63" s="236" t="n"/>
      <c r="P63" s="236" t="n"/>
      <c r="Q63" s="227" t="n"/>
      <c r="R63" s="227" t="n"/>
      <c r="S63" s="227" t="n"/>
      <c r="T63" s="81" t="n"/>
      <c r="U63" s="180" t="n"/>
      <c r="V63" s="180" t="n"/>
      <c r="W63" s="99">
        <f>IF(COUNTA(B63,C63,D63,E63,F63,G63,H63,I63,J63,K63,L63,M63,N63,U63,V63)&gt;0,TEXTJOIN("；",TRUE,IF(B63="","缺少设备名称",""),IF(AND(ISTEXT(B63),OR(B63&lt;&gt;TRIM(B63),ISNUMBER(SEARCH("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",C63)))),"型号含首尾空格或全角空格",""),IF(D63="","缺少数量",""),IF(D63="","",IF(NOT(ISNUMBER(D63)),"数量应为数值",IF(OR(D63&lt;=0,MOD(D63,1)&lt;&gt;0),"数量应为正整数",""))),IF(AND(ISTEXT(E63),OR(E63&lt;&gt;TRIM(E63),ISNUMBER(SEARCH("　",E63)))),"安装位置含首尾空格或全角空格",""),IF(F63="","缺少设备类别",""),IF(F63="","",IF(COUNTIF(EV_SUBMERSIBLE_CATEGORY,F63)=0,"设备类别不在标准枚举中","")),IF(AND(ISTEXT(F63),OR(F63&lt;&gt;TRIM(F63),ISNUMBER(SEARCH("　",F63)))),"设备类别含首尾空格或全角空格",""),IF(G63="","缺少设备形式",""),IF(G63="","",IF(COUNTIF(EV_SUB_FORM_ALL,G63)=0,"设备形式不在标准枚举中","")),IF(AND(ISTEXT(G63),OR(G63&lt;&gt;TRIM(G63),ISNUMBER(SEARCH("　",G63)))),"设备形式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工作温度",""),IF(K63="","",IF(NOT(ISNUMBER(K63)),"工作温度应为数值",IF(OR(K63&lt;0,K63&gt;100),"工作温度应为0～100",""))),IF(L63="","缺少额定功率",""),IF(L63="","",IF(NOT(ISNUMBER(L63)),"额定功率应为数值",IF(L63&lt;=0,"额定功率应大于0",""))),IF(M63="","缺少级数",""),IF(M63="","",IF(NOT(ISNUMBER(M63)),"级数应为数值",IF(OR(M63&lt;=0,MOD(M63,1)&lt;&gt;0),"级数应为正整数",""))),IF(N63="","缺少电泵效率",""),IF(N63="","",IF(NOT(ISNUMBER(N63)),"电泵效率应为数值",IF(OR(N63&lt;1,N63&gt;100),"电泵效率应为1～100的百分数本值",""))),IF(U63="","缺少铭牌照片",""),IF(AND(ISTEXT(V63),OR(V63&lt;&gt;TRIM(V63),ISNUMBER(SEARCH("　",V63)))),"填表备注含首尾空格或全角空格",""),IF(AND(F63="小型潜水电泵",G63&lt;&gt;"",COUNTIF(EV_SUB_FORM_SMALL,G63)=0),"设备形式与小型潜水电泵类别不匹配",""),IF(AND(F63="大中型潜水电泵",G63&lt;&gt;"",COUNTIF(EV_SUB_FORM_LARGE,G63)=0),"设备形式与大中型潜水电泵类别不匹配",""),IF(AND(F63="污水污物潜水电泵",G63&lt;&gt;"",COUNTIF(EV_SUB_FORM_WASTE,G63)=0),"设备形式与污水污物潜水电泵类别不匹配",""),IF(AND(F63="井用潜水电泵",G63&lt;&gt;"",COUNTIF(EV_SUB_FORM_WELL,G63)=0),"设备形式与井用潜水电泵类别不匹配",""),IF(AND(F63="混流潜水电泵",G63&lt;&gt;"",COUNTIF(EV_SUB_FORM_MIXED,G63)=0),"设备形式与混流潜水电泵类别不匹配","")),"")</f>
        <v/>
      </c>
    </row>
    <row r="64" ht="42" customHeight="1" s="184">
      <c r="A64" s="224">
        <f>IF(COUNTA(B64,C64,D64,E64,F64,G64,H64,I64,J64,K64,L64,M64,N64,U64,V64)&gt;0,ROW()-3,"")</f>
        <v/>
      </c>
      <c r="B64" s="176" t="n"/>
      <c r="C64" s="176" t="n"/>
      <c r="D64" s="228" t="n"/>
      <c r="E64" s="176" t="n"/>
      <c r="F64" s="218" t="n"/>
      <c r="G64" s="176" t="n"/>
      <c r="H64" s="229" t="n"/>
      <c r="I64" s="229" t="n"/>
      <c r="J64" s="229" t="n"/>
      <c r="K64" s="237" t="n"/>
      <c r="L64" s="229" t="n"/>
      <c r="M64" s="228" t="n"/>
      <c r="N64" s="229" t="n"/>
      <c r="O64" s="236" t="n"/>
      <c r="P64" s="236" t="n"/>
      <c r="Q64" s="227" t="n"/>
      <c r="R64" s="227" t="n"/>
      <c r="S64" s="227" t="n"/>
      <c r="T64" s="81" t="n"/>
      <c r="U64" s="180" t="n"/>
      <c r="V64" s="180" t="n"/>
      <c r="W64" s="99">
        <f>IF(COUNTA(B64,C64,D64,E64,F64,G64,H64,I64,J64,K64,L64,M64,N64,U64,V64)&gt;0,TEXTJOIN("；",TRUE,IF(B64="","缺少设备名称",""),IF(AND(ISTEXT(B64),OR(B64&lt;&gt;TRIM(B64),ISNUMBER(SEARCH("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",C64)))),"型号含首尾空格或全角空格",""),IF(D64="","缺少数量",""),IF(D64="","",IF(NOT(ISNUMBER(D64)),"数量应为数值",IF(OR(D64&lt;=0,MOD(D64,1)&lt;&gt;0),"数量应为正整数",""))),IF(AND(ISTEXT(E64),OR(E64&lt;&gt;TRIM(E64),ISNUMBER(SEARCH("　",E64)))),"安装位置含首尾空格或全角空格",""),IF(F64="","缺少设备类别",""),IF(F64="","",IF(COUNTIF(EV_SUBMERSIBLE_CATEGORY,F64)=0,"设备类别不在标准枚举中","")),IF(AND(ISTEXT(F64),OR(F64&lt;&gt;TRIM(F64),ISNUMBER(SEARCH("　",F64)))),"设备类别含首尾空格或全角空格",""),IF(G64="","缺少设备形式",""),IF(G64="","",IF(COUNTIF(EV_SUB_FORM_ALL,G64)=0,"设备形式不在标准枚举中","")),IF(AND(ISTEXT(G64),OR(G64&lt;&gt;TRIM(G64),ISNUMBER(SEARCH("　",G64)))),"设备形式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工作温度",""),IF(K64="","",IF(NOT(ISNUMBER(K64)),"工作温度应为数值",IF(OR(K64&lt;0,K64&gt;100),"工作温度应为0～100",""))),IF(L64="","缺少额定功率",""),IF(L64="","",IF(NOT(ISNUMBER(L64)),"额定功率应为数值",IF(L64&lt;=0,"额定功率应大于0",""))),IF(M64="","缺少级数",""),IF(M64="","",IF(NOT(ISNUMBER(M64)),"级数应为数值",IF(OR(M64&lt;=0,MOD(M64,1)&lt;&gt;0),"级数应为正整数",""))),IF(N64="","缺少电泵效率",""),IF(N64="","",IF(NOT(ISNUMBER(N64)),"电泵效率应为数值",IF(OR(N64&lt;1,N64&gt;100),"电泵效率应为1～100的百分数本值",""))),IF(U64="","缺少铭牌照片",""),IF(AND(ISTEXT(V64),OR(V64&lt;&gt;TRIM(V64),ISNUMBER(SEARCH("　",V64)))),"填表备注含首尾空格或全角空格",""),IF(AND(F64="小型潜水电泵",G64&lt;&gt;"",COUNTIF(EV_SUB_FORM_SMALL,G64)=0),"设备形式与小型潜水电泵类别不匹配",""),IF(AND(F64="大中型潜水电泵",G64&lt;&gt;"",COUNTIF(EV_SUB_FORM_LARGE,G64)=0),"设备形式与大中型潜水电泵类别不匹配",""),IF(AND(F64="污水污物潜水电泵",G64&lt;&gt;"",COUNTIF(EV_SUB_FORM_WASTE,G64)=0),"设备形式与污水污物潜水电泵类别不匹配",""),IF(AND(F64="井用潜水电泵",G64&lt;&gt;"",COUNTIF(EV_SUB_FORM_WELL,G64)=0),"设备形式与井用潜水电泵类别不匹配",""),IF(AND(F64="混流潜水电泵",G64&lt;&gt;"",COUNTIF(EV_SUB_FORM_MIXED,G64)=0),"设备形式与混流潜水电泵类别不匹配","")),"")</f>
        <v/>
      </c>
    </row>
    <row r="65" ht="42" customHeight="1" s="184">
      <c r="A65" s="224">
        <f>IF(COUNTA(B65,C65,D65,E65,F65,G65,H65,I65,J65,K65,L65,M65,N65,U65,V65)&gt;0,ROW()-3,"")</f>
        <v/>
      </c>
      <c r="B65" s="176" t="n"/>
      <c r="C65" s="176" t="n"/>
      <c r="D65" s="228" t="n"/>
      <c r="E65" s="176" t="n"/>
      <c r="F65" s="218" t="n"/>
      <c r="G65" s="176" t="n"/>
      <c r="H65" s="229" t="n"/>
      <c r="I65" s="229" t="n"/>
      <c r="J65" s="229" t="n"/>
      <c r="K65" s="237" t="n"/>
      <c r="L65" s="229" t="n"/>
      <c r="M65" s="228" t="n"/>
      <c r="N65" s="229" t="n"/>
      <c r="O65" s="236" t="n"/>
      <c r="P65" s="236" t="n"/>
      <c r="Q65" s="227" t="n"/>
      <c r="R65" s="227" t="n"/>
      <c r="S65" s="227" t="n"/>
      <c r="T65" s="81" t="n"/>
      <c r="U65" s="180" t="n"/>
      <c r="V65" s="180" t="n"/>
      <c r="W65" s="99">
        <f>IF(COUNTA(B65,C65,D65,E65,F65,G65,H65,I65,J65,K65,L65,M65,N65,U65,V65)&gt;0,TEXTJOIN("；",TRUE,IF(B65="","缺少设备名称",""),IF(AND(ISTEXT(B65),OR(B65&lt;&gt;TRIM(B65),ISNUMBER(SEARCH("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",C65)))),"型号含首尾空格或全角空格",""),IF(D65="","缺少数量",""),IF(D65="","",IF(NOT(ISNUMBER(D65)),"数量应为数值",IF(OR(D65&lt;=0,MOD(D65,1)&lt;&gt;0),"数量应为正整数",""))),IF(AND(ISTEXT(E65),OR(E65&lt;&gt;TRIM(E65),ISNUMBER(SEARCH("　",E65)))),"安装位置含首尾空格或全角空格",""),IF(F65="","缺少设备类别",""),IF(F65="","",IF(COUNTIF(EV_SUBMERSIBLE_CATEGORY,F65)=0,"设备类别不在标准枚举中","")),IF(AND(ISTEXT(F65),OR(F65&lt;&gt;TRIM(F65),ISNUMBER(SEARCH("　",F65)))),"设备类别含首尾空格或全角空格",""),IF(G65="","缺少设备形式",""),IF(G65="","",IF(COUNTIF(EV_SUB_FORM_ALL,G65)=0,"设备形式不在标准枚举中","")),IF(AND(ISTEXT(G65),OR(G65&lt;&gt;TRIM(G65),ISNUMBER(SEARCH("　",G65)))),"设备形式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工作温度",""),IF(K65="","",IF(NOT(ISNUMBER(K65)),"工作温度应为数值",IF(OR(K65&lt;0,K65&gt;100),"工作温度应为0～100",""))),IF(L65="","缺少额定功率",""),IF(L65="","",IF(NOT(ISNUMBER(L65)),"额定功率应为数值",IF(L65&lt;=0,"额定功率应大于0",""))),IF(M65="","缺少级数",""),IF(M65="","",IF(NOT(ISNUMBER(M65)),"级数应为数值",IF(OR(M65&lt;=0,MOD(M65,1)&lt;&gt;0),"级数应为正整数",""))),IF(N65="","缺少电泵效率",""),IF(N65="","",IF(NOT(ISNUMBER(N65)),"电泵效率应为数值",IF(OR(N65&lt;1,N65&gt;100),"电泵效率应为1～100的百分数本值",""))),IF(U65="","缺少铭牌照片",""),IF(AND(ISTEXT(V65),OR(V65&lt;&gt;TRIM(V65),ISNUMBER(SEARCH("　",V65)))),"填表备注含首尾空格或全角空格",""),IF(AND(F65="小型潜水电泵",G65&lt;&gt;"",COUNTIF(EV_SUB_FORM_SMALL,G65)=0),"设备形式与小型潜水电泵类别不匹配",""),IF(AND(F65="大中型潜水电泵",G65&lt;&gt;"",COUNTIF(EV_SUB_FORM_LARGE,G65)=0),"设备形式与大中型潜水电泵类别不匹配",""),IF(AND(F65="污水污物潜水电泵",G65&lt;&gt;"",COUNTIF(EV_SUB_FORM_WASTE,G65)=0),"设备形式与污水污物潜水电泵类别不匹配",""),IF(AND(F65="井用潜水电泵",G65&lt;&gt;"",COUNTIF(EV_SUB_FORM_WELL,G65)=0),"设备形式与井用潜水电泵类别不匹配",""),IF(AND(F65="混流潜水电泵",G65&lt;&gt;"",COUNTIF(EV_SUB_FORM_MIXED,G65)=0),"设备形式与混流潜水电泵类别不匹配","")),"")</f>
        <v/>
      </c>
    </row>
    <row r="66" ht="42" customHeight="1" s="184">
      <c r="A66" s="224">
        <f>IF(COUNTA(B66,C66,D66,E66,F66,G66,H66,I66,J66,K66,L66,M66,N66,U66,V66)&gt;0,ROW()-3,"")</f>
        <v/>
      </c>
      <c r="B66" s="176" t="n"/>
      <c r="C66" s="176" t="n"/>
      <c r="D66" s="228" t="n"/>
      <c r="E66" s="176" t="n"/>
      <c r="F66" s="218" t="n"/>
      <c r="G66" s="176" t="n"/>
      <c r="H66" s="229" t="n"/>
      <c r="I66" s="229" t="n"/>
      <c r="J66" s="229" t="n"/>
      <c r="K66" s="237" t="n"/>
      <c r="L66" s="229" t="n"/>
      <c r="M66" s="228" t="n"/>
      <c r="N66" s="229" t="n"/>
      <c r="O66" s="236" t="n"/>
      <c r="P66" s="236" t="n"/>
      <c r="Q66" s="227" t="n"/>
      <c r="R66" s="227" t="n"/>
      <c r="S66" s="227" t="n"/>
      <c r="T66" s="81" t="n"/>
      <c r="U66" s="180" t="n"/>
      <c r="V66" s="180" t="n"/>
      <c r="W66" s="99">
        <f>IF(COUNTA(B66,C66,D66,E66,F66,G66,H66,I66,J66,K66,L66,M66,N66,U66,V66)&gt;0,TEXTJOIN("；",TRUE,IF(B66="","缺少设备名称",""),IF(AND(ISTEXT(B66),OR(B66&lt;&gt;TRIM(B66),ISNUMBER(SEARCH("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",C66)))),"型号含首尾空格或全角空格",""),IF(D66="","缺少数量",""),IF(D66="","",IF(NOT(ISNUMBER(D66)),"数量应为数值",IF(OR(D66&lt;=0,MOD(D66,1)&lt;&gt;0),"数量应为正整数",""))),IF(AND(ISTEXT(E66),OR(E66&lt;&gt;TRIM(E66),ISNUMBER(SEARCH("　",E66)))),"安装位置含首尾空格或全角空格",""),IF(F66="","缺少设备类别",""),IF(F66="","",IF(COUNTIF(EV_SUBMERSIBLE_CATEGORY,F66)=0,"设备类别不在标准枚举中","")),IF(AND(ISTEXT(F66),OR(F66&lt;&gt;TRIM(F66),ISNUMBER(SEARCH("　",F66)))),"设备类别含首尾空格或全角空格",""),IF(G66="","缺少设备形式",""),IF(G66="","",IF(COUNTIF(EV_SUB_FORM_ALL,G66)=0,"设备形式不在标准枚举中","")),IF(AND(ISTEXT(G66),OR(G66&lt;&gt;TRIM(G66),ISNUMBER(SEARCH("　",G66)))),"设备形式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工作温度",""),IF(K66="","",IF(NOT(ISNUMBER(K66)),"工作温度应为数值",IF(OR(K66&lt;0,K66&gt;100),"工作温度应为0～100",""))),IF(L66="","缺少额定功率",""),IF(L66="","",IF(NOT(ISNUMBER(L66)),"额定功率应为数值",IF(L66&lt;=0,"额定功率应大于0",""))),IF(M66="","缺少级数",""),IF(M66="","",IF(NOT(ISNUMBER(M66)),"级数应为数值",IF(OR(M66&lt;=0,MOD(M66,1)&lt;&gt;0),"级数应为正整数",""))),IF(N66="","缺少电泵效率",""),IF(N66="","",IF(NOT(ISNUMBER(N66)),"电泵效率应为数值",IF(OR(N66&lt;1,N66&gt;100),"电泵效率应为1～100的百分数本值",""))),IF(U66="","缺少铭牌照片",""),IF(AND(ISTEXT(V66),OR(V66&lt;&gt;TRIM(V66),ISNUMBER(SEARCH("　",V66)))),"填表备注含首尾空格或全角空格",""),IF(AND(F66="小型潜水电泵",G66&lt;&gt;"",COUNTIF(EV_SUB_FORM_SMALL,G66)=0),"设备形式与小型潜水电泵类别不匹配",""),IF(AND(F66="大中型潜水电泵",G66&lt;&gt;"",COUNTIF(EV_SUB_FORM_LARGE,G66)=0),"设备形式与大中型潜水电泵类别不匹配",""),IF(AND(F66="污水污物潜水电泵",G66&lt;&gt;"",COUNTIF(EV_SUB_FORM_WASTE,G66)=0),"设备形式与污水污物潜水电泵类别不匹配",""),IF(AND(F66="井用潜水电泵",G66&lt;&gt;"",COUNTIF(EV_SUB_FORM_WELL,G66)=0),"设备形式与井用潜水电泵类别不匹配",""),IF(AND(F66="混流潜水电泵",G66&lt;&gt;"",COUNTIF(EV_SUB_FORM_MIXED,G66)=0),"设备形式与混流潜水电泵类别不匹配","")),"")</f>
        <v/>
      </c>
    </row>
    <row r="67" ht="42" customHeight="1" s="184">
      <c r="A67" s="224">
        <f>IF(COUNTA(B67,C67,D67,E67,F67,G67,H67,I67,J67,K67,L67,M67,N67,U67,V67)&gt;0,ROW()-3,"")</f>
        <v/>
      </c>
      <c r="B67" s="176" t="n"/>
      <c r="C67" s="176" t="n"/>
      <c r="D67" s="228" t="n"/>
      <c r="E67" s="176" t="n"/>
      <c r="F67" s="218" t="n"/>
      <c r="G67" s="176" t="n"/>
      <c r="H67" s="229" t="n"/>
      <c r="I67" s="229" t="n"/>
      <c r="J67" s="229" t="n"/>
      <c r="K67" s="237" t="n"/>
      <c r="L67" s="229" t="n"/>
      <c r="M67" s="228" t="n"/>
      <c r="N67" s="229" t="n"/>
      <c r="O67" s="236" t="n"/>
      <c r="P67" s="236" t="n"/>
      <c r="Q67" s="227" t="n"/>
      <c r="R67" s="227" t="n"/>
      <c r="S67" s="227" t="n"/>
      <c r="T67" s="81" t="n"/>
      <c r="U67" s="180" t="n"/>
      <c r="V67" s="180" t="n"/>
      <c r="W67" s="99">
        <f>IF(COUNTA(B67,C67,D67,E67,F67,G67,H67,I67,J67,K67,L67,M67,N67,U67,V67)&gt;0,TEXTJOIN("；",TRUE,IF(B67="","缺少设备名称",""),IF(AND(ISTEXT(B67),OR(B67&lt;&gt;TRIM(B67),ISNUMBER(SEARCH("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",C67)))),"型号含首尾空格或全角空格",""),IF(D67="","缺少数量",""),IF(D67="","",IF(NOT(ISNUMBER(D67)),"数量应为数值",IF(OR(D67&lt;=0,MOD(D67,1)&lt;&gt;0),"数量应为正整数",""))),IF(AND(ISTEXT(E67),OR(E67&lt;&gt;TRIM(E67),ISNUMBER(SEARCH("　",E67)))),"安装位置含首尾空格或全角空格",""),IF(F67="","缺少设备类别",""),IF(F67="","",IF(COUNTIF(EV_SUBMERSIBLE_CATEGORY,F67)=0,"设备类别不在标准枚举中","")),IF(AND(ISTEXT(F67),OR(F67&lt;&gt;TRIM(F67),ISNUMBER(SEARCH("　",F67)))),"设备类别含首尾空格或全角空格",""),IF(G67="","缺少设备形式",""),IF(G67="","",IF(COUNTIF(EV_SUB_FORM_ALL,G67)=0,"设备形式不在标准枚举中","")),IF(AND(ISTEXT(G67),OR(G67&lt;&gt;TRIM(G67),ISNUMBER(SEARCH("　",G67)))),"设备形式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工作温度",""),IF(K67="","",IF(NOT(ISNUMBER(K67)),"工作温度应为数值",IF(OR(K67&lt;0,K67&gt;100),"工作温度应为0～100",""))),IF(L67="","缺少额定功率",""),IF(L67="","",IF(NOT(ISNUMBER(L67)),"额定功率应为数值",IF(L67&lt;=0,"额定功率应大于0",""))),IF(M67="","缺少级数",""),IF(M67="","",IF(NOT(ISNUMBER(M67)),"级数应为数值",IF(OR(M67&lt;=0,MOD(M67,1)&lt;&gt;0),"级数应为正整数",""))),IF(N67="","缺少电泵效率",""),IF(N67="","",IF(NOT(ISNUMBER(N67)),"电泵效率应为数值",IF(OR(N67&lt;1,N67&gt;100),"电泵效率应为1～100的百分数本值",""))),IF(U67="","缺少铭牌照片",""),IF(AND(ISTEXT(V67),OR(V67&lt;&gt;TRIM(V67),ISNUMBER(SEARCH("　",V67)))),"填表备注含首尾空格或全角空格",""),IF(AND(F67="小型潜水电泵",G67&lt;&gt;"",COUNTIF(EV_SUB_FORM_SMALL,G67)=0),"设备形式与小型潜水电泵类别不匹配",""),IF(AND(F67="大中型潜水电泵",G67&lt;&gt;"",COUNTIF(EV_SUB_FORM_LARGE,G67)=0),"设备形式与大中型潜水电泵类别不匹配",""),IF(AND(F67="污水污物潜水电泵",G67&lt;&gt;"",COUNTIF(EV_SUB_FORM_WASTE,G67)=0),"设备形式与污水污物潜水电泵类别不匹配",""),IF(AND(F67="井用潜水电泵",G67&lt;&gt;"",COUNTIF(EV_SUB_FORM_WELL,G67)=0),"设备形式与井用潜水电泵类别不匹配",""),IF(AND(F67="混流潜水电泵",G67&lt;&gt;"",COUNTIF(EV_SUB_FORM_MIXED,G67)=0),"设备形式与混流潜水电泵类别不匹配","")),"")</f>
        <v/>
      </c>
    </row>
    <row r="68" ht="42" customHeight="1" s="184">
      <c r="A68" s="224">
        <f>IF(COUNTA(B68,C68,D68,E68,F68,G68,H68,I68,J68,K68,L68,M68,N68,U68,V68)&gt;0,ROW()-3,"")</f>
        <v/>
      </c>
      <c r="B68" s="176" t="n"/>
      <c r="C68" s="176" t="n"/>
      <c r="D68" s="228" t="n"/>
      <c r="E68" s="176" t="n"/>
      <c r="F68" s="218" t="n"/>
      <c r="G68" s="176" t="n"/>
      <c r="H68" s="229" t="n"/>
      <c r="I68" s="229" t="n"/>
      <c r="J68" s="229" t="n"/>
      <c r="K68" s="237" t="n"/>
      <c r="L68" s="229" t="n"/>
      <c r="M68" s="228" t="n"/>
      <c r="N68" s="229" t="n"/>
      <c r="O68" s="236" t="n"/>
      <c r="P68" s="236" t="n"/>
      <c r="Q68" s="227" t="n"/>
      <c r="R68" s="227" t="n"/>
      <c r="S68" s="227" t="n"/>
      <c r="T68" s="81" t="n"/>
      <c r="U68" s="180" t="n"/>
      <c r="V68" s="180" t="n"/>
      <c r="W68" s="99">
        <f>IF(COUNTA(B68,C68,D68,E68,F68,G68,H68,I68,J68,K68,L68,M68,N68,U68,V68)&gt;0,TEXTJOIN("；",TRUE,IF(B68="","缺少设备名称",""),IF(AND(ISTEXT(B68),OR(B68&lt;&gt;TRIM(B68),ISNUMBER(SEARCH("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",C68)))),"型号含首尾空格或全角空格",""),IF(D68="","缺少数量",""),IF(D68="","",IF(NOT(ISNUMBER(D68)),"数量应为数值",IF(OR(D68&lt;=0,MOD(D68,1)&lt;&gt;0),"数量应为正整数",""))),IF(AND(ISTEXT(E68),OR(E68&lt;&gt;TRIM(E68),ISNUMBER(SEARCH("　",E68)))),"安装位置含首尾空格或全角空格",""),IF(F68="","缺少设备类别",""),IF(F68="","",IF(COUNTIF(EV_SUBMERSIBLE_CATEGORY,F68)=0,"设备类别不在标准枚举中","")),IF(AND(ISTEXT(F68),OR(F68&lt;&gt;TRIM(F68),ISNUMBER(SEARCH("　",F68)))),"设备类别含首尾空格或全角空格",""),IF(G68="","缺少设备形式",""),IF(G68="","",IF(COUNTIF(EV_SUB_FORM_ALL,G68)=0,"设备形式不在标准枚举中","")),IF(AND(ISTEXT(G68),OR(G68&lt;&gt;TRIM(G68),ISNUMBER(SEARCH("　",G68)))),"设备形式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工作温度",""),IF(K68="","",IF(NOT(ISNUMBER(K68)),"工作温度应为数值",IF(OR(K68&lt;0,K68&gt;100),"工作温度应为0～100",""))),IF(L68="","缺少额定功率",""),IF(L68="","",IF(NOT(ISNUMBER(L68)),"额定功率应为数值",IF(L68&lt;=0,"额定功率应大于0",""))),IF(M68="","缺少级数",""),IF(M68="","",IF(NOT(ISNUMBER(M68)),"级数应为数值",IF(OR(M68&lt;=0,MOD(M68,1)&lt;&gt;0),"级数应为正整数",""))),IF(N68="","缺少电泵效率",""),IF(N68="","",IF(NOT(ISNUMBER(N68)),"电泵效率应为数值",IF(OR(N68&lt;1,N68&gt;100),"电泵效率应为1～100的百分数本值",""))),IF(U68="","缺少铭牌照片",""),IF(AND(ISTEXT(V68),OR(V68&lt;&gt;TRIM(V68),ISNUMBER(SEARCH("　",V68)))),"填表备注含首尾空格或全角空格",""),IF(AND(F68="小型潜水电泵",G68&lt;&gt;"",COUNTIF(EV_SUB_FORM_SMALL,G68)=0),"设备形式与小型潜水电泵类别不匹配",""),IF(AND(F68="大中型潜水电泵",G68&lt;&gt;"",COUNTIF(EV_SUB_FORM_LARGE,G68)=0),"设备形式与大中型潜水电泵类别不匹配",""),IF(AND(F68="污水污物潜水电泵",G68&lt;&gt;"",COUNTIF(EV_SUB_FORM_WASTE,G68)=0),"设备形式与污水污物潜水电泵类别不匹配",""),IF(AND(F68="井用潜水电泵",G68&lt;&gt;"",COUNTIF(EV_SUB_FORM_WELL,G68)=0),"设备形式与井用潜水电泵类别不匹配",""),IF(AND(F68="混流潜水电泵",G68&lt;&gt;"",COUNTIF(EV_SUB_FORM_MIXED,G68)=0),"设备形式与混流潜水电泵类别不匹配","")),"")</f>
        <v/>
      </c>
    </row>
    <row r="69" ht="42" customHeight="1" s="184">
      <c r="A69" s="224">
        <f>IF(COUNTA(B69,C69,D69,E69,F69,G69,H69,I69,J69,K69,L69,M69,N69,U69,V69)&gt;0,ROW()-3,"")</f>
        <v/>
      </c>
      <c r="B69" s="176" t="n"/>
      <c r="C69" s="176" t="n"/>
      <c r="D69" s="228" t="n"/>
      <c r="E69" s="176" t="n"/>
      <c r="F69" s="218" t="n"/>
      <c r="G69" s="176" t="n"/>
      <c r="H69" s="229" t="n"/>
      <c r="I69" s="229" t="n"/>
      <c r="J69" s="229" t="n"/>
      <c r="K69" s="237" t="n"/>
      <c r="L69" s="229" t="n"/>
      <c r="M69" s="228" t="n"/>
      <c r="N69" s="229" t="n"/>
      <c r="O69" s="236" t="n"/>
      <c r="P69" s="236" t="n"/>
      <c r="Q69" s="227" t="n"/>
      <c r="R69" s="227" t="n"/>
      <c r="S69" s="227" t="n"/>
      <c r="T69" s="81" t="n"/>
      <c r="U69" s="180" t="n"/>
      <c r="V69" s="180" t="n"/>
      <c r="W69" s="99">
        <f>IF(COUNTA(B69,C69,D69,E69,F69,G69,H69,I69,J69,K69,L69,M69,N69,U69,V69)&gt;0,TEXTJOIN("；",TRUE,IF(B69="","缺少设备名称",""),IF(AND(ISTEXT(B69),OR(B69&lt;&gt;TRIM(B69),ISNUMBER(SEARCH("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",C69)))),"型号含首尾空格或全角空格",""),IF(D69="","缺少数量",""),IF(D69="","",IF(NOT(ISNUMBER(D69)),"数量应为数值",IF(OR(D69&lt;=0,MOD(D69,1)&lt;&gt;0),"数量应为正整数",""))),IF(AND(ISTEXT(E69),OR(E69&lt;&gt;TRIM(E69),ISNUMBER(SEARCH("　",E69)))),"安装位置含首尾空格或全角空格",""),IF(F69="","缺少设备类别",""),IF(F69="","",IF(COUNTIF(EV_SUBMERSIBLE_CATEGORY,F69)=0,"设备类别不在标准枚举中","")),IF(AND(ISTEXT(F69),OR(F69&lt;&gt;TRIM(F69),ISNUMBER(SEARCH("　",F69)))),"设备类别含首尾空格或全角空格",""),IF(G69="","缺少设备形式",""),IF(G69="","",IF(COUNTIF(EV_SUB_FORM_ALL,G69)=0,"设备形式不在标准枚举中","")),IF(AND(ISTEXT(G69),OR(G69&lt;&gt;TRIM(G69),ISNUMBER(SEARCH("　",G69)))),"设备形式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工作温度",""),IF(K69="","",IF(NOT(ISNUMBER(K69)),"工作温度应为数值",IF(OR(K69&lt;0,K69&gt;100),"工作温度应为0～100",""))),IF(L69="","缺少额定功率",""),IF(L69="","",IF(NOT(ISNUMBER(L69)),"额定功率应为数值",IF(L69&lt;=0,"额定功率应大于0",""))),IF(M69="","缺少级数",""),IF(M69="","",IF(NOT(ISNUMBER(M69)),"级数应为数值",IF(OR(M69&lt;=0,MOD(M69,1)&lt;&gt;0),"级数应为正整数",""))),IF(N69="","缺少电泵效率",""),IF(N69="","",IF(NOT(ISNUMBER(N69)),"电泵效率应为数值",IF(OR(N69&lt;1,N69&gt;100),"电泵效率应为1～100的百分数本值",""))),IF(U69="","缺少铭牌照片",""),IF(AND(ISTEXT(V69),OR(V69&lt;&gt;TRIM(V69),ISNUMBER(SEARCH("　",V69)))),"填表备注含首尾空格或全角空格",""),IF(AND(F69="小型潜水电泵",G69&lt;&gt;"",COUNTIF(EV_SUB_FORM_SMALL,G69)=0),"设备形式与小型潜水电泵类别不匹配",""),IF(AND(F69="大中型潜水电泵",G69&lt;&gt;"",COUNTIF(EV_SUB_FORM_LARGE,G69)=0),"设备形式与大中型潜水电泵类别不匹配",""),IF(AND(F69="污水污物潜水电泵",G69&lt;&gt;"",COUNTIF(EV_SUB_FORM_WASTE,G69)=0),"设备形式与污水污物潜水电泵类别不匹配",""),IF(AND(F69="井用潜水电泵",G69&lt;&gt;"",COUNTIF(EV_SUB_FORM_WELL,G69)=0),"设备形式与井用潜水电泵类别不匹配",""),IF(AND(F69="混流潜水电泵",G69&lt;&gt;"",COUNTIF(EV_SUB_FORM_MIXED,G69)=0),"设备形式与混流潜水电泵类别不匹配","")),"")</f>
        <v/>
      </c>
    </row>
    <row r="70" ht="42" customHeight="1" s="184">
      <c r="A70" s="224">
        <f>IF(COUNTA(B70,C70,D70,E70,F70,G70,H70,I70,J70,K70,L70,M70,N70,U70,V70)&gt;0,ROW()-3,"")</f>
        <v/>
      </c>
      <c r="B70" s="176" t="n"/>
      <c r="C70" s="176" t="n"/>
      <c r="D70" s="228" t="n"/>
      <c r="E70" s="176" t="n"/>
      <c r="F70" s="218" t="n"/>
      <c r="G70" s="176" t="n"/>
      <c r="H70" s="229" t="n"/>
      <c r="I70" s="229" t="n"/>
      <c r="J70" s="229" t="n"/>
      <c r="K70" s="237" t="n"/>
      <c r="L70" s="229" t="n"/>
      <c r="M70" s="228" t="n"/>
      <c r="N70" s="229" t="n"/>
      <c r="O70" s="236" t="n"/>
      <c r="P70" s="236" t="n"/>
      <c r="Q70" s="227" t="n"/>
      <c r="R70" s="227" t="n"/>
      <c r="S70" s="227" t="n"/>
      <c r="T70" s="81" t="n"/>
      <c r="U70" s="180" t="n"/>
      <c r="V70" s="180" t="n"/>
      <c r="W70" s="99">
        <f>IF(COUNTA(B70,C70,D70,E70,F70,G70,H70,I70,J70,K70,L70,M70,N70,U70,V70)&gt;0,TEXTJOIN("；",TRUE,IF(B70="","缺少设备名称",""),IF(AND(ISTEXT(B70),OR(B70&lt;&gt;TRIM(B70),ISNUMBER(SEARCH("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",C70)))),"型号含首尾空格或全角空格",""),IF(D70="","缺少数量",""),IF(D70="","",IF(NOT(ISNUMBER(D70)),"数量应为数值",IF(OR(D70&lt;=0,MOD(D70,1)&lt;&gt;0),"数量应为正整数",""))),IF(AND(ISTEXT(E70),OR(E70&lt;&gt;TRIM(E70),ISNUMBER(SEARCH("　",E70)))),"安装位置含首尾空格或全角空格",""),IF(F70="","缺少设备类别",""),IF(F70="","",IF(COUNTIF(EV_SUBMERSIBLE_CATEGORY,F70)=0,"设备类别不在标准枚举中","")),IF(AND(ISTEXT(F70),OR(F70&lt;&gt;TRIM(F70),ISNUMBER(SEARCH("　",F70)))),"设备类别含首尾空格或全角空格",""),IF(G70="","缺少设备形式",""),IF(G70="","",IF(COUNTIF(EV_SUB_FORM_ALL,G70)=0,"设备形式不在标准枚举中","")),IF(AND(ISTEXT(G70),OR(G70&lt;&gt;TRIM(G70),ISNUMBER(SEARCH("　",G70)))),"设备形式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工作温度",""),IF(K70="","",IF(NOT(ISNUMBER(K70)),"工作温度应为数值",IF(OR(K70&lt;0,K70&gt;100),"工作温度应为0～100",""))),IF(L70="","缺少额定功率",""),IF(L70="","",IF(NOT(ISNUMBER(L70)),"额定功率应为数值",IF(L70&lt;=0,"额定功率应大于0",""))),IF(M70="","缺少级数",""),IF(M70="","",IF(NOT(ISNUMBER(M70)),"级数应为数值",IF(OR(M70&lt;=0,MOD(M70,1)&lt;&gt;0),"级数应为正整数",""))),IF(N70="","缺少电泵效率",""),IF(N70="","",IF(NOT(ISNUMBER(N70)),"电泵效率应为数值",IF(OR(N70&lt;1,N70&gt;100),"电泵效率应为1～100的百分数本值",""))),IF(U70="","缺少铭牌照片",""),IF(AND(ISTEXT(V70),OR(V70&lt;&gt;TRIM(V70),ISNUMBER(SEARCH("　",V70)))),"填表备注含首尾空格或全角空格",""),IF(AND(F70="小型潜水电泵",G70&lt;&gt;"",COUNTIF(EV_SUB_FORM_SMALL,G70)=0),"设备形式与小型潜水电泵类别不匹配",""),IF(AND(F70="大中型潜水电泵",G70&lt;&gt;"",COUNTIF(EV_SUB_FORM_LARGE,G70)=0),"设备形式与大中型潜水电泵类别不匹配",""),IF(AND(F70="污水污物潜水电泵",G70&lt;&gt;"",COUNTIF(EV_SUB_FORM_WASTE,G70)=0),"设备形式与污水污物潜水电泵类别不匹配",""),IF(AND(F70="井用潜水电泵",G70&lt;&gt;"",COUNTIF(EV_SUB_FORM_WELL,G70)=0),"设备形式与井用潜水电泵类别不匹配",""),IF(AND(F70="混流潜水电泵",G70&lt;&gt;"",COUNTIF(EV_SUB_FORM_MIXED,G70)=0),"设备形式与混流潜水电泵类别不匹配","")),"")</f>
        <v/>
      </c>
    </row>
    <row r="71" ht="42" customHeight="1" s="184">
      <c r="A71" s="224">
        <f>IF(COUNTA(B71,C71,D71,E71,F71,G71,H71,I71,J71,K71,L71,M71,N71,U71,V71)&gt;0,ROW()-3,"")</f>
        <v/>
      </c>
      <c r="B71" s="176" t="n"/>
      <c r="C71" s="176" t="n"/>
      <c r="D71" s="228" t="n"/>
      <c r="E71" s="176" t="n"/>
      <c r="F71" s="218" t="n"/>
      <c r="G71" s="176" t="n"/>
      <c r="H71" s="229" t="n"/>
      <c r="I71" s="229" t="n"/>
      <c r="J71" s="229" t="n"/>
      <c r="K71" s="237" t="n"/>
      <c r="L71" s="229" t="n"/>
      <c r="M71" s="228" t="n"/>
      <c r="N71" s="229" t="n"/>
      <c r="O71" s="236" t="n"/>
      <c r="P71" s="236" t="n"/>
      <c r="Q71" s="227" t="n"/>
      <c r="R71" s="227" t="n"/>
      <c r="S71" s="227" t="n"/>
      <c r="T71" s="81" t="n"/>
      <c r="U71" s="180" t="n"/>
      <c r="V71" s="180" t="n"/>
      <c r="W71" s="99">
        <f>IF(COUNTA(B71,C71,D71,E71,F71,G71,H71,I71,J71,K71,L71,M71,N71,U71,V71)&gt;0,TEXTJOIN("；",TRUE,IF(B71="","缺少设备名称",""),IF(AND(ISTEXT(B71),OR(B71&lt;&gt;TRIM(B71),ISNUMBER(SEARCH("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",C71)))),"型号含首尾空格或全角空格",""),IF(D71="","缺少数量",""),IF(D71="","",IF(NOT(ISNUMBER(D71)),"数量应为数值",IF(OR(D71&lt;=0,MOD(D71,1)&lt;&gt;0),"数量应为正整数",""))),IF(AND(ISTEXT(E71),OR(E71&lt;&gt;TRIM(E71),ISNUMBER(SEARCH("　",E71)))),"安装位置含首尾空格或全角空格",""),IF(F71="","缺少设备类别",""),IF(F71="","",IF(COUNTIF(EV_SUBMERSIBLE_CATEGORY,F71)=0,"设备类别不在标准枚举中","")),IF(AND(ISTEXT(F71),OR(F71&lt;&gt;TRIM(F71),ISNUMBER(SEARCH("　",F71)))),"设备类别含首尾空格或全角空格",""),IF(G71="","缺少设备形式",""),IF(G71="","",IF(COUNTIF(EV_SUB_FORM_ALL,G71)=0,"设备形式不在标准枚举中","")),IF(AND(ISTEXT(G71),OR(G71&lt;&gt;TRIM(G71),ISNUMBER(SEARCH("　",G71)))),"设备形式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工作温度",""),IF(K71="","",IF(NOT(ISNUMBER(K71)),"工作温度应为数值",IF(OR(K71&lt;0,K71&gt;100),"工作温度应为0～100",""))),IF(L71="","缺少额定功率",""),IF(L71="","",IF(NOT(ISNUMBER(L71)),"额定功率应为数值",IF(L71&lt;=0,"额定功率应大于0",""))),IF(M71="","缺少级数",""),IF(M71="","",IF(NOT(ISNUMBER(M71)),"级数应为数值",IF(OR(M71&lt;=0,MOD(M71,1)&lt;&gt;0),"级数应为正整数",""))),IF(N71="","缺少电泵效率",""),IF(N71="","",IF(NOT(ISNUMBER(N71)),"电泵效率应为数值",IF(OR(N71&lt;1,N71&gt;100),"电泵效率应为1～100的百分数本值",""))),IF(U71="","缺少铭牌照片",""),IF(AND(ISTEXT(V71),OR(V71&lt;&gt;TRIM(V71),ISNUMBER(SEARCH("　",V71)))),"填表备注含首尾空格或全角空格",""),IF(AND(F71="小型潜水电泵",G71&lt;&gt;"",COUNTIF(EV_SUB_FORM_SMALL,G71)=0),"设备形式与小型潜水电泵类别不匹配",""),IF(AND(F71="大中型潜水电泵",G71&lt;&gt;"",COUNTIF(EV_SUB_FORM_LARGE,G71)=0),"设备形式与大中型潜水电泵类别不匹配",""),IF(AND(F71="污水污物潜水电泵",G71&lt;&gt;"",COUNTIF(EV_SUB_FORM_WASTE,G71)=0),"设备形式与污水污物潜水电泵类别不匹配",""),IF(AND(F71="井用潜水电泵",G71&lt;&gt;"",COUNTIF(EV_SUB_FORM_WELL,G71)=0),"设备形式与井用潜水电泵类别不匹配",""),IF(AND(F71="混流潜水电泵",G71&lt;&gt;"",COUNTIF(EV_SUB_FORM_MIXED,G71)=0),"设备形式与混流潜水电泵类别不匹配","")),"")</f>
        <v/>
      </c>
    </row>
    <row r="72" ht="42" customHeight="1" s="184">
      <c r="A72" s="224">
        <f>IF(COUNTA(B72,C72,D72,E72,F72,G72,H72,I72,J72,K72,L72,M72,N72,U72,V72)&gt;0,ROW()-3,"")</f>
        <v/>
      </c>
      <c r="B72" s="176" t="n"/>
      <c r="C72" s="176" t="n"/>
      <c r="D72" s="228" t="n"/>
      <c r="E72" s="176" t="n"/>
      <c r="F72" s="218" t="n"/>
      <c r="G72" s="176" t="n"/>
      <c r="H72" s="229" t="n"/>
      <c r="I72" s="229" t="n"/>
      <c r="J72" s="229" t="n"/>
      <c r="K72" s="237" t="n"/>
      <c r="L72" s="229" t="n"/>
      <c r="M72" s="228" t="n"/>
      <c r="N72" s="229" t="n"/>
      <c r="O72" s="236" t="n"/>
      <c r="P72" s="236" t="n"/>
      <c r="Q72" s="227" t="n"/>
      <c r="R72" s="227" t="n"/>
      <c r="S72" s="227" t="n"/>
      <c r="T72" s="81" t="n"/>
      <c r="U72" s="180" t="n"/>
      <c r="V72" s="180" t="n"/>
      <c r="W72" s="99">
        <f>IF(COUNTA(B72,C72,D72,E72,F72,G72,H72,I72,J72,K72,L72,M72,N72,U72,V72)&gt;0,TEXTJOIN("；",TRUE,IF(B72="","缺少设备名称",""),IF(AND(ISTEXT(B72),OR(B72&lt;&gt;TRIM(B72),ISNUMBER(SEARCH("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",C72)))),"型号含首尾空格或全角空格",""),IF(D72="","缺少数量",""),IF(D72="","",IF(NOT(ISNUMBER(D72)),"数量应为数值",IF(OR(D72&lt;=0,MOD(D72,1)&lt;&gt;0),"数量应为正整数",""))),IF(AND(ISTEXT(E72),OR(E72&lt;&gt;TRIM(E72),ISNUMBER(SEARCH("　",E72)))),"安装位置含首尾空格或全角空格",""),IF(F72="","缺少设备类别",""),IF(F72="","",IF(COUNTIF(EV_SUBMERSIBLE_CATEGORY,F72)=0,"设备类别不在标准枚举中","")),IF(AND(ISTEXT(F72),OR(F72&lt;&gt;TRIM(F72),ISNUMBER(SEARCH("　",F72)))),"设备类别含首尾空格或全角空格",""),IF(G72="","缺少设备形式",""),IF(G72="","",IF(COUNTIF(EV_SUB_FORM_ALL,G72)=0,"设备形式不在标准枚举中","")),IF(AND(ISTEXT(G72),OR(G72&lt;&gt;TRIM(G72),ISNUMBER(SEARCH("　",G72)))),"设备形式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工作温度",""),IF(K72="","",IF(NOT(ISNUMBER(K72)),"工作温度应为数值",IF(OR(K72&lt;0,K72&gt;100),"工作温度应为0～100",""))),IF(L72="","缺少额定功率",""),IF(L72="","",IF(NOT(ISNUMBER(L72)),"额定功率应为数值",IF(L72&lt;=0,"额定功率应大于0",""))),IF(M72="","缺少级数",""),IF(M72="","",IF(NOT(ISNUMBER(M72)),"级数应为数值",IF(OR(M72&lt;=0,MOD(M72,1)&lt;&gt;0),"级数应为正整数",""))),IF(N72="","缺少电泵效率",""),IF(N72="","",IF(NOT(ISNUMBER(N72)),"电泵效率应为数值",IF(OR(N72&lt;1,N72&gt;100),"电泵效率应为1～100的百分数本值",""))),IF(U72="","缺少铭牌照片",""),IF(AND(ISTEXT(V72),OR(V72&lt;&gt;TRIM(V72),ISNUMBER(SEARCH("　",V72)))),"填表备注含首尾空格或全角空格",""),IF(AND(F72="小型潜水电泵",G72&lt;&gt;"",COUNTIF(EV_SUB_FORM_SMALL,G72)=0),"设备形式与小型潜水电泵类别不匹配",""),IF(AND(F72="大中型潜水电泵",G72&lt;&gt;"",COUNTIF(EV_SUB_FORM_LARGE,G72)=0),"设备形式与大中型潜水电泵类别不匹配",""),IF(AND(F72="污水污物潜水电泵",G72&lt;&gt;"",COUNTIF(EV_SUB_FORM_WASTE,G72)=0),"设备形式与污水污物潜水电泵类别不匹配",""),IF(AND(F72="井用潜水电泵",G72&lt;&gt;"",COUNTIF(EV_SUB_FORM_WELL,G72)=0),"设备形式与井用潜水电泵类别不匹配",""),IF(AND(F72="混流潜水电泵",G72&lt;&gt;"",COUNTIF(EV_SUB_FORM_MIXED,G72)=0),"设备形式与混流潜水电泵类别不匹配","")),"")</f>
        <v/>
      </c>
    </row>
    <row r="73" ht="42" customHeight="1" s="184">
      <c r="A73" s="224">
        <f>IF(COUNTA(B73,C73,D73,E73,F73,G73,H73,I73,J73,K73,L73,M73,N73,U73,V73)&gt;0,ROW()-3,"")</f>
        <v/>
      </c>
      <c r="B73" s="176" t="n"/>
      <c r="C73" s="176" t="n"/>
      <c r="D73" s="228" t="n"/>
      <c r="E73" s="176" t="n"/>
      <c r="F73" s="218" t="n"/>
      <c r="G73" s="176" t="n"/>
      <c r="H73" s="229" t="n"/>
      <c r="I73" s="229" t="n"/>
      <c r="J73" s="229" t="n"/>
      <c r="K73" s="237" t="n"/>
      <c r="L73" s="229" t="n"/>
      <c r="M73" s="228" t="n"/>
      <c r="N73" s="229" t="n"/>
      <c r="O73" s="236" t="n"/>
      <c r="P73" s="236" t="n"/>
      <c r="Q73" s="227" t="n"/>
      <c r="R73" s="227" t="n"/>
      <c r="S73" s="227" t="n"/>
      <c r="T73" s="81" t="n"/>
      <c r="U73" s="180" t="n"/>
      <c r="V73" s="180" t="n"/>
      <c r="W73" s="99">
        <f>IF(COUNTA(B73,C73,D73,E73,F73,G73,H73,I73,J73,K73,L73,M73,N73,U73,V73)&gt;0,TEXTJOIN("；",TRUE,IF(B73="","缺少设备名称",""),IF(AND(ISTEXT(B73),OR(B73&lt;&gt;TRIM(B73),ISNUMBER(SEARCH("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",C73)))),"型号含首尾空格或全角空格",""),IF(D73="","缺少数量",""),IF(D73="","",IF(NOT(ISNUMBER(D73)),"数量应为数值",IF(OR(D73&lt;=0,MOD(D73,1)&lt;&gt;0),"数量应为正整数",""))),IF(AND(ISTEXT(E73),OR(E73&lt;&gt;TRIM(E73),ISNUMBER(SEARCH("　",E73)))),"安装位置含首尾空格或全角空格",""),IF(F73="","缺少设备类别",""),IF(F73="","",IF(COUNTIF(EV_SUBMERSIBLE_CATEGORY,F73)=0,"设备类别不在标准枚举中","")),IF(AND(ISTEXT(F73),OR(F73&lt;&gt;TRIM(F73),ISNUMBER(SEARCH("　",F73)))),"设备类别含首尾空格或全角空格",""),IF(G73="","缺少设备形式",""),IF(G73="","",IF(COUNTIF(EV_SUB_FORM_ALL,G73)=0,"设备形式不在标准枚举中","")),IF(AND(ISTEXT(G73),OR(G73&lt;&gt;TRIM(G73),ISNUMBER(SEARCH("　",G73)))),"设备形式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工作温度",""),IF(K73="","",IF(NOT(ISNUMBER(K73)),"工作温度应为数值",IF(OR(K73&lt;0,K73&gt;100),"工作温度应为0～100",""))),IF(L73="","缺少额定功率",""),IF(L73="","",IF(NOT(ISNUMBER(L73)),"额定功率应为数值",IF(L73&lt;=0,"额定功率应大于0",""))),IF(M73="","缺少级数",""),IF(M73="","",IF(NOT(ISNUMBER(M73)),"级数应为数值",IF(OR(M73&lt;=0,MOD(M73,1)&lt;&gt;0),"级数应为正整数",""))),IF(N73="","缺少电泵效率",""),IF(N73="","",IF(NOT(ISNUMBER(N73)),"电泵效率应为数值",IF(OR(N73&lt;1,N73&gt;100),"电泵效率应为1～100的百分数本值",""))),IF(U73="","缺少铭牌照片",""),IF(AND(ISTEXT(V73),OR(V73&lt;&gt;TRIM(V73),ISNUMBER(SEARCH("　",V73)))),"填表备注含首尾空格或全角空格",""),IF(AND(F73="小型潜水电泵",G73&lt;&gt;"",COUNTIF(EV_SUB_FORM_SMALL,G73)=0),"设备形式与小型潜水电泵类别不匹配",""),IF(AND(F73="大中型潜水电泵",G73&lt;&gt;"",COUNTIF(EV_SUB_FORM_LARGE,G73)=0),"设备形式与大中型潜水电泵类别不匹配",""),IF(AND(F73="污水污物潜水电泵",G73&lt;&gt;"",COUNTIF(EV_SUB_FORM_WASTE,G73)=0),"设备形式与污水污物潜水电泵类别不匹配",""),IF(AND(F73="井用潜水电泵",G73&lt;&gt;"",COUNTIF(EV_SUB_FORM_WELL,G73)=0),"设备形式与井用潜水电泵类别不匹配",""),IF(AND(F73="混流潜水电泵",G73&lt;&gt;"",COUNTIF(EV_SUB_FORM_MIXED,G73)=0),"设备形式与混流潜水电泵类别不匹配","")),"")</f>
        <v/>
      </c>
    </row>
    <row r="74" ht="42" customHeight="1" s="184">
      <c r="A74" s="224">
        <f>IF(COUNTA(B74,C74,D74,E74,F74,G74,H74,I74,J74,K74,L74,M74,N74,U74,V74)&gt;0,ROW()-3,"")</f>
        <v/>
      </c>
      <c r="B74" s="176" t="n"/>
      <c r="C74" s="176" t="n"/>
      <c r="D74" s="228" t="n"/>
      <c r="E74" s="176" t="n"/>
      <c r="F74" s="218" t="n"/>
      <c r="G74" s="176" t="n"/>
      <c r="H74" s="229" t="n"/>
      <c r="I74" s="229" t="n"/>
      <c r="J74" s="229" t="n"/>
      <c r="K74" s="237" t="n"/>
      <c r="L74" s="229" t="n"/>
      <c r="M74" s="228" t="n"/>
      <c r="N74" s="229" t="n"/>
      <c r="O74" s="236" t="n"/>
      <c r="P74" s="236" t="n"/>
      <c r="Q74" s="227" t="n"/>
      <c r="R74" s="227" t="n"/>
      <c r="S74" s="227" t="n"/>
      <c r="T74" s="81" t="n"/>
      <c r="U74" s="180" t="n"/>
      <c r="V74" s="180" t="n"/>
      <c r="W74" s="99">
        <f>IF(COUNTA(B74,C74,D74,E74,F74,G74,H74,I74,J74,K74,L74,M74,N74,U74,V74)&gt;0,TEXTJOIN("；",TRUE,IF(B74="","缺少设备名称",""),IF(AND(ISTEXT(B74),OR(B74&lt;&gt;TRIM(B74),ISNUMBER(SEARCH("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",C74)))),"型号含首尾空格或全角空格",""),IF(D74="","缺少数量",""),IF(D74="","",IF(NOT(ISNUMBER(D74)),"数量应为数值",IF(OR(D74&lt;=0,MOD(D74,1)&lt;&gt;0),"数量应为正整数",""))),IF(AND(ISTEXT(E74),OR(E74&lt;&gt;TRIM(E74),ISNUMBER(SEARCH("　",E74)))),"安装位置含首尾空格或全角空格",""),IF(F74="","缺少设备类别",""),IF(F74="","",IF(COUNTIF(EV_SUBMERSIBLE_CATEGORY,F74)=0,"设备类别不在标准枚举中","")),IF(AND(ISTEXT(F74),OR(F74&lt;&gt;TRIM(F74),ISNUMBER(SEARCH("　",F74)))),"设备类别含首尾空格或全角空格",""),IF(G74="","缺少设备形式",""),IF(G74="","",IF(COUNTIF(EV_SUB_FORM_ALL,G74)=0,"设备形式不在标准枚举中","")),IF(AND(ISTEXT(G74),OR(G74&lt;&gt;TRIM(G74),ISNUMBER(SEARCH("　",G74)))),"设备形式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工作温度",""),IF(K74="","",IF(NOT(ISNUMBER(K74)),"工作温度应为数值",IF(OR(K74&lt;0,K74&gt;100),"工作温度应为0～100",""))),IF(L74="","缺少额定功率",""),IF(L74="","",IF(NOT(ISNUMBER(L74)),"额定功率应为数值",IF(L74&lt;=0,"额定功率应大于0",""))),IF(M74="","缺少级数",""),IF(M74="","",IF(NOT(ISNUMBER(M74)),"级数应为数值",IF(OR(M74&lt;=0,MOD(M74,1)&lt;&gt;0),"级数应为正整数",""))),IF(N74="","缺少电泵效率",""),IF(N74="","",IF(NOT(ISNUMBER(N74)),"电泵效率应为数值",IF(OR(N74&lt;1,N74&gt;100),"电泵效率应为1～100的百分数本值",""))),IF(U74="","缺少铭牌照片",""),IF(AND(ISTEXT(V74),OR(V74&lt;&gt;TRIM(V74),ISNUMBER(SEARCH("　",V74)))),"填表备注含首尾空格或全角空格",""),IF(AND(F74="小型潜水电泵",G74&lt;&gt;"",COUNTIF(EV_SUB_FORM_SMALL,G74)=0),"设备形式与小型潜水电泵类别不匹配",""),IF(AND(F74="大中型潜水电泵",G74&lt;&gt;"",COUNTIF(EV_SUB_FORM_LARGE,G74)=0),"设备形式与大中型潜水电泵类别不匹配",""),IF(AND(F74="污水污物潜水电泵",G74&lt;&gt;"",COUNTIF(EV_SUB_FORM_WASTE,G74)=0),"设备形式与污水污物潜水电泵类别不匹配",""),IF(AND(F74="井用潜水电泵",G74&lt;&gt;"",COUNTIF(EV_SUB_FORM_WELL,G74)=0),"设备形式与井用潜水电泵类别不匹配",""),IF(AND(F74="混流潜水电泵",G74&lt;&gt;"",COUNTIF(EV_SUB_FORM_MIXED,G74)=0),"设备形式与混流潜水电泵类别不匹配","")),"")</f>
        <v/>
      </c>
    </row>
    <row r="75" ht="42" customHeight="1" s="184">
      <c r="A75" s="224">
        <f>IF(COUNTA(B75,C75,D75,E75,F75,G75,H75,I75,J75,K75,L75,M75,N75,U75,V75)&gt;0,ROW()-3,"")</f>
        <v/>
      </c>
      <c r="B75" s="176" t="n"/>
      <c r="C75" s="176" t="n"/>
      <c r="D75" s="228" t="n"/>
      <c r="E75" s="176" t="n"/>
      <c r="F75" s="218" t="n"/>
      <c r="G75" s="176" t="n"/>
      <c r="H75" s="229" t="n"/>
      <c r="I75" s="229" t="n"/>
      <c r="J75" s="229" t="n"/>
      <c r="K75" s="237" t="n"/>
      <c r="L75" s="229" t="n"/>
      <c r="M75" s="228" t="n"/>
      <c r="N75" s="229" t="n"/>
      <c r="O75" s="236" t="n"/>
      <c r="P75" s="236" t="n"/>
      <c r="Q75" s="227" t="n"/>
      <c r="R75" s="227" t="n"/>
      <c r="S75" s="227" t="n"/>
      <c r="T75" s="81" t="n"/>
      <c r="U75" s="180" t="n"/>
      <c r="V75" s="180" t="n"/>
      <c r="W75" s="99">
        <f>IF(COUNTA(B75,C75,D75,E75,F75,G75,H75,I75,J75,K75,L75,M75,N75,U75,V75)&gt;0,TEXTJOIN("；",TRUE,IF(B75="","缺少设备名称",""),IF(AND(ISTEXT(B75),OR(B75&lt;&gt;TRIM(B75),ISNUMBER(SEARCH("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",C75)))),"型号含首尾空格或全角空格",""),IF(D75="","缺少数量",""),IF(D75="","",IF(NOT(ISNUMBER(D75)),"数量应为数值",IF(OR(D75&lt;=0,MOD(D75,1)&lt;&gt;0),"数量应为正整数",""))),IF(AND(ISTEXT(E75),OR(E75&lt;&gt;TRIM(E75),ISNUMBER(SEARCH("　",E75)))),"安装位置含首尾空格或全角空格",""),IF(F75="","缺少设备类别",""),IF(F75="","",IF(COUNTIF(EV_SUBMERSIBLE_CATEGORY,F75)=0,"设备类别不在标准枚举中","")),IF(AND(ISTEXT(F75),OR(F75&lt;&gt;TRIM(F75),ISNUMBER(SEARCH("　",F75)))),"设备类别含首尾空格或全角空格",""),IF(G75="","缺少设备形式",""),IF(G75="","",IF(COUNTIF(EV_SUB_FORM_ALL,G75)=0,"设备形式不在标准枚举中","")),IF(AND(ISTEXT(G75),OR(G75&lt;&gt;TRIM(G75),ISNUMBER(SEARCH("　",G75)))),"设备形式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工作温度",""),IF(K75="","",IF(NOT(ISNUMBER(K75)),"工作温度应为数值",IF(OR(K75&lt;0,K75&gt;100),"工作温度应为0～100",""))),IF(L75="","缺少额定功率",""),IF(L75="","",IF(NOT(ISNUMBER(L75)),"额定功率应为数值",IF(L75&lt;=0,"额定功率应大于0",""))),IF(M75="","缺少级数",""),IF(M75="","",IF(NOT(ISNUMBER(M75)),"级数应为数值",IF(OR(M75&lt;=0,MOD(M75,1)&lt;&gt;0),"级数应为正整数",""))),IF(N75="","缺少电泵效率",""),IF(N75="","",IF(NOT(ISNUMBER(N75)),"电泵效率应为数值",IF(OR(N75&lt;1,N75&gt;100),"电泵效率应为1～100的百分数本值",""))),IF(U75="","缺少铭牌照片",""),IF(AND(ISTEXT(V75),OR(V75&lt;&gt;TRIM(V75),ISNUMBER(SEARCH("　",V75)))),"填表备注含首尾空格或全角空格",""),IF(AND(F75="小型潜水电泵",G75&lt;&gt;"",COUNTIF(EV_SUB_FORM_SMALL,G75)=0),"设备形式与小型潜水电泵类别不匹配",""),IF(AND(F75="大中型潜水电泵",G75&lt;&gt;"",COUNTIF(EV_SUB_FORM_LARGE,G75)=0),"设备形式与大中型潜水电泵类别不匹配",""),IF(AND(F75="污水污物潜水电泵",G75&lt;&gt;"",COUNTIF(EV_SUB_FORM_WASTE,G75)=0),"设备形式与污水污物潜水电泵类别不匹配",""),IF(AND(F75="井用潜水电泵",G75&lt;&gt;"",COUNTIF(EV_SUB_FORM_WELL,G75)=0),"设备形式与井用潜水电泵类别不匹配",""),IF(AND(F75="混流潜水电泵",G75&lt;&gt;"",COUNTIF(EV_SUB_FORM_MIXED,G75)=0),"设备形式与混流潜水电泵类别不匹配","")),"")</f>
        <v/>
      </c>
    </row>
    <row r="76" ht="42" customHeight="1" s="184">
      <c r="A76" s="224">
        <f>IF(COUNTA(B76,C76,D76,E76,F76,G76,H76,I76,J76,K76,L76,M76,N76,U76,V76)&gt;0,ROW()-3,"")</f>
        <v/>
      </c>
      <c r="B76" s="176" t="n"/>
      <c r="C76" s="176" t="n"/>
      <c r="D76" s="228" t="n"/>
      <c r="E76" s="176" t="n"/>
      <c r="F76" s="218" t="n"/>
      <c r="G76" s="176" t="n"/>
      <c r="H76" s="229" t="n"/>
      <c r="I76" s="229" t="n"/>
      <c r="J76" s="229" t="n"/>
      <c r="K76" s="237" t="n"/>
      <c r="L76" s="229" t="n"/>
      <c r="M76" s="228" t="n"/>
      <c r="N76" s="229" t="n"/>
      <c r="O76" s="236" t="n"/>
      <c r="P76" s="236" t="n"/>
      <c r="Q76" s="227" t="n"/>
      <c r="R76" s="227" t="n"/>
      <c r="S76" s="227" t="n"/>
      <c r="T76" s="81" t="n"/>
      <c r="U76" s="180" t="n"/>
      <c r="V76" s="180" t="n"/>
      <c r="W76" s="99">
        <f>IF(COUNTA(B76,C76,D76,E76,F76,G76,H76,I76,J76,K76,L76,M76,N76,U76,V76)&gt;0,TEXTJOIN("；",TRUE,IF(B76="","缺少设备名称",""),IF(AND(ISTEXT(B76),OR(B76&lt;&gt;TRIM(B76),ISNUMBER(SEARCH("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",C76)))),"型号含首尾空格或全角空格",""),IF(D76="","缺少数量",""),IF(D76="","",IF(NOT(ISNUMBER(D76)),"数量应为数值",IF(OR(D76&lt;=0,MOD(D76,1)&lt;&gt;0),"数量应为正整数",""))),IF(AND(ISTEXT(E76),OR(E76&lt;&gt;TRIM(E76),ISNUMBER(SEARCH("　",E76)))),"安装位置含首尾空格或全角空格",""),IF(F76="","缺少设备类别",""),IF(F76="","",IF(COUNTIF(EV_SUBMERSIBLE_CATEGORY,F76)=0,"设备类别不在标准枚举中","")),IF(AND(ISTEXT(F76),OR(F76&lt;&gt;TRIM(F76),ISNUMBER(SEARCH("　",F76)))),"设备类别含首尾空格或全角空格",""),IF(G76="","缺少设备形式",""),IF(G76="","",IF(COUNTIF(EV_SUB_FORM_ALL,G76)=0,"设备形式不在标准枚举中","")),IF(AND(ISTEXT(G76),OR(G76&lt;&gt;TRIM(G76),ISNUMBER(SEARCH("　",G76)))),"设备形式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工作温度",""),IF(K76="","",IF(NOT(ISNUMBER(K76)),"工作温度应为数值",IF(OR(K76&lt;0,K76&gt;100),"工作温度应为0～100",""))),IF(L76="","缺少额定功率",""),IF(L76="","",IF(NOT(ISNUMBER(L76)),"额定功率应为数值",IF(L76&lt;=0,"额定功率应大于0",""))),IF(M76="","缺少级数",""),IF(M76="","",IF(NOT(ISNUMBER(M76)),"级数应为数值",IF(OR(M76&lt;=0,MOD(M76,1)&lt;&gt;0),"级数应为正整数",""))),IF(N76="","缺少电泵效率",""),IF(N76="","",IF(NOT(ISNUMBER(N76)),"电泵效率应为数值",IF(OR(N76&lt;1,N76&gt;100),"电泵效率应为1～100的百分数本值",""))),IF(U76="","缺少铭牌照片",""),IF(AND(ISTEXT(V76),OR(V76&lt;&gt;TRIM(V76),ISNUMBER(SEARCH("　",V76)))),"填表备注含首尾空格或全角空格",""),IF(AND(F76="小型潜水电泵",G76&lt;&gt;"",COUNTIF(EV_SUB_FORM_SMALL,G76)=0),"设备形式与小型潜水电泵类别不匹配",""),IF(AND(F76="大中型潜水电泵",G76&lt;&gt;"",COUNTIF(EV_SUB_FORM_LARGE,G76)=0),"设备形式与大中型潜水电泵类别不匹配",""),IF(AND(F76="污水污物潜水电泵",G76&lt;&gt;"",COUNTIF(EV_SUB_FORM_WASTE,G76)=0),"设备形式与污水污物潜水电泵类别不匹配",""),IF(AND(F76="井用潜水电泵",G76&lt;&gt;"",COUNTIF(EV_SUB_FORM_WELL,G76)=0),"设备形式与井用潜水电泵类别不匹配",""),IF(AND(F76="混流潜水电泵",G76&lt;&gt;"",COUNTIF(EV_SUB_FORM_MIXED,G76)=0),"设备形式与混流潜水电泵类别不匹配","")),"")</f>
        <v/>
      </c>
    </row>
    <row r="77" ht="42" customHeight="1" s="184">
      <c r="A77" s="224">
        <f>IF(COUNTA(B77,C77,D77,E77,F77,G77,H77,I77,J77,K77,L77,M77,N77,U77,V77)&gt;0,ROW()-3,"")</f>
        <v/>
      </c>
      <c r="B77" s="176" t="n"/>
      <c r="C77" s="176" t="n"/>
      <c r="D77" s="228" t="n"/>
      <c r="E77" s="176" t="n"/>
      <c r="F77" s="218" t="n"/>
      <c r="G77" s="176" t="n"/>
      <c r="H77" s="229" t="n"/>
      <c r="I77" s="229" t="n"/>
      <c r="J77" s="229" t="n"/>
      <c r="K77" s="237" t="n"/>
      <c r="L77" s="229" t="n"/>
      <c r="M77" s="228" t="n"/>
      <c r="N77" s="229" t="n"/>
      <c r="O77" s="236" t="n"/>
      <c r="P77" s="236" t="n"/>
      <c r="Q77" s="227" t="n"/>
      <c r="R77" s="227" t="n"/>
      <c r="S77" s="227" t="n"/>
      <c r="T77" s="81" t="n"/>
      <c r="U77" s="180" t="n"/>
      <c r="V77" s="180" t="n"/>
      <c r="W77" s="99">
        <f>IF(COUNTA(B77,C77,D77,E77,F77,G77,H77,I77,J77,K77,L77,M77,N77,U77,V77)&gt;0,TEXTJOIN("；",TRUE,IF(B77="","缺少设备名称",""),IF(AND(ISTEXT(B77),OR(B77&lt;&gt;TRIM(B77),ISNUMBER(SEARCH("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",C77)))),"型号含首尾空格或全角空格",""),IF(D77="","缺少数量",""),IF(D77="","",IF(NOT(ISNUMBER(D77)),"数量应为数值",IF(OR(D77&lt;=0,MOD(D77,1)&lt;&gt;0),"数量应为正整数",""))),IF(AND(ISTEXT(E77),OR(E77&lt;&gt;TRIM(E77),ISNUMBER(SEARCH("　",E77)))),"安装位置含首尾空格或全角空格",""),IF(F77="","缺少设备类别",""),IF(F77="","",IF(COUNTIF(EV_SUBMERSIBLE_CATEGORY,F77)=0,"设备类别不在标准枚举中","")),IF(AND(ISTEXT(F77),OR(F77&lt;&gt;TRIM(F77),ISNUMBER(SEARCH("　",F77)))),"设备类别含首尾空格或全角空格",""),IF(G77="","缺少设备形式",""),IF(G77="","",IF(COUNTIF(EV_SUB_FORM_ALL,G77)=0,"设备形式不在标准枚举中","")),IF(AND(ISTEXT(G77),OR(G77&lt;&gt;TRIM(G77),ISNUMBER(SEARCH("　",G77)))),"设备形式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工作温度",""),IF(K77="","",IF(NOT(ISNUMBER(K77)),"工作温度应为数值",IF(OR(K77&lt;0,K77&gt;100),"工作温度应为0～100",""))),IF(L77="","缺少额定功率",""),IF(L77="","",IF(NOT(ISNUMBER(L77)),"额定功率应为数值",IF(L77&lt;=0,"额定功率应大于0",""))),IF(M77="","缺少级数",""),IF(M77="","",IF(NOT(ISNUMBER(M77)),"级数应为数值",IF(OR(M77&lt;=0,MOD(M77,1)&lt;&gt;0),"级数应为正整数",""))),IF(N77="","缺少电泵效率",""),IF(N77="","",IF(NOT(ISNUMBER(N77)),"电泵效率应为数值",IF(OR(N77&lt;1,N77&gt;100),"电泵效率应为1～100的百分数本值",""))),IF(U77="","缺少铭牌照片",""),IF(AND(ISTEXT(V77),OR(V77&lt;&gt;TRIM(V77),ISNUMBER(SEARCH("　",V77)))),"填表备注含首尾空格或全角空格",""),IF(AND(F77="小型潜水电泵",G77&lt;&gt;"",COUNTIF(EV_SUB_FORM_SMALL,G77)=0),"设备形式与小型潜水电泵类别不匹配",""),IF(AND(F77="大中型潜水电泵",G77&lt;&gt;"",COUNTIF(EV_SUB_FORM_LARGE,G77)=0),"设备形式与大中型潜水电泵类别不匹配",""),IF(AND(F77="污水污物潜水电泵",G77&lt;&gt;"",COUNTIF(EV_SUB_FORM_WASTE,G77)=0),"设备形式与污水污物潜水电泵类别不匹配",""),IF(AND(F77="井用潜水电泵",G77&lt;&gt;"",COUNTIF(EV_SUB_FORM_WELL,G77)=0),"设备形式与井用潜水电泵类别不匹配",""),IF(AND(F77="混流潜水电泵",G77&lt;&gt;"",COUNTIF(EV_SUB_FORM_MIXED,G77)=0),"设备形式与混流潜水电泵类别不匹配","")),"")</f>
        <v/>
      </c>
    </row>
    <row r="78" ht="42" customHeight="1" s="184">
      <c r="A78" s="224">
        <f>IF(COUNTA(B78,C78,D78,E78,F78,G78,H78,I78,J78,K78,L78,M78,N78,U78,V78)&gt;0,ROW()-3,"")</f>
        <v/>
      </c>
      <c r="B78" s="176" t="n"/>
      <c r="C78" s="176" t="n"/>
      <c r="D78" s="228" t="n"/>
      <c r="E78" s="176" t="n"/>
      <c r="F78" s="218" t="n"/>
      <c r="G78" s="176" t="n"/>
      <c r="H78" s="229" t="n"/>
      <c r="I78" s="229" t="n"/>
      <c r="J78" s="229" t="n"/>
      <c r="K78" s="237" t="n"/>
      <c r="L78" s="229" t="n"/>
      <c r="M78" s="228" t="n"/>
      <c r="N78" s="229" t="n"/>
      <c r="O78" s="236" t="n"/>
      <c r="P78" s="236" t="n"/>
      <c r="Q78" s="227" t="n"/>
      <c r="R78" s="227" t="n"/>
      <c r="S78" s="227" t="n"/>
      <c r="T78" s="81" t="n"/>
      <c r="U78" s="180" t="n"/>
      <c r="V78" s="180" t="n"/>
      <c r="W78" s="99">
        <f>IF(COUNTA(B78,C78,D78,E78,F78,G78,H78,I78,J78,K78,L78,M78,N78,U78,V78)&gt;0,TEXTJOIN("；",TRUE,IF(B78="","缺少设备名称",""),IF(AND(ISTEXT(B78),OR(B78&lt;&gt;TRIM(B78),ISNUMBER(SEARCH("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",C78)))),"型号含首尾空格或全角空格",""),IF(D78="","缺少数量",""),IF(D78="","",IF(NOT(ISNUMBER(D78)),"数量应为数值",IF(OR(D78&lt;=0,MOD(D78,1)&lt;&gt;0),"数量应为正整数",""))),IF(AND(ISTEXT(E78),OR(E78&lt;&gt;TRIM(E78),ISNUMBER(SEARCH("　",E78)))),"安装位置含首尾空格或全角空格",""),IF(F78="","缺少设备类别",""),IF(F78="","",IF(COUNTIF(EV_SUBMERSIBLE_CATEGORY,F78)=0,"设备类别不在标准枚举中","")),IF(AND(ISTEXT(F78),OR(F78&lt;&gt;TRIM(F78),ISNUMBER(SEARCH("　",F78)))),"设备类别含首尾空格或全角空格",""),IF(G78="","缺少设备形式",""),IF(G78="","",IF(COUNTIF(EV_SUB_FORM_ALL,G78)=0,"设备形式不在标准枚举中","")),IF(AND(ISTEXT(G78),OR(G78&lt;&gt;TRIM(G78),ISNUMBER(SEARCH("　",G78)))),"设备形式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工作温度",""),IF(K78="","",IF(NOT(ISNUMBER(K78)),"工作温度应为数值",IF(OR(K78&lt;0,K78&gt;100),"工作温度应为0～100",""))),IF(L78="","缺少额定功率",""),IF(L78="","",IF(NOT(ISNUMBER(L78)),"额定功率应为数值",IF(L78&lt;=0,"额定功率应大于0",""))),IF(M78="","缺少级数",""),IF(M78="","",IF(NOT(ISNUMBER(M78)),"级数应为数值",IF(OR(M78&lt;=0,MOD(M78,1)&lt;&gt;0),"级数应为正整数",""))),IF(N78="","缺少电泵效率",""),IF(N78="","",IF(NOT(ISNUMBER(N78)),"电泵效率应为数值",IF(OR(N78&lt;1,N78&gt;100),"电泵效率应为1～100的百分数本值",""))),IF(U78="","缺少铭牌照片",""),IF(AND(ISTEXT(V78),OR(V78&lt;&gt;TRIM(V78),ISNUMBER(SEARCH("　",V78)))),"填表备注含首尾空格或全角空格",""),IF(AND(F78="小型潜水电泵",G78&lt;&gt;"",COUNTIF(EV_SUB_FORM_SMALL,G78)=0),"设备形式与小型潜水电泵类别不匹配",""),IF(AND(F78="大中型潜水电泵",G78&lt;&gt;"",COUNTIF(EV_SUB_FORM_LARGE,G78)=0),"设备形式与大中型潜水电泵类别不匹配",""),IF(AND(F78="污水污物潜水电泵",G78&lt;&gt;"",COUNTIF(EV_SUB_FORM_WASTE,G78)=0),"设备形式与污水污物潜水电泵类别不匹配",""),IF(AND(F78="井用潜水电泵",G78&lt;&gt;"",COUNTIF(EV_SUB_FORM_WELL,G78)=0),"设备形式与井用潜水电泵类别不匹配",""),IF(AND(F78="混流潜水电泵",G78&lt;&gt;"",COUNTIF(EV_SUB_FORM_MIXED,G78)=0),"设备形式与混流潜水电泵类别不匹配","")),"")</f>
        <v/>
      </c>
    </row>
    <row r="79" ht="42" customHeight="1" s="184">
      <c r="A79" s="224">
        <f>IF(COUNTA(B79,C79,D79,E79,F79,G79,H79,I79,J79,K79,L79,M79,N79,U79,V79)&gt;0,ROW()-3,"")</f>
        <v/>
      </c>
      <c r="B79" s="176" t="n"/>
      <c r="C79" s="176" t="n"/>
      <c r="D79" s="228" t="n"/>
      <c r="E79" s="176" t="n"/>
      <c r="F79" s="218" t="n"/>
      <c r="G79" s="176" t="n"/>
      <c r="H79" s="229" t="n"/>
      <c r="I79" s="229" t="n"/>
      <c r="J79" s="229" t="n"/>
      <c r="K79" s="237" t="n"/>
      <c r="L79" s="229" t="n"/>
      <c r="M79" s="228" t="n"/>
      <c r="N79" s="229" t="n"/>
      <c r="O79" s="236" t="n"/>
      <c r="P79" s="236" t="n"/>
      <c r="Q79" s="227" t="n"/>
      <c r="R79" s="227" t="n"/>
      <c r="S79" s="227" t="n"/>
      <c r="T79" s="81" t="n"/>
      <c r="U79" s="180" t="n"/>
      <c r="V79" s="180" t="n"/>
      <c r="W79" s="99">
        <f>IF(COUNTA(B79,C79,D79,E79,F79,G79,H79,I79,J79,K79,L79,M79,N79,U79,V79)&gt;0,TEXTJOIN("；",TRUE,IF(B79="","缺少设备名称",""),IF(AND(ISTEXT(B79),OR(B79&lt;&gt;TRIM(B79),ISNUMBER(SEARCH("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",C79)))),"型号含首尾空格或全角空格",""),IF(D79="","缺少数量",""),IF(D79="","",IF(NOT(ISNUMBER(D79)),"数量应为数值",IF(OR(D79&lt;=0,MOD(D79,1)&lt;&gt;0),"数量应为正整数",""))),IF(AND(ISTEXT(E79),OR(E79&lt;&gt;TRIM(E79),ISNUMBER(SEARCH("　",E79)))),"安装位置含首尾空格或全角空格",""),IF(F79="","缺少设备类别",""),IF(F79="","",IF(COUNTIF(EV_SUBMERSIBLE_CATEGORY,F79)=0,"设备类别不在标准枚举中","")),IF(AND(ISTEXT(F79),OR(F79&lt;&gt;TRIM(F79),ISNUMBER(SEARCH("　",F79)))),"设备类别含首尾空格或全角空格",""),IF(G79="","缺少设备形式",""),IF(G79="","",IF(COUNTIF(EV_SUB_FORM_ALL,G79)=0,"设备形式不在标准枚举中","")),IF(AND(ISTEXT(G79),OR(G79&lt;&gt;TRIM(G79),ISNUMBER(SEARCH("　",G79)))),"设备形式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工作温度",""),IF(K79="","",IF(NOT(ISNUMBER(K79)),"工作温度应为数值",IF(OR(K79&lt;0,K79&gt;100),"工作温度应为0～100",""))),IF(L79="","缺少额定功率",""),IF(L79="","",IF(NOT(ISNUMBER(L79)),"额定功率应为数值",IF(L79&lt;=0,"额定功率应大于0",""))),IF(M79="","缺少级数",""),IF(M79="","",IF(NOT(ISNUMBER(M79)),"级数应为数值",IF(OR(M79&lt;=0,MOD(M79,1)&lt;&gt;0),"级数应为正整数",""))),IF(N79="","缺少电泵效率",""),IF(N79="","",IF(NOT(ISNUMBER(N79)),"电泵效率应为数值",IF(OR(N79&lt;1,N79&gt;100),"电泵效率应为1～100的百分数本值",""))),IF(U79="","缺少铭牌照片",""),IF(AND(ISTEXT(V79),OR(V79&lt;&gt;TRIM(V79),ISNUMBER(SEARCH("　",V79)))),"填表备注含首尾空格或全角空格",""),IF(AND(F79="小型潜水电泵",G79&lt;&gt;"",COUNTIF(EV_SUB_FORM_SMALL,G79)=0),"设备形式与小型潜水电泵类别不匹配",""),IF(AND(F79="大中型潜水电泵",G79&lt;&gt;"",COUNTIF(EV_SUB_FORM_LARGE,G79)=0),"设备形式与大中型潜水电泵类别不匹配",""),IF(AND(F79="污水污物潜水电泵",G79&lt;&gt;"",COUNTIF(EV_SUB_FORM_WASTE,G79)=0),"设备形式与污水污物潜水电泵类别不匹配",""),IF(AND(F79="井用潜水电泵",G79&lt;&gt;"",COUNTIF(EV_SUB_FORM_WELL,G79)=0),"设备形式与井用潜水电泵类别不匹配",""),IF(AND(F79="混流潜水电泵",G79&lt;&gt;"",COUNTIF(EV_SUB_FORM_MIXED,G79)=0),"设备形式与混流潜水电泵类别不匹配","")),"")</f>
        <v/>
      </c>
    </row>
    <row r="80" ht="42" customHeight="1" s="184">
      <c r="A80" s="224">
        <f>IF(COUNTA(B80,C80,D80,E80,F80,G80,H80,I80,J80,K80,L80,M80,N80,U80,V80)&gt;0,ROW()-3,"")</f>
        <v/>
      </c>
      <c r="B80" s="176" t="n"/>
      <c r="C80" s="176" t="n"/>
      <c r="D80" s="228" t="n"/>
      <c r="E80" s="176" t="n"/>
      <c r="F80" s="218" t="n"/>
      <c r="G80" s="176" t="n"/>
      <c r="H80" s="229" t="n"/>
      <c r="I80" s="229" t="n"/>
      <c r="J80" s="229" t="n"/>
      <c r="K80" s="237" t="n"/>
      <c r="L80" s="229" t="n"/>
      <c r="M80" s="228" t="n"/>
      <c r="N80" s="229" t="n"/>
      <c r="O80" s="236" t="n"/>
      <c r="P80" s="236" t="n"/>
      <c r="Q80" s="227" t="n"/>
      <c r="R80" s="227" t="n"/>
      <c r="S80" s="227" t="n"/>
      <c r="T80" s="81" t="n"/>
      <c r="U80" s="180" t="n"/>
      <c r="V80" s="180" t="n"/>
      <c r="W80" s="99">
        <f>IF(COUNTA(B80,C80,D80,E80,F80,G80,H80,I80,J80,K80,L80,M80,N80,U80,V80)&gt;0,TEXTJOIN("；",TRUE,IF(B80="","缺少设备名称",""),IF(AND(ISTEXT(B80),OR(B80&lt;&gt;TRIM(B80),ISNUMBER(SEARCH("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",C80)))),"型号含首尾空格或全角空格",""),IF(D80="","缺少数量",""),IF(D80="","",IF(NOT(ISNUMBER(D80)),"数量应为数值",IF(OR(D80&lt;=0,MOD(D80,1)&lt;&gt;0),"数量应为正整数",""))),IF(AND(ISTEXT(E80),OR(E80&lt;&gt;TRIM(E80),ISNUMBER(SEARCH("　",E80)))),"安装位置含首尾空格或全角空格",""),IF(F80="","缺少设备类别",""),IF(F80="","",IF(COUNTIF(EV_SUBMERSIBLE_CATEGORY,F80)=0,"设备类别不在标准枚举中","")),IF(AND(ISTEXT(F80),OR(F80&lt;&gt;TRIM(F80),ISNUMBER(SEARCH("　",F80)))),"设备类别含首尾空格或全角空格",""),IF(G80="","缺少设备形式",""),IF(G80="","",IF(COUNTIF(EV_SUB_FORM_ALL,G80)=0,"设备形式不在标准枚举中","")),IF(AND(ISTEXT(G80),OR(G80&lt;&gt;TRIM(G80),ISNUMBER(SEARCH("　",G80)))),"设备形式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工作温度",""),IF(K80="","",IF(NOT(ISNUMBER(K80)),"工作温度应为数值",IF(OR(K80&lt;0,K80&gt;100),"工作温度应为0～100",""))),IF(L80="","缺少额定功率",""),IF(L80="","",IF(NOT(ISNUMBER(L80)),"额定功率应为数值",IF(L80&lt;=0,"额定功率应大于0",""))),IF(M80="","缺少级数",""),IF(M80="","",IF(NOT(ISNUMBER(M80)),"级数应为数值",IF(OR(M80&lt;=0,MOD(M80,1)&lt;&gt;0),"级数应为正整数",""))),IF(N80="","缺少电泵效率",""),IF(N80="","",IF(NOT(ISNUMBER(N80)),"电泵效率应为数值",IF(OR(N80&lt;1,N80&gt;100),"电泵效率应为1～100的百分数本值",""))),IF(U80="","缺少铭牌照片",""),IF(AND(ISTEXT(V80),OR(V80&lt;&gt;TRIM(V80),ISNUMBER(SEARCH("　",V80)))),"填表备注含首尾空格或全角空格",""),IF(AND(F80="小型潜水电泵",G80&lt;&gt;"",COUNTIF(EV_SUB_FORM_SMALL,G80)=0),"设备形式与小型潜水电泵类别不匹配",""),IF(AND(F80="大中型潜水电泵",G80&lt;&gt;"",COUNTIF(EV_SUB_FORM_LARGE,G80)=0),"设备形式与大中型潜水电泵类别不匹配",""),IF(AND(F80="污水污物潜水电泵",G80&lt;&gt;"",COUNTIF(EV_SUB_FORM_WASTE,G80)=0),"设备形式与污水污物潜水电泵类别不匹配",""),IF(AND(F80="井用潜水电泵",G80&lt;&gt;"",COUNTIF(EV_SUB_FORM_WELL,G80)=0),"设备形式与井用潜水电泵类别不匹配",""),IF(AND(F80="混流潜水电泵",G80&lt;&gt;"",COUNTIF(EV_SUB_FORM_MIXED,G80)=0),"设备形式与混流潜水电泵类别不匹配","")),"")</f>
        <v/>
      </c>
    </row>
    <row r="81" ht="42" customHeight="1" s="184">
      <c r="A81" s="224">
        <f>IF(COUNTA(B81,C81,D81,E81,F81,G81,H81,I81,J81,K81,L81,M81,N81,U81,V81)&gt;0,ROW()-3,"")</f>
        <v/>
      </c>
      <c r="B81" s="176" t="n"/>
      <c r="C81" s="176" t="n"/>
      <c r="D81" s="228" t="n"/>
      <c r="E81" s="176" t="n"/>
      <c r="F81" s="218" t="n"/>
      <c r="G81" s="176" t="n"/>
      <c r="H81" s="229" t="n"/>
      <c r="I81" s="229" t="n"/>
      <c r="J81" s="229" t="n"/>
      <c r="K81" s="237" t="n"/>
      <c r="L81" s="229" t="n"/>
      <c r="M81" s="228" t="n"/>
      <c r="N81" s="229" t="n"/>
      <c r="O81" s="236" t="n"/>
      <c r="P81" s="236" t="n"/>
      <c r="Q81" s="227" t="n"/>
      <c r="R81" s="227" t="n"/>
      <c r="S81" s="227" t="n"/>
      <c r="T81" s="81" t="n"/>
      <c r="U81" s="180" t="n"/>
      <c r="V81" s="180" t="n"/>
      <c r="W81" s="99">
        <f>IF(COUNTA(B81,C81,D81,E81,F81,G81,H81,I81,J81,K81,L81,M81,N81,U81,V81)&gt;0,TEXTJOIN("；",TRUE,IF(B81="","缺少设备名称",""),IF(AND(ISTEXT(B81),OR(B81&lt;&gt;TRIM(B81),ISNUMBER(SEARCH("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",C81)))),"型号含首尾空格或全角空格",""),IF(D81="","缺少数量",""),IF(D81="","",IF(NOT(ISNUMBER(D81)),"数量应为数值",IF(OR(D81&lt;=0,MOD(D81,1)&lt;&gt;0),"数量应为正整数",""))),IF(AND(ISTEXT(E81),OR(E81&lt;&gt;TRIM(E81),ISNUMBER(SEARCH("　",E81)))),"安装位置含首尾空格或全角空格",""),IF(F81="","缺少设备类别",""),IF(F81="","",IF(COUNTIF(EV_SUBMERSIBLE_CATEGORY,F81)=0,"设备类别不在标准枚举中","")),IF(AND(ISTEXT(F81),OR(F81&lt;&gt;TRIM(F81),ISNUMBER(SEARCH("　",F81)))),"设备类别含首尾空格或全角空格",""),IF(G81="","缺少设备形式",""),IF(G81="","",IF(COUNTIF(EV_SUB_FORM_ALL,G81)=0,"设备形式不在标准枚举中","")),IF(AND(ISTEXT(G81),OR(G81&lt;&gt;TRIM(G81),ISNUMBER(SEARCH("　",G81)))),"设备形式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工作温度",""),IF(K81="","",IF(NOT(ISNUMBER(K81)),"工作温度应为数值",IF(OR(K81&lt;0,K81&gt;100),"工作温度应为0～100",""))),IF(L81="","缺少额定功率",""),IF(L81="","",IF(NOT(ISNUMBER(L81)),"额定功率应为数值",IF(L81&lt;=0,"额定功率应大于0",""))),IF(M81="","缺少级数",""),IF(M81="","",IF(NOT(ISNUMBER(M81)),"级数应为数值",IF(OR(M81&lt;=0,MOD(M81,1)&lt;&gt;0),"级数应为正整数",""))),IF(N81="","缺少电泵效率",""),IF(N81="","",IF(NOT(ISNUMBER(N81)),"电泵效率应为数值",IF(OR(N81&lt;1,N81&gt;100),"电泵效率应为1～100的百分数本值",""))),IF(U81="","缺少铭牌照片",""),IF(AND(ISTEXT(V81),OR(V81&lt;&gt;TRIM(V81),ISNUMBER(SEARCH("　",V81)))),"填表备注含首尾空格或全角空格",""),IF(AND(F81="小型潜水电泵",G81&lt;&gt;"",COUNTIF(EV_SUB_FORM_SMALL,G81)=0),"设备形式与小型潜水电泵类别不匹配",""),IF(AND(F81="大中型潜水电泵",G81&lt;&gt;"",COUNTIF(EV_SUB_FORM_LARGE,G81)=0),"设备形式与大中型潜水电泵类别不匹配",""),IF(AND(F81="污水污物潜水电泵",G81&lt;&gt;"",COUNTIF(EV_SUB_FORM_WASTE,G81)=0),"设备形式与污水污物潜水电泵类别不匹配",""),IF(AND(F81="井用潜水电泵",G81&lt;&gt;"",COUNTIF(EV_SUB_FORM_WELL,G81)=0),"设备形式与井用潜水电泵类别不匹配",""),IF(AND(F81="混流潜水电泵",G81&lt;&gt;"",COUNTIF(EV_SUB_FORM_MIXED,G81)=0),"设备形式与混流潜水电泵类别不匹配","")),"")</f>
        <v/>
      </c>
    </row>
    <row r="82" ht="42" customHeight="1" s="184">
      <c r="A82" s="224">
        <f>IF(COUNTA(B82,C82,D82,E82,F82,G82,H82,I82,J82,K82,L82,M82,N82,U82,V82)&gt;0,ROW()-3,"")</f>
        <v/>
      </c>
      <c r="B82" s="176" t="n"/>
      <c r="C82" s="176" t="n"/>
      <c r="D82" s="228" t="n"/>
      <c r="E82" s="176" t="n"/>
      <c r="F82" s="218" t="n"/>
      <c r="G82" s="176" t="n"/>
      <c r="H82" s="229" t="n"/>
      <c r="I82" s="229" t="n"/>
      <c r="J82" s="229" t="n"/>
      <c r="K82" s="237" t="n"/>
      <c r="L82" s="229" t="n"/>
      <c r="M82" s="228" t="n"/>
      <c r="N82" s="229" t="n"/>
      <c r="O82" s="236" t="n"/>
      <c r="P82" s="236" t="n"/>
      <c r="Q82" s="227" t="n"/>
      <c r="R82" s="227" t="n"/>
      <c r="S82" s="227" t="n"/>
      <c r="T82" s="81" t="n"/>
      <c r="U82" s="180" t="n"/>
      <c r="V82" s="180" t="n"/>
      <c r="W82" s="99">
        <f>IF(COUNTA(B82,C82,D82,E82,F82,G82,H82,I82,J82,K82,L82,M82,N82,U82,V82)&gt;0,TEXTJOIN("；",TRUE,IF(B82="","缺少设备名称",""),IF(AND(ISTEXT(B82),OR(B82&lt;&gt;TRIM(B82),ISNUMBER(SEARCH("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",C82)))),"型号含首尾空格或全角空格",""),IF(D82="","缺少数量",""),IF(D82="","",IF(NOT(ISNUMBER(D82)),"数量应为数值",IF(OR(D82&lt;=0,MOD(D82,1)&lt;&gt;0),"数量应为正整数",""))),IF(AND(ISTEXT(E82),OR(E82&lt;&gt;TRIM(E82),ISNUMBER(SEARCH("　",E82)))),"安装位置含首尾空格或全角空格",""),IF(F82="","缺少设备类别",""),IF(F82="","",IF(COUNTIF(EV_SUBMERSIBLE_CATEGORY,F82)=0,"设备类别不在标准枚举中","")),IF(AND(ISTEXT(F82),OR(F82&lt;&gt;TRIM(F82),ISNUMBER(SEARCH("　",F82)))),"设备类别含首尾空格或全角空格",""),IF(G82="","缺少设备形式",""),IF(G82="","",IF(COUNTIF(EV_SUB_FORM_ALL,G82)=0,"设备形式不在标准枚举中","")),IF(AND(ISTEXT(G82),OR(G82&lt;&gt;TRIM(G82),ISNUMBER(SEARCH("　",G82)))),"设备形式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工作温度",""),IF(K82="","",IF(NOT(ISNUMBER(K82)),"工作温度应为数值",IF(OR(K82&lt;0,K82&gt;100),"工作温度应为0～100",""))),IF(L82="","缺少额定功率",""),IF(L82="","",IF(NOT(ISNUMBER(L82)),"额定功率应为数值",IF(L82&lt;=0,"额定功率应大于0",""))),IF(M82="","缺少级数",""),IF(M82="","",IF(NOT(ISNUMBER(M82)),"级数应为数值",IF(OR(M82&lt;=0,MOD(M82,1)&lt;&gt;0),"级数应为正整数",""))),IF(N82="","缺少电泵效率",""),IF(N82="","",IF(NOT(ISNUMBER(N82)),"电泵效率应为数值",IF(OR(N82&lt;1,N82&gt;100),"电泵效率应为1～100的百分数本值",""))),IF(U82="","缺少铭牌照片",""),IF(AND(ISTEXT(V82),OR(V82&lt;&gt;TRIM(V82),ISNUMBER(SEARCH("　",V82)))),"填表备注含首尾空格或全角空格",""),IF(AND(F82="小型潜水电泵",G82&lt;&gt;"",COUNTIF(EV_SUB_FORM_SMALL,G82)=0),"设备形式与小型潜水电泵类别不匹配",""),IF(AND(F82="大中型潜水电泵",G82&lt;&gt;"",COUNTIF(EV_SUB_FORM_LARGE,G82)=0),"设备形式与大中型潜水电泵类别不匹配",""),IF(AND(F82="污水污物潜水电泵",G82&lt;&gt;"",COUNTIF(EV_SUB_FORM_WASTE,G82)=0),"设备形式与污水污物潜水电泵类别不匹配",""),IF(AND(F82="井用潜水电泵",G82&lt;&gt;"",COUNTIF(EV_SUB_FORM_WELL,G82)=0),"设备形式与井用潜水电泵类别不匹配",""),IF(AND(F82="混流潜水电泵",G82&lt;&gt;"",COUNTIF(EV_SUB_FORM_MIXED,G82)=0),"设备形式与混流潜水电泵类别不匹配","")),"")</f>
        <v/>
      </c>
    </row>
    <row r="83" ht="42" customHeight="1" s="184">
      <c r="A83" s="224">
        <f>IF(COUNTA(B83,C83,D83,E83,F83,G83,H83,I83,J83,K83,L83,M83,N83,U83,V83)&gt;0,ROW()-3,"")</f>
        <v/>
      </c>
      <c r="B83" s="176" t="n"/>
      <c r="C83" s="176" t="n"/>
      <c r="D83" s="228" t="n"/>
      <c r="E83" s="176" t="n"/>
      <c r="F83" s="218" t="n"/>
      <c r="G83" s="176" t="n"/>
      <c r="H83" s="229" t="n"/>
      <c r="I83" s="229" t="n"/>
      <c r="J83" s="229" t="n"/>
      <c r="K83" s="237" t="n"/>
      <c r="L83" s="229" t="n"/>
      <c r="M83" s="228" t="n"/>
      <c r="N83" s="229" t="n"/>
      <c r="O83" s="236" t="n"/>
      <c r="P83" s="236" t="n"/>
      <c r="Q83" s="227" t="n"/>
      <c r="R83" s="227" t="n"/>
      <c r="S83" s="227" t="n"/>
      <c r="T83" s="81" t="n"/>
      <c r="U83" s="180" t="n"/>
      <c r="V83" s="180" t="n"/>
      <c r="W83" s="99">
        <f>IF(COUNTA(B83,C83,D83,E83,F83,G83,H83,I83,J83,K83,L83,M83,N83,U83,V83)&gt;0,TEXTJOIN("；",TRUE,IF(B83="","缺少设备名称",""),IF(AND(ISTEXT(B83),OR(B83&lt;&gt;TRIM(B83),ISNUMBER(SEARCH("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",C83)))),"型号含首尾空格或全角空格",""),IF(D83="","缺少数量",""),IF(D83="","",IF(NOT(ISNUMBER(D83)),"数量应为数值",IF(OR(D83&lt;=0,MOD(D83,1)&lt;&gt;0),"数量应为正整数",""))),IF(AND(ISTEXT(E83),OR(E83&lt;&gt;TRIM(E83),ISNUMBER(SEARCH("　",E83)))),"安装位置含首尾空格或全角空格",""),IF(F83="","缺少设备类别",""),IF(F83="","",IF(COUNTIF(EV_SUBMERSIBLE_CATEGORY,F83)=0,"设备类别不在标准枚举中","")),IF(AND(ISTEXT(F83),OR(F83&lt;&gt;TRIM(F83),ISNUMBER(SEARCH("　",F83)))),"设备类别含首尾空格或全角空格",""),IF(G83="","缺少设备形式",""),IF(G83="","",IF(COUNTIF(EV_SUB_FORM_ALL,G83)=0,"设备形式不在标准枚举中","")),IF(AND(ISTEXT(G83),OR(G83&lt;&gt;TRIM(G83),ISNUMBER(SEARCH("　",G83)))),"设备形式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工作温度",""),IF(K83="","",IF(NOT(ISNUMBER(K83)),"工作温度应为数值",IF(OR(K83&lt;0,K83&gt;100),"工作温度应为0～100",""))),IF(L83="","缺少额定功率",""),IF(L83="","",IF(NOT(ISNUMBER(L83)),"额定功率应为数值",IF(L83&lt;=0,"额定功率应大于0",""))),IF(M83="","缺少级数",""),IF(M83="","",IF(NOT(ISNUMBER(M83)),"级数应为数值",IF(OR(M83&lt;=0,MOD(M83,1)&lt;&gt;0),"级数应为正整数",""))),IF(N83="","缺少电泵效率",""),IF(N83="","",IF(NOT(ISNUMBER(N83)),"电泵效率应为数值",IF(OR(N83&lt;1,N83&gt;100),"电泵效率应为1～100的百分数本值",""))),IF(U83="","缺少铭牌照片",""),IF(AND(ISTEXT(V83),OR(V83&lt;&gt;TRIM(V83),ISNUMBER(SEARCH("　",V83)))),"填表备注含首尾空格或全角空格",""),IF(AND(F83="小型潜水电泵",G83&lt;&gt;"",COUNTIF(EV_SUB_FORM_SMALL,G83)=0),"设备形式与小型潜水电泵类别不匹配",""),IF(AND(F83="大中型潜水电泵",G83&lt;&gt;"",COUNTIF(EV_SUB_FORM_LARGE,G83)=0),"设备形式与大中型潜水电泵类别不匹配",""),IF(AND(F83="污水污物潜水电泵",G83&lt;&gt;"",COUNTIF(EV_SUB_FORM_WASTE,G83)=0),"设备形式与污水污物潜水电泵类别不匹配",""),IF(AND(F83="井用潜水电泵",G83&lt;&gt;"",COUNTIF(EV_SUB_FORM_WELL,G83)=0),"设备形式与井用潜水电泵类别不匹配",""),IF(AND(F83="混流潜水电泵",G83&lt;&gt;"",COUNTIF(EV_SUB_FORM_MIXED,G83)=0),"设备形式与混流潜水电泵类别不匹配","")),"")</f>
        <v/>
      </c>
    </row>
    <row r="84" ht="42" customHeight="1" s="184">
      <c r="A84" s="224">
        <f>IF(COUNTA(B84,C84,D84,E84,F84,G84,H84,I84,J84,K84,L84,M84,N84,U84,V84)&gt;0,ROW()-3,"")</f>
        <v/>
      </c>
      <c r="B84" s="176" t="n"/>
      <c r="C84" s="176" t="n"/>
      <c r="D84" s="228" t="n"/>
      <c r="E84" s="176" t="n"/>
      <c r="F84" s="218" t="n"/>
      <c r="G84" s="176" t="n"/>
      <c r="H84" s="229" t="n"/>
      <c r="I84" s="229" t="n"/>
      <c r="J84" s="229" t="n"/>
      <c r="K84" s="237" t="n"/>
      <c r="L84" s="229" t="n"/>
      <c r="M84" s="228" t="n"/>
      <c r="N84" s="229" t="n"/>
      <c r="O84" s="236" t="n"/>
      <c r="P84" s="236" t="n"/>
      <c r="Q84" s="227" t="n"/>
      <c r="R84" s="227" t="n"/>
      <c r="S84" s="227" t="n"/>
      <c r="T84" s="81" t="n"/>
      <c r="U84" s="180" t="n"/>
      <c r="V84" s="180" t="n"/>
      <c r="W84" s="99">
        <f>IF(COUNTA(B84,C84,D84,E84,F84,G84,H84,I84,J84,K84,L84,M84,N84,U84,V84)&gt;0,TEXTJOIN("；",TRUE,IF(B84="","缺少设备名称",""),IF(AND(ISTEXT(B84),OR(B84&lt;&gt;TRIM(B84),ISNUMBER(SEARCH("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",C84)))),"型号含首尾空格或全角空格",""),IF(D84="","缺少数量",""),IF(D84="","",IF(NOT(ISNUMBER(D84)),"数量应为数值",IF(OR(D84&lt;=0,MOD(D84,1)&lt;&gt;0),"数量应为正整数",""))),IF(AND(ISTEXT(E84),OR(E84&lt;&gt;TRIM(E84),ISNUMBER(SEARCH("　",E84)))),"安装位置含首尾空格或全角空格",""),IF(F84="","缺少设备类别",""),IF(F84="","",IF(COUNTIF(EV_SUBMERSIBLE_CATEGORY,F84)=0,"设备类别不在标准枚举中","")),IF(AND(ISTEXT(F84),OR(F84&lt;&gt;TRIM(F84),ISNUMBER(SEARCH("　",F84)))),"设备类别含首尾空格或全角空格",""),IF(G84="","缺少设备形式",""),IF(G84="","",IF(COUNTIF(EV_SUB_FORM_ALL,G84)=0,"设备形式不在标准枚举中","")),IF(AND(ISTEXT(G84),OR(G84&lt;&gt;TRIM(G84),ISNUMBER(SEARCH("　",G84)))),"设备形式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工作温度",""),IF(K84="","",IF(NOT(ISNUMBER(K84)),"工作温度应为数值",IF(OR(K84&lt;0,K84&gt;100),"工作温度应为0～100",""))),IF(L84="","缺少额定功率",""),IF(L84="","",IF(NOT(ISNUMBER(L84)),"额定功率应为数值",IF(L84&lt;=0,"额定功率应大于0",""))),IF(M84="","缺少级数",""),IF(M84="","",IF(NOT(ISNUMBER(M84)),"级数应为数值",IF(OR(M84&lt;=0,MOD(M84,1)&lt;&gt;0),"级数应为正整数",""))),IF(N84="","缺少电泵效率",""),IF(N84="","",IF(NOT(ISNUMBER(N84)),"电泵效率应为数值",IF(OR(N84&lt;1,N84&gt;100),"电泵效率应为1～100的百分数本值",""))),IF(U84="","缺少铭牌照片",""),IF(AND(ISTEXT(V84),OR(V84&lt;&gt;TRIM(V84),ISNUMBER(SEARCH("　",V84)))),"填表备注含首尾空格或全角空格",""),IF(AND(F84="小型潜水电泵",G84&lt;&gt;"",COUNTIF(EV_SUB_FORM_SMALL,G84)=0),"设备形式与小型潜水电泵类别不匹配",""),IF(AND(F84="大中型潜水电泵",G84&lt;&gt;"",COUNTIF(EV_SUB_FORM_LARGE,G84)=0),"设备形式与大中型潜水电泵类别不匹配",""),IF(AND(F84="污水污物潜水电泵",G84&lt;&gt;"",COUNTIF(EV_SUB_FORM_WASTE,G84)=0),"设备形式与污水污物潜水电泵类别不匹配",""),IF(AND(F84="井用潜水电泵",G84&lt;&gt;"",COUNTIF(EV_SUB_FORM_WELL,G84)=0),"设备形式与井用潜水电泵类别不匹配",""),IF(AND(F84="混流潜水电泵",G84&lt;&gt;"",COUNTIF(EV_SUB_FORM_MIXED,G84)=0),"设备形式与混流潜水电泵类别不匹配","")),"")</f>
        <v/>
      </c>
    </row>
    <row r="85" ht="42" customHeight="1" s="184">
      <c r="A85" s="224">
        <f>IF(COUNTA(B85,C85,D85,E85,F85,G85,H85,I85,J85,K85,L85,M85,N85,U85,V85)&gt;0,ROW()-3,"")</f>
        <v/>
      </c>
      <c r="B85" s="176" t="n"/>
      <c r="C85" s="176" t="n"/>
      <c r="D85" s="228" t="n"/>
      <c r="E85" s="176" t="n"/>
      <c r="F85" s="218" t="n"/>
      <c r="G85" s="176" t="n"/>
      <c r="H85" s="229" t="n"/>
      <c r="I85" s="229" t="n"/>
      <c r="J85" s="229" t="n"/>
      <c r="K85" s="237" t="n"/>
      <c r="L85" s="229" t="n"/>
      <c r="M85" s="228" t="n"/>
      <c r="N85" s="229" t="n"/>
      <c r="O85" s="236" t="n"/>
      <c r="P85" s="236" t="n"/>
      <c r="Q85" s="227" t="n"/>
      <c r="R85" s="227" t="n"/>
      <c r="S85" s="227" t="n"/>
      <c r="T85" s="81" t="n"/>
      <c r="U85" s="180" t="n"/>
      <c r="V85" s="180" t="n"/>
      <c r="W85" s="99">
        <f>IF(COUNTA(B85,C85,D85,E85,F85,G85,H85,I85,J85,K85,L85,M85,N85,U85,V85)&gt;0,TEXTJOIN("；",TRUE,IF(B85="","缺少设备名称",""),IF(AND(ISTEXT(B85),OR(B85&lt;&gt;TRIM(B85),ISNUMBER(SEARCH("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",C85)))),"型号含首尾空格或全角空格",""),IF(D85="","缺少数量",""),IF(D85="","",IF(NOT(ISNUMBER(D85)),"数量应为数值",IF(OR(D85&lt;=0,MOD(D85,1)&lt;&gt;0),"数量应为正整数",""))),IF(AND(ISTEXT(E85),OR(E85&lt;&gt;TRIM(E85),ISNUMBER(SEARCH("　",E85)))),"安装位置含首尾空格或全角空格",""),IF(F85="","缺少设备类别",""),IF(F85="","",IF(COUNTIF(EV_SUBMERSIBLE_CATEGORY,F85)=0,"设备类别不在标准枚举中","")),IF(AND(ISTEXT(F85),OR(F85&lt;&gt;TRIM(F85),ISNUMBER(SEARCH("　",F85)))),"设备类别含首尾空格或全角空格",""),IF(G85="","缺少设备形式",""),IF(G85="","",IF(COUNTIF(EV_SUB_FORM_ALL,G85)=0,"设备形式不在标准枚举中","")),IF(AND(ISTEXT(G85),OR(G85&lt;&gt;TRIM(G85),ISNUMBER(SEARCH("　",G85)))),"设备形式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工作温度",""),IF(K85="","",IF(NOT(ISNUMBER(K85)),"工作温度应为数值",IF(OR(K85&lt;0,K85&gt;100),"工作温度应为0～100",""))),IF(L85="","缺少额定功率",""),IF(L85="","",IF(NOT(ISNUMBER(L85)),"额定功率应为数值",IF(L85&lt;=0,"额定功率应大于0",""))),IF(M85="","缺少级数",""),IF(M85="","",IF(NOT(ISNUMBER(M85)),"级数应为数值",IF(OR(M85&lt;=0,MOD(M85,1)&lt;&gt;0),"级数应为正整数",""))),IF(N85="","缺少电泵效率",""),IF(N85="","",IF(NOT(ISNUMBER(N85)),"电泵效率应为数值",IF(OR(N85&lt;1,N85&gt;100),"电泵效率应为1～100的百分数本值",""))),IF(U85="","缺少铭牌照片",""),IF(AND(ISTEXT(V85),OR(V85&lt;&gt;TRIM(V85),ISNUMBER(SEARCH("　",V85)))),"填表备注含首尾空格或全角空格",""),IF(AND(F85="小型潜水电泵",G85&lt;&gt;"",COUNTIF(EV_SUB_FORM_SMALL,G85)=0),"设备形式与小型潜水电泵类别不匹配",""),IF(AND(F85="大中型潜水电泵",G85&lt;&gt;"",COUNTIF(EV_SUB_FORM_LARGE,G85)=0),"设备形式与大中型潜水电泵类别不匹配",""),IF(AND(F85="污水污物潜水电泵",G85&lt;&gt;"",COUNTIF(EV_SUB_FORM_WASTE,G85)=0),"设备形式与污水污物潜水电泵类别不匹配",""),IF(AND(F85="井用潜水电泵",G85&lt;&gt;"",COUNTIF(EV_SUB_FORM_WELL,G85)=0),"设备形式与井用潜水电泵类别不匹配",""),IF(AND(F85="混流潜水电泵",G85&lt;&gt;"",COUNTIF(EV_SUB_FORM_MIXED,G85)=0),"设备形式与混流潜水电泵类别不匹配","")),"")</f>
        <v/>
      </c>
    </row>
    <row r="86" ht="42" customHeight="1" s="184">
      <c r="A86" s="224">
        <f>IF(COUNTA(B86,C86,D86,E86,F86,G86,H86,I86,J86,K86,L86,M86,N86,U86,V86)&gt;0,ROW()-3,"")</f>
        <v/>
      </c>
      <c r="B86" s="176" t="n"/>
      <c r="C86" s="176" t="n"/>
      <c r="D86" s="228" t="n"/>
      <c r="E86" s="176" t="n"/>
      <c r="F86" s="218" t="n"/>
      <c r="G86" s="176" t="n"/>
      <c r="H86" s="229" t="n"/>
      <c r="I86" s="229" t="n"/>
      <c r="J86" s="229" t="n"/>
      <c r="K86" s="237" t="n"/>
      <c r="L86" s="229" t="n"/>
      <c r="M86" s="228" t="n"/>
      <c r="N86" s="229" t="n"/>
      <c r="O86" s="236" t="n"/>
      <c r="P86" s="236" t="n"/>
      <c r="Q86" s="227" t="n"/>
      <c r="R86" s="227" t="n"/>
      <c r="S86" s="227" t="n"/>
      <c r="T86" s="81" t="n"/>
      <c r="U86" s="180" t="n"/>
      <c r="V86" s="180" t="n"/>
      <c r="W86" s="99">
        <f>IF(COUNTA(B86,C86,D86,E86,F86,G86,H86,I86,J86,K86,L86,M86,N86,U86,V86)&gt;0,TEXTJOIN("；",TRUE,IF(B86="","缺少设备名称",""),IF(AND(ISTEXT(B86),OR(B86&lt;&gt;TRIM(B86),ISNUMBER(SEARCH("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",C86)))),"型号含首尾空格或全角空格",""),IF(D86="","缺少数量",""),IF(D86="","",IF(NOT(ISNUMBER(D86)),"数量应为数值",IF(OR(D86&lt;=0,MOD(D86,1)&lt;&gt;0),"数量应为正整数",""))),IF(AND(ISTEXT(E86),OR(E86&lt;&gt;TRIM(E86),ISNUMBER(SEARCH("　",E86)))),"安装位置含首尾空格或全角空格",""),IF(F86="","缺少设备类别",""),IF(F86="","",IF(COUNTIF(EV_SUBMERSIBLE_CATEGORY,F86)=0,"设备类别不在标准枚举中","")),IF(AND(ISTEXT(F86),OR(F86&lt;&gt;TRIM(F86),ISNUMBER(SEARCH("　",F86)))),"设备类别含首尾空格或全角空格",""),IF(G86="","缺少设备形式",""),IF(G86="","",IF(COUNTIF(EV_SUB_FORM_ALL,G86)=0,"设备形式不在标准枚举中","")),IF(AND(ISTEXT(G86),OR(G86&lt;&gt;TRIM(G86),ISNUMBER(SEARCH("　",G86)))),"设备形式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工作温度",""),IF(K86="","",IF(NOT(ISNUMBER(K86)),"工作温度应为数值",IF(OR(K86&lt;0,K86&gt;100),"工作温度应为0～100",""))),IF(L86="","缺少额定功率",""),IF(L86="","",IF(NOT(ISNUMBER(L86)),"额定功率应为数值",IF(L86&lt;=0,"额定功率应大于0",""))),IF(M86="","缺少级数",""),IF(M86="","",IF(NOT(ISNUMBER(M86)),"级数应为数值",IF(OR(M86&lt;=0,MOD(M86,1)&lt;&gt;0),"级数应为正整数",""))),IF(N86="","缺少电泵效率",""),IF(N86="","",IF(NOT(ISNUMBER(N86)),"电泵效率应为数值",IF(OR(N86&lt;1,N86&gt;100),"电泵效率应为1～100的百分数本值",""))),IF(U86="","缺少铭牌照片",""),IF(AND(ISTEXT(V86),OR(V86&lt;&gt;TRIM(V86),ISNUMBER(SEARCH("　",V86)))),"填表备注含首尾空格或全角空格",""),IF(AND(F86="小型潜水电泵",G86&lt;&gt;"",COUNTIF(EV_SUB_FORM_SMALL,G86)=0),"设备形式与小型潜水电泵类别不匹配",""),IF(AND(F86="大中型潜水电泵",G86&lt;&gt;"",COUNTIF(EV_SUB_FORM_LARGE,G86)=0),"设备形式与大中型潜水电泵类别不匹配",""),IF(AND(F86="污水污物潜水电泵",G86&lt;&gt;"",COUNTIF(EV_SUB_FORM_WASTE,G86)=0),"设备形式与污水污物潜水电泵类别不匹配",""),IF(AND(F86="井用潜水电泵",G86&lt;&gt;"",COUNTIF(EV_SUB_FORM_WELL,G86)=0),"设备形式与井用潜水电泵类别不匹配",""),IF(AND(F86="混流潜水电泵",G86&lt;&gt;"",COUNTIF(EV_SUB_FORM_MIXED,G86)=0),"设备形式与混流潜水电泵类别不匹配","")),"")</f>
        <v/>
      </c>
    </row>
    <row r="87" ht="42" customHeight="1" s="184">
      <c r="A87" s="224">
        <f>IF(COUNTA(B87,C87,D87,E87,F87,G87,H87,I87,J87,K87,L87,M87,N87,U87,V87)&gt;0,ROW()-3,"")</f>
        <v/>
      </c>
      <c r="B87" s="176" t="n"/>
      <c r="C87" s="176" t="n"/>
      <c r="D87" s="228" t="n"/>
      <c r="E87" s="176" t="n"/>
      <c r="F87" s="218" t="n"/>
      <c r="G87" s="176" t="n"/>
      <c r="H87" s="229" t="n"/>
      <c r="I87" s="229" t="n"/>
      <c r="J87" s="229" t="n"/>
      <c r="K87" s="237" t="n"/>
      <c r="L87" s="229" t="n"/>
      <c r="M87" s="228" t="n"/>
      <c r="N87" s="229" t="n"/>
      <c r="O87" s="236" t="n"/>
      <c r="P87" s="236" t="n"/>
      <c r="Q87" s="227" t="n"/>
      <c r="R87" s="227" t="n"/>
      <c r="S87" s="227" t="n"/>
      <c r="T87" s="81" t="n"/>
      <c r="U87" s="180" t="n"/>
      <c r="V87" s="180" t="n"/>
      <c r="W87" s="99">
        <f>IF(COUNTA(B87,C87,D87,E87,F87,G87,H87,I87,J87,K87,L87,M87,N87,U87,V87)&gt;0,TEXTJOIN("；",TRUE,IF(B87="","缺少设备名称",""),IF(AND(ISTEXT(B87),OR(B87&lt;&gt;TRIM(B87),ISNUMBER(SEARCH("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",C87)))),"型号含首尾空格或全角空格",""),IF(D87="","缺少数量",""),IF(D87="","",IF(NOT(ISNUMBER(D87)),"数量应为数值",IF(OR(D87&lt;=0,MOD(D87,1)&lt;&gt;0),"数量应为正整数",""))),IF(AND(ISTEXT(E87),OR(E87&lt;&gt;TRIM(E87),ISNUMBER(SEARCH("　",E87)))),"安装位置含首尾空格或全角空格",""),IF(F87="","缺少设备类别",""),IF(F87="","",IF(COUNTIF(EV_SUBMERSIBLE_CATEGORY,F87)=0,"设备类别不在标准枚举中","")),IF(AND(ISTEXT(F87),OR(F87&lt;&gt;TRIM(F87),ISNUMBER(SEARCH("　",F87)))),"设备类别含首尾空格或全角空格",""),IF(G87="","缺少设备形式",""),IF(G87="","",IF(COUNTIF(EV_SUB_FORM_ALL,G87)=0,"设备形式不在标准枚举中","")),IF(AND(ISTEXT(G87),OR(G87&lt;&gt;TRIM(G87),ISNUMBER(SEARCH("　",G87)))),"设备形式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工作温度",""),IF(K87="","",IF(NOT(ISNUMBER(K87)),"工作温度应为数值",IF(OR(K87&lt;0,K87&gt;100),"工作温度应为0～100",""))),IF(L87="","缺少额定功率",""),IF(L87="","",IF(NOT(ISNUMBER(L87)),"额定功率应为数值",IF(L87&lt;=0,"额定功率应大于0",""))),IF(M87="","缺少级数",""),IF(M87="","",IF(NOT(ISNUMBER(M87)),"级数应为数值",IF(OR(M87&lt;=0,MOD(M87,1)&lt;&gt;0),"级数应为正整数",""))),IF(N87="","缺少电泵效率",""),IF(N87="","",IF(NOT(ISNUMBER(N87)),"电泵效率应为数值",IF(OR(N87&lt;1,N87&gt;100),"电泵效率应为1～100的百分数本值",""))),IF(U87="","缺少铭牌照片",""),IF(AND(ISTEXT(V87),OR(V87&lt;&gt;TRIM(V87),ISNUMBER(SEARCH("　",V87)))),"填表备注含首尾空格或全角空格",""),IF(AND(F87="小型潜水电泵",G87&lt;&gt;"",COUNTIF(EV_SUB_FORM_SMALL,G87)=0),"设备形式与小型潜水电泵类别不匹配",""),IF(AND(F87="大中型潜水电泵",G87&lt;&gt;"",COUNTIF(EV_SUB_FORM_LARGE,G87)=0),"设备形式与大中型潜水电泵类别不匹配",""),IF(AND(F87="污水污物潜水电泵",G87&lt;&gt;"",COUNTIF(EV_SUB_FORM_WASTE,G87)=0),"设备形式与污水污物潜水电泵类别不匹配",""),IF(AND(F87="井用潜水电泵",G87&lt;&gt;"",COUNTIF(EV_SUB_FORM_WELL,G87)=0),"设备形式与井用潜水电泵类别不匹配",""),IF(AND(F87="混流潜水电泵",G87&lt;&gt;"",COUNTIF(EV_SUB_FORM_MIXED,G87)=0),"设备形式与混流潜水电泵类别不匹配","")),"")</f>
        <v/>
      </c>
    </row>
    <row r="88" ht="42" customHeight="1" s="184">
      <c r="A88" s="224">
        <f>IF(COUNTA(B88,C88,D88,E88,F88,G88,H88,I88,J88,K88,L88,M88,N88,U88,V88)&gt;0,ROW()-3,"")</f>
        <v/>
      </c>
      <c r="B88" s="176" t="n"/>
      <c r="C88" s="176" t="n"/>
      <c r="D88" s="228" t="n"/>
      <c r="E88" s="176" t="n"/>
      <c r="F88" s="218" t="n"/>
      <c r="G88" s="176" t="n"/>
      <c r="H88" s="229" t="n"/>
      <c r="I88" s="229" t="n"/>
      <c r="J88" s="229" t="n"/>
      <c r="K88" s="237" t="n"/>
      <c r="L88" s="229" t="n"/>
      <c r="M88" s="228" t="n"/>
      <c r="N88" s="229" t="n"/>
      <c r="O88" s="236" t="n"/>
      <c r="P88" s="236" t="n"/>
      <c r="Q88" s="227" t="n"/>
      <c r="R88" s="227" t="n"/>
      <c r="S88" s="227" t="n"/>
      <c r="T88" s="81" t="n"/>
      <c r="U88" s="180" t="n"/>
      <c r="V88" s="180" t="n"/>
      <c r="W88" s="99">
        <f>IF(COUNTA(B88,C88,D88,E88,F88,G88,H88,I88,J88,K88,L88,M88,N88,U88,V88)&gt;0,TEXTJOIN("；",TRUE,IF(B88="","缺少设备名称",""),IF(AND(ISTEXT(B88),OR(B88&lt;&gt;TRIM(B88),ISNUMBER(SEARCH("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",C88)))),"型号含首尾空格或全角空格",""),IF(D88="","缺少数量",""),IF(D88="","",IF(NOT(ISNUMBER(D88)),"数量应为数值",IF(OR(D88&lt;=0,MOD(D88,1)&lt;&gt;0),"数量应为正整数",""))),IF(AND(ISTEXT(E88),OR(E88&lt;&gt;TRIM(E88),ISNUMBER(SEARCH("　",E88)))),"安装位置含首尾空格或全角空格",""),IF(F88="","缺少设备类别",""),IF(F88="","",IF(COUNTIF(EV_SUBMERSIBLE_CATEGORY,F88)=0,"设备类别不在标准枚举中","")),IF(AND(ISTEXT(F88),OR(F88&lt;&gt;TRIM(F88),ISNUMBER(SEARCH("　",F88)))),"设备类别含首尾空格或全角空格",""),IF(G88="","缺少设备形式",""),IF(G88="","",IF(COUNTIF(EV_SUB_FORM_ALL,G88)=0,"设备形式不在标准枚举中","")),IF(AND(ISTEXT(G88),OR(G88&lt;&gt;TRIM(G88),ISNUMBER(SEARCH("　",G88)))),"设备形式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工作温度",""),IF(K88="","",IF(NOT(ISNUMBER(K88)),"工作温度应为数值",IF(OR(K88&lt;0,K88&gt;100),"工作温度应为0～100",""))),IF(L88="","缺少额定功率",""),IF(L88="","",IF(NOT(ISNUMBER(L88)),"额定功率应为数值",IF(L88&lt;=0,"额定功率应大于0",""))),IF(M88="","缺少级数",""),IF(M88="","",IF(NOT(ISNUMBER(M88)),"级数应为数值",IF(OR(M88&lt;=0,MOD(M88,1)&lt;&gt;0),"级数应为正整数",""))),IF(N88="","缺少电泵效率",""),IF(N88="","",IF(NOT(ISNUMBER(N88)),"电泵效率应为数值",IF(OR(N88&lt;1,N88&gt;100),"电泵效率应为1～100的百分数本值",""))),IF(U88="","缺少铭牌照片",""),IF(AND(ISTEXT(V88),OR(V88&lt;&gt;TRIM(V88),ISNUMBER(SEARCH("　",V88)))),"填表备注含首尾空格或全角空格",""),IF(AND(F88="小型潜水电泵",G88&lt;&gt;"",COUNTIF(EV_SUB_FORM_SMALL,G88)=0),"设备形式与小型潜水电泵类别不匹配",""),IF(AND(F88="大中型潜水电泵",G88&lt;&gt;"",COUNTIF(EV_SUB_FORM_LARGE,G88)=0),"设备形式与大中型潜水电泵类别不匹配",""),IF(AND(F88="污水污物潜水电泵",G88&lt;&gt;"",COUNTIF(EV_SUB_FORM_WASTE,G88)=0),"设备形式与污水污物潜水电泵类别不匹配",""),IF(AND(F88="井用潜水电泵",G88&lt;&gt;"",COUNTIF(EV_SUB_FORM_WELL,G88)=0),"设备形式与井用潜水电泵类别不匹配",""),IF(AND(F88="混流潜水电泵",G88&lt;&gt;"",COUNTIF(EV_SUB_FORM_MIXED,G88)=0),"设备形式与混流潜水电泵类别不匹配","")),"")</f>
        <v/>
      </c>
    </row>
    <row r="89" ht="42" customHeight="1" s="184">
      <c r="A89" s="224">
        <f>IF(COUNTA(B89,C89,D89,E89,F89,G89,H89,I89,J89,K89,L89,M89,N89,U89,V89)&gt;0,ROW()-3,"")</f>
        <v/>
      </c>
      <c r="B89" s="176" t="n"/>
      <c r="C89" s="176" t="n"/>
      <c r="D89" s="228" t="n"/>
      <c r="E89" s="176" t="n"/>
      <c r="F89" s="218" t="n"/>
      <c r="G89" s="176" t="n"/>
      <c r="H89" s="229" t="n"/>
      <c r="I89" s="229" t="n"/>
      <c r="J89" s="229" t="n"/>
      <c r="K89" s="237" t="n"/>
      <c r="L89" s="229" t="n"/>
      <c r="M89" s="228" t="n"/>
      <c r="N89" s="229" t="n"/>
      <c r="O89" s="236" t="n"/>
      <c r="P89" s="236" t="n"/>
      <c r="Q89" s="227" t="n"/>
      <c r="R89" s="227" t="n"/>
      <c r="S89" s="227" t="n"/>
      <c r="T89" s="81" t="n"/>
      <c r="U89" s="180" t="n"/>
      <c r="V89" s="180" t="n"/>
      <c r="W89" s="99">
        <f>IF(COUNTA(B89,C89,D89,E89,F89,G89,H89,I89,J89,K89,L89,M89,N89,U89,V89)&gt;0,TEXTJOIN("；",TRUE,IF(B89="","缺少设备名称",""),IF(AND(ISTEXT(B89),OR(B89&lt;&gt;TRIM(B89),ISNUMBER(SEARCH("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",C89)))),"型号含首尾空格或全角空格",""),IF(D89="","缺少数量",""),IF(D89="","",IF(NOT(ISNUMBER(D89)),"数量应为数值",IF(OR(D89&lt;=0,MOD(D89,1)&lt;&gt;0),"数量应为正整数",""))),IF(AND(ISTEXT(E89),OR(E89&lt;&gt;TRIM(E89),ISNUMBER(SEARCH("　",E89)))),"安装位置含首尾空格或全角空格",""),IF(F89="","缺少设备类别",""),IF(F89="","",IF(COUNTIF(EV_SUBMERSIBLE_CATEGORY,F89)=0,"设备类别不在标准枚举中","")),IF(AND(ISTEXT(F89),OR(F89&lt;&gt;TRIM(F89),ISNUMBER(SEARCH("　",F89)))),"设备类别含首尾空格或全角空格",""),IF(G89="","缺少设备形式",""),IF(G89="","",IF(COUNTIF(EV_SUB_FORM_ALL,G89)=0,"设备形式不在标准枚举中","")),IF(AND(ISTEXT(G89),OR(G89&lt;&gt;TRIM(G89),ISNUMBER(SEARCH("　",G89)))),"设备形式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工作温度",""),IF(K89="","",IF(NOT(ISNUMBER(K89)),"工作温度应为数值",IF(OR(K89&lt;0,K89&gt;100),"工作温度应为0～100",""))),IF(L89="","缺少额定功率",""),IF(L89="","",IF(NOT(ISNUMBER(L89)),"额定功率应为数值",IF(L89&lt;=0,"额定功率应大于0",""))),IF(M89="","缺少级数",""),IF(M89="","",IF(NOT(ISNUMBER(M89)),"级数应为数值",IF(OR(M89&lt;=0,MOD(M89,1)&lt;&gt;0),"级数应为正整数",""))),IF(N89="","缺少电泵效率",""),IF(N89="","",IF(NOT(ISNUMBER(N89)),"电泵效率应为数值",IF(OR(N89&lt;1,N89&gt;100),"电泵效率应为1～100的百分数本值",""))),IF(U89="","缺少铭牌照片",""),IF(AND(ISTEXT(V89),OR(V89&lt;&gt;TRIM(V89),ISNUMBER(SEARCH("　",V89)))),"填表备注含首尾空格或全角空格",""),IF(AND(F89="小型潜水电泵",G89&lt;&gt;"",COUNTIF(EV_SUB_FORM_SMALL,G89)=0),"设备形式与小型潜水电泵类别不匹配",""),IF(AND(F89="大中型潜水电泵",G89&lt;&gt;"",COUNTIF(EV_SUB_FORM_LARGE,G89)=0),"设备形式与大中型潜水电泵类别不匹配",""),IF(AND(F89="污水污物潜水电泵",G89&lt;&gt;"",COUNTIF(EV_SUB_FORM_WASTE,G89)=0),"设备形式与污水污物潜水电泵类别不匹配",""),IF(AND(F89="井用潜水电泵",G89&lt;&gt;"",COUNTIF(EV_SUB_FORM_WELL,G89)=0),"设备形式与井用潜水电泵类别不匹配",""),IF(AND(F89="混流潜水电泵",G89&lt;&gt;"",COUNTIF(EV_SUB_FORM_MIXED,G89)=0),"设备形式与混流潜水电泵类别不匹配","")),"")</f>
        <v/>
      </c>
    </row>
    <row r="90" ht="42" customHeight="1" s="184">
      <c r="A90" s="224">
        <f>IF(COUNTA(B90,C90,D90,E90,F90,G90,H90,I90,J90,K90,L90,M90,N90,U90,V90)&gt;0,ROW()-3,"")</f>
        <v/>
      </c>
      <c r="B90" s="176" t="n"/>
      <c r="C90" s="176" t="n"/>
      <c r="D90" s="228" t="n"/>
      <c r="E90" s="176" t="n"/>
      <c r="F90" s="218" t="n"/>
      <c r="G90" s="176" t="n"/>
      <c r="H90" s="229" t="n"/>
      <c r="I90" s="229" t="n"/>
      <c r="J90" s="229" t="n"/>
      <c r="K90" s="237" t="n"/>
      <c r="L90" s="229" t="n"/>
      <c r="M90" s="228" t="n"/>
      <c r="N90" s="229" t="n"/>
      <c r="O90" s="236" t="n"/>
      <c r="P90" s="236" t="n"/>
      <c r="Q90" s="227" t="n"/>
      <c r="R90" s="227" t="n"/>
      <c r="S90" s="227" t="n"/>
      <c r="T90" s="81" t="n"/>
      <c r="U90" s="180" t="n"/>
      <c r="V90" s="180" t="n"/>
      <c r="W90" s="99">
        <f>IF(COUNTA(B90,C90,D90,E90,F90,G90,H90,I90,J90,K90,L90,M90,N90,U90,V90)&gt;0,TEXTJOIN("；",TRUE,IF(B90="","缺少设备名称",""),IF(AND(ISTEXT(B90),OR(B90&lt;&gt;TRIM(B90),ISNUMBER(SEARCH("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",C90)))),"型号含首尾空格或全角空格",""),IF(D90="","缺少数量",""),IF(D90="","",IF(NOT(ISNUMBER(D90)),"数量应为数值",IF(OR(D90&lt;=0,MOD(D90,1)&lt;&gt;0),"数量应为正整数",""))),IF(AND(ISTEXT(E90),OR(E90&lt;&gt;TRIM(E90),ISNUMBER(SEARCH("　",E90)))),"安装位置含首尾空格或全角空格",""),IF(F90="","缺少设备类别",""),IF(F90="","",IF(COUNTIF(EV_SUBMERSIBLE_CATEGORY,F90)=0,"设备类别不在标准枚举中","")),IF(AND(ISTEXT(F90),OR(F90&lt;&gt;TRIM(F90),ISNUMBER(SEARCH("　",F90)))),"设备类别含首尾空格或全角空格",""),IF(G90="","缺少设备形式",""),IF(G90="","",IF(COUNTIF(EV_SUB_FORM_ALL,G90)=0,"设备形式不在标准枚举中","")),IF(AND(ISTEXT(G90),OR(G90&lt;&gt;TRIM(G90),ISNUMBER(SEARCH("　",G90)))),"设备形式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工作温度",""),IF(K90="","",IF(NOT(ISNUMBER(K90)),"工作温度应为数值",IF(OR(K90&lt;0,K90&gt;100),"工作温度应为0～100",""))),IF(L90="","缺少额定功率",""),IF(L90="","",IF(NOT(ISNUMBER(L90)),"额定功率应为数值",IF(L90&lt;=0,"额定功率应大于0",""))),IF(M90="","缺少级数",""),IF(M90="","",IF(NOT(ISNUMBER(M90)),"级数应为数值",IF(OR(M90&lt;=0,MOD(M90,1)&lt;&gt;0),"级数应为正整数",""))),IF(N90="","缺少电泵效率",""),IF(N90="","",IF(NOT(ISNUMBER(N90)),"电泵效率应为数值",IF(OR(N90&lt;1,N90&gt;100),"电泵效率应为1～100的百分数本值",""))),IF(U90="","缺少铭牌照片",""),IF(AND(ISTEXT(V90),OR(V90&lt;&gt;TRIM(V90),ISNUMBER(SEARCH("　",V90)))),"填表备注含首尾空格或全角空格",""),IF(AND(F90="小型潜水电泵",G90&lt;&gt;"",COUNTIF(EV_SUB_FORM_SMALL,G90)=0),"设备形式与小型潜水电泵类别不匹配",""),IF(AND(F90="大中型潜水电泵",G90&lt;&gt;"",COUNTIF(EV_SUB_FORM_LARGE,G90)=0),"设备形式与大中型潜水电泵类别不匹配",""),IF(AND(F90="污水污物潜水电泵",G90&lt;&gt;"",COUNTIF(EV_SUB_FORM_WASTE,G90)=0),"设备形式与污水污物潜水电泵类别不匹配",""),IF(AND(F90="井用潜水电泵",G90&lt;&gt;"",COUNTIF(EV_SUB_FORM_WELL,G90)=0),"设备形式与井用潜水电泵类别不匹配",""),IF(AND(F90="混流潜水电泵",G90&lt;&gt;"",COUNTIF(EV_SUB_FORM_MIXED,G90)=0),"设备形式与混流潜水电泵类别不匹配","")),"")</f>
        <v/>
      </c>
    </row>
    <row r="91" ht="42" customHeight="1" s="184">
      <c r="A91" s="224">
        <f>IF(COUNTA(B91,C91,D91,E91,F91,G91,H91,I91,J91,K91,L91,M91,N91,U91,V91)&gt;0,ROW()-3,"")</f>
        <v/>
      </c>
      <c r="B91" s="176" t="n"/>
      <c r="C91" s="176" t="n"/>
      <c r="D91" s="228" t="n"/>
      <c r="E91" s="176" t="n"/>
      <c r="F91" s="218" t="n"/>
      <c r="G91" s="176" t="n"/>
      <c r="H91" s="229" t="n"/>
      <c r="I91" s="229" t="n"/>
      <c r="J91" s="229" t="n"/>
      <c r="K91" s="237" t="n"/>
      <c r="L91" s="229" t="n"/>
      <c r="M91" s="228" t="n"/>
      <c r="N91" s="229" t="n"/>
      <c r="O91" s="236" t="n"/>
      <c r="P91" s="236" t="n"/>
      <c r="Q91" s="227" t="n"/>
      <c r="R91" s="227" t="n"/>
      <c r="S91" s="227" t="n"/>
      <c r="T91" s="81" t="n"/>
      <c r="U91" s="180" t="n"/>
      <c r="V91" s="180" t="n"/>
      <c r="W91" s="99">
        <f>IF(COUNTA(B91,C91,D91,E91,F91,G91,H91,I91,J91,K91,L91,M91,N91,U91,V91)&gt;0,TEXTJOIN("；",TRUE,IF(B91="","缺少设备名称",""),IF(AND(ISTEXT(B91),OR(B91&lt;&gt;TRIM(B91),ISNUMBER(SEARCH("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",C91)))),"型号含首尾空格或全角空格",""),IF(D91="","缺少数量",""),IF(D91="","",IF(NOT(ISNUMBER(D91)),"数量应为数值",IF(OR(D91&lt;=0,MOD(D91,1)&lt;&gt;0),"数量应为正整数",""))),IF(AND(ISTEXT(E91),OR(E91&lt;&gt;TRIM(E91),ISNUMBER(SEARCH("　",E91)))),"安装位置含首尾空格或全角空格",""),IF(F91="","缺少设备类别",""),IF(F91="","",IF(COUNTIF(EV_SUBMERSIBLE_CATEGORY,F91)=0,"设备类别不在标准枚举中","")),IF(AND(ISTEXT(F91),OR(F91&lt;&gt;TRIM(F91),ISNUMBER(SEARCH("　",F91)))),"设备类别含首尾空格或全角空格",""),IF(G91="","缺少设备形式",""),IF(G91="","",IF(COUNTIF(EV_SUB_FORM_ALL,G91)=0,"设备形式不在标准枚举中","")),IF(AND(ISTEXT(G91),OR(G91&lt;&gt;TRIM(G91),ISNUMBER(SEARCH("　",G91)))),"设备形式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工作温度",""),IF(K91="","",IF(NOT(ISNUMBER(K91)),"工作温度应为数值",IF(OR(K91&lt;0,K91&gt;100),"工作温度应为0～100",""))),IF(L91="","缺少额定功率",""),IF(L91="","",IF(NOT(ISNUMBER(L91)),"额定功率应为数值",IF(L91&lt;=0,"额定功率应大于0",""))),IF(M91="","缺少级数",""),IF(M91="","",IF(NOT(ISNUMBER(M91)),"级数应为数值",IF(OR(M91&lt;=0,MOD(M91,1)&lt;&gt;0),"级数应为正整数",""))),IF(N91="","缺少电泵效率",""),IF(N91="","",IF(NOT(ISNUMBER(N91)),"电泵效率应为数值",IF(OR(N91&lt;1,N91&gt;100),"电泵效率应为1～100的百分数本值",""))),IF(U91="","缺少铭牌照片",""),IF(AND(ISTEXT(V91),OR(V91&lt;&gt;TRIM(V91),ISNUMBER(SEARCH("　",V91)))),"填表备注含首尾空格或全角空格",""),IF(AND(F91="小型潜水电泵",G91&lt;&gt;"",COUNTIF(EV_SUB_FORM_SMALL,G91)=0),"设备形式与小型潜水电泵类别不匹配",""),IF(AND(F91="大中型潜水电泵",G91&lt;&gt;"",COUNTIF(EV_SUB_FORM_LARGE,G91)=0),"设备形式与大中型潜水电泵类别不匹配",""),IF(AND(F91="污水污物潜水电泵",G91&lt;&gt;"",COUNTIF(EV_SUB_FORM_WASTE,G91)=0),"设备形式与污水污物潜水电泵类别不匹配",""),IF(AND(F91="井用潜水电泵",G91&lt;&gt;"",COUNTIF(EV_SUB_FORM_WELL,G91)=0),"设备形式与井用潜水电泵类别不匹配",""),IF(AND(F91="混流潜水电泵",G91&lt;&gt;"",COUNTIF(EV_SUB_FORM_MIXED,G91)=0),"设备形式与混流潜水电泵类别不匹配","")),"")</f>
        <v/>
      </c>
    </row>
    <row r="92" ht="42" customHeight="1" s="184">
      <c r="A92" s="224">
        <f>IF(COUNTA(B92,C92,D92,E92,F92,G92,H92,I92,J92,K92,L92,M92,N92,U92,V92)&gt;0,ROW()-3,"")</f>
        <v/>
      </c>
      <c r="B92" s="176" t="n"/>
      <c r="C92" s="176" t="n"/>
      <c r="D92" s="228" t="n"/>
      <c r="E92" s="176" t="n"/>
      <c r="F92" s="218" t="n"/>
      <c r="G92" s="176" t="n"/>
      <c r="H92" s="229" t="n"/>
      <c r="I92" s="229" t="n"/>
      <c r="J92" s="229" t="n"/>
      <c r="K92" s="237" t="n"/>
      <c r="L92" s="229" t="n"/>
      <c r="M92" s="228" t="n"/>
      <c r="N92" s="229" t="n"/>
      <c r="O92" s="236" t="n"/>
      <c r="P92" s="236" t="n"/>
      <c r="Q92" s="227" t="n"/>
      <c r="R92" s="227" t="n"/>
      <c r="S92" s="227" t="n"/>
      <c r="T92" s="81" t="n"/>
      <c r="U92" s="180" t="n"/>
      <c r="V92" s="180" t="n"/>
      <c r="W92" s="99">
        <f>IF(COUNTA(B92,C92,D92,E92,F92,G92,H92,I92,J92,K92,L92,M92,N92,U92,V92)&gt;0,TEXTJOIN("；",TRUE,IF(B92="","缺少设备名称",""),IF(AND(ISTEXT(B92),OR(B92&lt;&gt;TRIM(B92),ISNUMBER(SEARCH("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",C92)))),"型号含首尾空格或全角空格",""),IF(D92="","缺少数量",""),IF(D92="","",IF(NOT(ISNUMBER(D92)),"数量应为数值",IF(OR(D92&lt;=0,MOD(D92,1)&lt;&gt;0),"数量应为正整数",""))),IF(AND(ISTEXT(E92),OR(E92&lt;&gt;TRIM(E92),ISNUMBER(SEARCH("　",E92)))),"安装位置含首尾空格或全角空格",""),IF(F92="","缺少设备类别",""),IF(F92="","",IF(COUNTIF(EV_SUBMERSIBLE_CATEGORY,F92)=0,"设备类别不在标准枚举中","")),IF(AND(ISTEXT(F92),OR(F92&lt;&gt;TRIM(F92),ISNUMBER(SEARCH("　",F92)))),"设备类别含首尾空格或全角空格",""),IF(G92="","缺少设备形式",""),IF(G92="","",IF(COUNTIF(EV_SUB_FORM_ALL,G92)=0,"设备形式不在标准枚举中","")),IF(AND(ISTEXT(G92),OR(G92&lt;&gt;TRIM(G92),ISNUMBER(SEARCH("　",G92)))),"设备形式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工作温度",""),IF(K92="","",IF(NOT(ISNUMBER(K92)),"工作温度应为数值",IF(OR(K92&lt;0,K92&gt;100),"工作温度应为0～100",""))),IF(L92="","缺少额定功率",""),IF(L92="","",IF(NOT(ISNUMBER(L92)),"额定功率应为数值",IF(L92&lt;=0,"额定功率应大于0",""))),IF(M92="","缺少级数",""),IF(M92="","",IF(NOT(ISNUMBER(M92)),"级数应为数值",IF(OR(M92&lt;=0,MOD(M92,1)&lt;&gt;0),"级数应为正整数",""))),IF(N92="","缺少电泵效率",""),IF(N92="","",IF(NOT(ISNUMBER(N92)),"电泵效率应为数值",IF(OR(N92&lt;1,N92&gt;100),"电泵效率应为1～100的百分数本值",""))),IF(U92="","缺少铭牌照片",""),IF(AND(ISTEXT(V92),OR(V92&lt;&gt;TRIM(V92),ISNUMBER(SEARCH("　",V92)))),"填表备注含首尾空格或全角空格",""),IF(AND(F92="小型潜水电泵",G92&lt;&gt;"",COUNTIF(EV_SUB_FORM_SMALL,G92)=0),"设备形式与小型潜水电泵类别不匹配",""),IF(AND(F92="大中型潜水电泵",G92&lt;&gt;"",COUNTIF(EV_SUB_FORM_LARGE,G92)=0),"设备形式与大中型潜水电泵类别不匹配",""),IF(AND(F92="污水污物潜水电泵",G92&lt;&gt;"",COUNTIF(EV_SUB_FORM_WASTE,G92)=0),"设备形式与污水污物潜水电泵类别不匹配",""),IF(AND(F92="井用潜水电泵",G92&lt;&gt;"",COUNTIF(EV_SUB_FORM_WELL,G92)=0),"设备形式与井用潜水电泵类别不匹配",""),IF(AND(F92="混流潜水电泵",G92&lt;&gt;"",COUNTIF(EV_SUB_FORM_MIXED,G92)=0),"设备形式与混流潜水电泵类别不匹配","")),"")</f>
        <v/>
      </c>
    </row>
    <row r="93" ht="42" customHeight="1" s="184">
      <c r="A93" s="224">
        <f>IF(COUNTA(B93,C93,D93,E93,F93,G93,H93,I93,J93,K93,L93,M93,N93,U93,V93)&gt;0,ROW()-3,"")</f>
        <v/>
      </c>
      <c r="B93" s="176" t="n"/>
      <c r="C93" s="176" t="n"/>
      <c r="D93" s="228" t="n"/>
      <c r="E93" s="176" t="n"/>
      <c r="F93" s="218" t="n"/>
      <c r="G93" s="176" t="n"/>
      <c r="H93" s="229" t="n"/>
      <c r="I93" s="229" t="n"/>
      <c r="J93" s="229" t="n"/>
      <c r="K93" s="237" t="n"/>
      <c r="L93" s="229" t="n"/>
      <c r="M93" s="228" t="n"/>
      <c r="N93" s="229" t="n"/>
      <c r="O93" s="236" t="n"/>
      <c r="P93" s="236" t="n"/>
      <c r="Q93" s="227" t="n"/>
      <c r="R93" s="227" t="n"/>
      <c r="S93" s="227" t="n"/>
      <c r="T93" s="81" t="n"/>
      <c r="U93" s="180" t="n"/>
      <c r="V93" s="180" t="n"/>
      <c r="W93" s="99">
        <f>IF(COUNTA(B93,C93,D93,E93,F93,G93,H93,I93,J93,K93,L93,M93,N93,U93,V93)&gt;0,TEXTJOIN("；",TRUE,IF(B93="","缺少设备名称",""),IF(AND(ISTEXT(B93),OR(B93&lt;&gt;TRIM(B93),ISNUMBER(SEARCH("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",C93)))),"型号含首尾空格或全角空格",""),IF(D93="","缺少数量",""),IF(D93="","",IF(NOT(ISNUMBER(D93)),"数量应为数值",IF(OR(D93&lt;=0,MOD(D93,1)&lt;&gt;0),"数量应为正整数",""))),IF(AND(ISTEXT(E93),OR(E93&lt;&gt;TRIM(E93),ISNUMBER(SEARCH("　",E93)))),"安装位置含首尾空格或全角空格",""),IF(F93="","缺少设备类别",""),IF(F93="","",IF(COUNTIF(EV_SUBMERSIBLE_CATEGORY,F93)=0,"设备类别不在标准枚举中","")),IF(AND(ISTEXT(F93),OR(F93&lt;&gt;TRIM(F93),ISNUMBER(SEARCH("　",F93)))),"设备类别含首尾空格或全角空格",""),IF(G93="","缺少设备形式",""),IF(G93="","",IF(COUNTIF(EV_SUB_FORM_ALL,G93)=0,"设备形式不在标准枚举中","")),IF(AND(ISTEXT(G93),OR(G93&lt;&gt;TRIM(G93),ISNUMBER(SEARCH("　",G93)))),"设备形式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工作温度",""),IF(K93="","",IF(NOT(ISNUMBER(K93)),"工作温度应为数值",IF(OR(K93&lt;0,K93&gt;100),"工作温度应为0～100",""))),IF(L93="","缺少额定功率",""),IF(L93="","",IF(NOT(ISNUMBER(L93)),"额定功率应为数值",IF(L93&lt;=0,"额定功率应大于0",""))),IF(M93="","缺少级数",""),IF(M93="","",IF(NOT(ISNUMBER(M93)),"级数应为数值",IF(OR(M93&lt;=0,MOD(M93,1)&lt;&gt;0),"级数应为正整数",""))),IF(N93="","缺少电泵效率",""),IF(N93="","",IF(NOT(ISNUMBER(N93)),"电泵效率应为数值",IF(OR(N93&lt;1,N93&gt;100),"电泵效率应为1～100的百分数本值",""))),IF(U93="","缺少铭牌照片",""),IF(AND(ISTEXT(V93),OR(V93&lt;&gt;TRIM(V93),ISNUMBER(SEARCH("　",V93)))),"填表备注含首尾空格或全角空格",""),IF(AND(F93="小型潜水电泵",G93&lt;&gt;"",COUNTIF(EV_SUB_FORM_SMALL,G93)=0),"设备形式与小型潜水电泵类别不匹配",""),IF(AND(F93="大中型潜水电泵",G93&lt;&gt;"",COUNTIF(EV_SUB_FORM_LARGE,G93)=0),"设备形式与大中型潜水电泵类别不匹配",""),IF(AND(F93="污水污物潜水电泵",G93&lt;&gt;"",COUNTIF(EV_SUB_FORM_WASTE,G93)=0),"设备形式与污水污物潜水电泵类别不匹配",""),IF(AND(F93="井用潜水电泵",G93&lt;&gt;"",COUNTIF(EV_SUB_FORM_WELL,G93)=0),"设备形式与井用潜水电泵类别不匹配",""),IF(AND(F93="混流潜水电泵",G93&lt;&gt;"",COUNTIF(EV_SUB_FORM_MIXED,G93)=0),"设备形式与混流潜水电泵类别不匹配","")),"")</f>
        <v/>
      </c>
    </row>
    <row r="94" ht="42" customHeight="1" s="184">
      <c r="A94" s="224">
        <f>IF(COUNTA(B94,C94,D94,E94,F94,G94,H94,I94,J94,K94,L94,M94,N94,U94,V94)&gt;0,ROW()-3,"")</f>
        <v/>
      </c>
      <c r="B94" s="176" t="n"/>
      <c r="C94" s="176" t="n"/>
      <c r="D94" s="228" t="n"/>
      <c r="E94" s="176" t="n"/>
      <c r="F94" s="218" t="n"/>
      <c r="G94" s="176" t="n"/>
      <c r="H94" s="229" t="n"/>
      <c r="I94" s="229" t="n"/>
      <c r="J94" s="229" t="n"/>
      <c r="K94" s="237" t="n"/>
      <c r="L94" s="229" t="n"/>
      <c r="M94" s="228" t="n"/>
      <c r="N94" s="229" t="n"/>
      <c r="O94" s="236" t="n"/>
      <c r="P94" s="236" t="n"/>
      <c r="Q94" s="227" t="n"/>
      <c r="R94" s="227" t="n"/>
      <c r="S94" s="227" t="n"/>
      <c r="T94" s="81" t="n"/>
      <c r="U94" s="180" t="n"/>
      <c r="V94" s="180" t="n"/>
      <c r="W94" s="99">
        <f>IF(COUNTA(B94,C94,D94,E94,F94,G94,H94,I94,J94,K94,L94,M94,N94,U94,V94)&gt;0,TEXTJOIN("；",TRUE,IF(B94="","缺少设备名称",""),IF(AND(ISTEXT(B94),OR(B94&lt;&gt;TRIM(B94),ISNUMBER(SEARCH("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",C94)))),"型号含首尾空格或全角空格",""),IF(D94="","缺少数量",""),IF(D94="","",IF(NOT(ISNUMBER(D94)),"数量应为数值",IF(OR(D94&lt;=0,MOD(D94,1)&lt;&gt;0),"数量应为正整数",""))),IF(AND(ISTEXT(E94),OR(E94&lt;&gt;TRIM(E94),ISNUMBER(SEARCH("　",E94)))),"安装位置含首尾空格或全角空格",""),IF(F94="","缺少设备类别",""),IF(F94="","",IF(COUNTIF(EV_SUBMERSIBLE_CATEGORY,F94)=0,"设备类别不在标准枚举中","")),IF(AND(ISTEXT(F94),OR(F94&lt;&gt;TRIM(F94),ISNUMBER(SEARCH("　",F94)))),"设备类别含首尾空格或全角空格",""),IF(G94="","缺少设备形式",""),IF(G94="","",IF(COUNTIF(EV_SUB_FORM_ALL,G94)=0,"设备形式不在标准枚举中","")),IF(AND(ISTEXT(G94),OR(G94&lt;&gt;TRIM(G94),ISNUMBER(SEARCH("　",G94)))),"设备形式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工作温度",""),IF(K94="","",IF(NOT(ISNUMBER(K94)),"工作温度应为数值",IF(OR(K94&lt;0,K94&gt;100),"工作温度应为0～100",""))),IF(L94="","缺少额定功率",""),IF(L94="","",IF(NOT(ISNUMBER(L94)),"额定功率应为数值",IF(L94&lt;=0,"额定功率应大于0",""))),IF(M94="","缺少级数",""),IF(M94="","",IF(NOT(ISNUMBER(M94)),"级数应为数值",IF(OR(M94&lt;=0,MOD(M94,1)&lt;&gt;0),"级数应为正整数",""))),IF(N94="","缺少电泵效率",""),IF(N94="","",IF(NOT(ISNUMBER(N94)),"电泵效率应为数值",IF(OR(N94&lt;1,N94&gt;100),"电泵效率应为1～100的百分数本值",""))),IF(U94="","缺少铭牌照片",""),IF(AND(ISTEXT(V94),OR(V94&lt;&gt;TRIM(V94),ISNUMBER(SEARCH("　",V94)))),"填表备注含首尾空格或全角空格",""),IF(AND(F94="小型潜水电泵",G94&lt;&gt;"",COUNTIF(EV_SUB_FORM_SMALL,G94)=0),"设备形式与小型潜水电泵类别不匹配",""),IF(AND(F94="大中型潜水电泵",G94&lt;&gt;"",COUNTIF(EV_SUB_FORM_LARGE,G94)=0),"设备形式与大中型潜水电泵类别不匹配",""),IF(AND(F94="污水污物潜水电泵",G94&lt;&gt;"",COUNTIF(EV_SUB_FORM_WASTE,G94)=0),"设备形式与污水污物潜水电泵类别不匹配",""),IF(AND(F94="井用潜水电泵",G94&lt;&gt;"",COUNTIF(EV_SUB_FORM_WELL,G94)=0),"设备形式与井用潜水电泵类别不匹配",""),IF(AND(F94="混流潜水电泵",G94&lt;&gt;"",COUNTIF(EV_SUB_FORM_MIXED,G94)=0),"设备形式与混流潜水电泵类别不匹配","")),"")</f>
        <v/>
      </c>
    </row>
    <row r="95" ht="42" customHeight="1" s="184">
      <c r="A95" s="224">
        <f>IF(COUNTA(B95,C95,D95,E95,F95,G95,H95,I95,J95,K95,L95,M95,N95,U95,V95)&gt;0,ROW()-3,"")</f>
        <v/>
      </c>
      <c r="B95" s="176" t="n"/>
      <c r="C95" s="176" t="n"/>
      <c r="D95" s="228" t="n"/>
      <c r="E95" s="176" t="n"/>
      <c r="F95" s="218" t="n"/>
      <c r="G95" s="176" t="n"/>
      <c r="H95" s="229" t="n"/>
      <c r="I95" s="229" t="n"/>
      <c r="J95" s="229" t="n"/>
      <c r="K95" s="237" t="n"/>
      <c r="L95" s="229" t="n"/>
      <c r="M95" s="228" t="n"/>
      <c r="N95" s="229" t="n"/>
      <c r="O95" s="236" t="n"/>
      <c r="P95" s="236" t="n"/>
      <c r="Q95" s="227" t="n"/>
      <c r="R95" s="227" t="n"/>
      <c r="S95" s="227" t="n"/>
      <c r="T95" s="81" t="n"/>
      <c r="U95" s="180" t="n"/>
      <c r="V95" s="180" t="n"/>
      <c r="W95" s="99">
        <f>IF(COUNTA(B95,C95,D95,E95,F95,G95,H95,I95,J95,K95,L95,M95,N95,U95,V95)&gt;0,TEXTJOIN("；",TRUE,IF(B95="","缺少设备名称",""),IF(AND(ISTEXT(B95),OR(B95&lt;&gt;TRIM(B95),ISNUMBER(SEARCH("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",C95)))),"型号含首尾空格或全角空格",""),IF(D95="","缺少数量",""),IF(D95="","",IF(NOT(ISNUMBER(D95)),"数量应为数值",IF(OR(D95&lt;=0,MOD(D95,1)&lt;&gt;0),"数量应为正整数",""))),IF(AND(ISTEXT(E95),OR(E95&lt;&gt;TRIM(E95),ISNUMBER(SEARCH("　",E95)))),"安装位置含首尾空格或全角空格",""),IF(F95="","缺少设备类别",""),IF(F95="","",IF(COUNTIF(EV_SUBMERSIBLE_CATEGORY,F95)=0,"设备类别不在标准枚举中","")),IF(AND(ISTEXT(F95),OR(F95&lt;&gt;TRIM(F95),ISNUMBER(SEARCH("　",F95)))),"设备类别含首尾空格或全角空格",""),IF(G95="","缺少设备形式",""),IF(G95="","",IF(COUNTIF(EV_SUB_FORM_ALL,G95)=0,"设备形式不在标准枚举中","")),IF(AND(ISTEXT(G95),OR(G95&lt;&gt;TRIM(G95),ISNUMBER(SEARCH("　",G95)))),"设备形式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工作温度",""),IF(K95="","",IF(NOT(ISNUMBER(K95)),"工作温度应为数值",IF(OR(K95&lt;0,K95&gt;100),"工作温度应为0～100",""))),IF(L95="","缺少额定功率",""),IF(L95="","",IF(NOT(ISNUMBER(L95)),"额定功率应为数值",IF(L95&lt;=0,"额定功率应大于0",""))),IF(M95="","缺少级数",""),IF(M95="","",IF(NOT(ISNUMBER(M95)),"级数应为数值",IF(OR(M95&lt;=0,MOD(M95,1)&lt;&gt;0),"级数应为正整数",""))),IF(N95="","缺少电泵效率",""),IF(N95="","",IF(NOT(ISNUMBER(N95)),"电泵效率应为数值",IF(OR(N95&lt;1,N95&gt;100),"电泵效率应为1～100的百分数本值",""))),IF(U95="","缺少铭牌照片",""),IF(AND(ISTEXT(V95),OR(V95&lt;&gt;TRIM(V95),ISNUMBER(SEARCH("　",V95)))),"填表备注含首尾空格或全角空格",""),IF(AND(F95="小型潜水电泵",G95&lt;&gt;"",COUNTIF(EV_SUB_FORM_SMALL,G95)=0),"设备形式与小型潜水电泵类别不匹配",""),IF(AND(F95="大中型潜水电泵",G95&lt;&gt;"",COUNTIF(EV_SUB_FORM_LARGE,G95)=0),"设备形式与大中型潜水电泵类别不匹配",""),IF(AND(F95="污水污物潜水电泵",G95&lt;&gt;"",COUNTIF(EV_SUB_FORM_WASTE,G95)=0),"设备形式与污水污物潜水电泵类别不匹配",""),IF(AND(F95="井用潜水电泵",G95&lt;&gt;"",COUNTIF(EV_SUB_FORM_WELL,G95)=0),"设备形式与井用潜水电泵类别不匹配",""),IF(AND(F95="混流潜水电泵",G95&lt;&gt;"",COUNTIF(EV_SUB_FORM_MIXED,G95)=0),"设备形式与混流潜水电泵类别不匹配","")),"")</f>
        <v/>
      </c>
    </row>
    <row r="96" ht="42" customHeight="1" s="184">
      <c r="A96" s="224">
        <f>IF(COUNTA(B96,C96,D96,E96,F96,G96,H96,I96,J96,K96,L96,M96,N96,U96,V96)&gt;0,ROW()-3,"")</f>
        <v/>
      </c>
      <c r="B96" s="176" t="n"/>
      <c r="C96" s="176" t="n"/>
      <c r="D96" s="228" t="n"/>
      <c r="E96" s="176" t="n"/>
      <c r="F96" s="218" t="n"/>
      <c r="G96" s="176" t="n"/>
      <c r="H96" s="229" t="n"/>
      <c r="I96" s="229" t="n"/>
      <c r="J96" s="229" t="n"/>
      <c r="K96" s="237" t="n"/>
      <c r="L96" s="229" t="n"/>
      <c r="M96" s="228" t="n"/>
      <c r="N96" s="229" t="n"/>
      <c r="O96" s="236" t="n"/>
      <c r="P96" s="236" t="n"/>
      <c r="Q96" s="227" t="n"/>
      <c r="R96" s="227" t="n"/>
      <c r="S96" s="227" t="n"/>
      <c r="T96" s="81" t="n"/>
      <c r="U96" s="180" t="n"/>
      <c r="V96" s="180" t="n"/>
      <c r="W96" s="99">
        <f>IF(COUNTA(B96,C96,D96,E96,F96,G96,H96,I96,J96,K96,L96,M96,N96,U96,V96)&gt;0,TEXTJOIN("；",TRUE,IF(B96="","缺少设备名称",""),IF(AND(ISTEXT(B96),OR(B96&lt;&gt;TRIM(B96),ISNUMBER(SEARCH("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",C96)))),"型号含首尾空格或全角空格",""),IF(D96="","缺少数量",""),IF(D96="","",IF(NOT(ISNUMBER(D96)),"数量应为数值",IF(OR(D96&lt;=0,MOD(D96,1)&lt;&gt;0),"数量应为正整数",""))),IF(AND(ISTEXT(E96),OR(E96&lt;&gt;TRIM(E96),ISNUMBER(SEARCH("　",E96)))),"安装位置含首尾空格或全角空格",""),IF(F96="","缺少设备类别",""),IF(F96="","",IF(COUNTIF(EV_SUBMERSIBLE_CATEGORY,F96)=0,"设备类别不在标准枚举中","")),IF(AND(ISTEXT(F96),OR(F96&lt;&gt;TRIM(F96),ISNUMBER(SEARCH("　",F96)))),"设备类别含首尾空格或全角空格",""),IF(G96="","缺少设备形式",""),IF(G96="","",IF(COUNTIF(EV_SUB_FORM_ALL,G96)=0,"设备形式不在标准枚举中","")),IF(AND(ISTEXT(G96),OR(G96&lt;&gt;TRIM(G96),ISNUMBER(SEARCH("　",G96)))),"设备形式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工作温度",""),IF(K96="","",IF(NOT(ISNUMBER(K96)),"工作温度应为数值",IF(OR(K96&lt;0,K96&gt;100),"工作温度应为0～100",""))),IF(L96="","缺少额定功率",""),IF(L96="","",IF(NOT(ISNUMBER(L96)),"额定功率应为数值",IF(L96&lt;=0,"额定功率应大于0",""))),IF(M96="","缺少级数",""),IF(M96="","",IF(NOT(ISNUMBER(M96)),"级数应为数值",IF(OR(M96&lt;=0,MOD(M96,1)&lt;&gt;0),"级数应为正整数",""))),IF(N96="","缺少电泵效率",""),IF(N96="","",IF(NOT(ISNUMBER(N96)),"电泵效率应为数值",IF(OR(N96&lt;1,N96&gt;100),"电泵效率应为1～100的百分数本值",""))),IF(U96="","缺少铭牌照片",""),IF(AND(ISTEXT(V96),OR(V96&lt;&gt;TRIM(V96),ISNUMBER(SEARCH("　",V96)))),"填表备注含首尾空格或全角空格",""),IF(AND(F96="小型潜水电泵",G96&lt;&gt;"",COUNTIF(EV_SUB_FORM_SMALL,G96)=0),"设备形式与小型潜水电泵类别不匹配",""),IF(AND(F96="大中型潜水电泵",G96&lt;&gt;"",COUNTIF(EV_SUB_FORM_LARGE,G96)=0),"设备形式与大中型潜水电泵类别不匹配",""),IF(AND(F96="污水污物潜水电泵",G96&lt;&gt;"",COUNTIF(EV_SUB_FORM_WASTE,G96)=0),"设备形式与污水污物潜水电泵类别不匹配",""),IF(AND(F96="井用潜水电泵",G96&lt;&gt;"",COUNTIF(EV_SUB_FORM_WELL,G96)=0),"设备形式与井用潜水电泵类别不匹配",""),IF(AND(F96="混流潜水电泵",G96&lt;&gt;"",COUNTIF(EV_SUB_FORM_MIXED,G96)=0),"设备形式与混流潜水电泵类别不匹配","")),"")</f>
        <v/>
      </c>
    </row>
    <row r="97" ht="42" customHeight="1" s="184">
      <c r="A97" s="224">
        <f>IF(COUNTA(B97,C97,D97,E97,F97,G97,H97,I97,J97,K97,L97,M97,N97,U97,V97)&gt;0,ROW()-3,"")</f>
        <v/>
      </c>
      <c r="B97" s="176" t="n"/>
      <c r="C97" s="176" t="n"/>
      <c r="D97" s="228" t="n"/>
      <c r="E97" s="176" t="n"/>
      <c r="F97" s="218" t="n"/>
      <c r="G97" s="176" t="n"/>
      <c r="H97" s="229" t="n"/>
      <c r="I97" s="229" t="n"/>
      <c r="J97" s="229" t="n"/>
      <c r="K97" s="237" t="n"/>
      <c r="L97" s="229" t="n"/>
      <c r="M97" s="228" t="n"/>
      <c r="N97" s="229" t="n"/>
      <c r="O97" s="236" t="n"/>
      <c r="P97" s="236" t="n"/>
      <c r="Q97" s="227" t="n"/>
      <c r="R97" s="227" t="n"/>
      <c r="S97" s="227" t="n"/>
      <c r="T97" s="81" t="n"/>
      <c r="U97" s="180" t="n"/>
      <c r="V97" s="180" t="n"/>
      <c r="W97" s="99">
        <f>IF(COUNTA(B97,C97,D97,E97,F97,G97,H97,I97,J97,K97,L97,M97,N97,U97,V97)&gt;0,TEXTJOIN("；",TRUE,IF(B97="","缺少设备名称",""),IF(AND(ISTEXT(B97),OR(B97&lt;&gt;TRIM(B97),ISNUMBER(SEARCH("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",C97)))),"型号含首尾空格或全角空格",""),IF(D97="","缺少数量",""),IF(D97="","",IF(NOT(ISNUMBER(D97)),"数量应为数值",IF(OR(D97&lt;=0,MOD(D97,1)&lt;&gt;0),"数量应为正整数",""))),IF(AND(ISTEXT(E97),OR(E97&lt;&gt;TRIM(E97),ISNUMBER(SEARCH("　",E97)))),"安装位置含首尾空格或全角空格",""),IF(F97="","缺少设备类别",""),IF(F97="","",IF(COUNTIF(EV_SUBMERSIBLE_CATEGORY,F97)=0,"设备类别不在标准枚举中","")),IF(AND(ISTEXT(F97),OR(F97&lt;&gt;TRIM(F97),ISNUMBER(SEARCH("　",F97)))),"设备类别含首尾空格或全角空格",""),IF(G97="","缺少设备形式",""),IF(G97="","",IF(COUNTIF(EV_SUB_FORM_ALL,G97)=0,"设备形式不在标准枚举中","")),IF(AND(ISTEXT(G97),OR(G97&lt;&gt;TRIM(G97),ISNUMBER(SEARCH("　",G97)))),"设备形式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工作温度",""),IF(K97="","",IF(NOT(ISNUMBER(K97)),"工作温度应为数值",IF(OR(K97&lt;0,K97&gt;100),"工作温度应为0～100",""))),IF(L97="","缺少额定功率",""),IF(L97="","",IF(NOT(ISNUMBER(L97)),"额定功率应为数值",IF(L97&lt;=0,"额定功率应大于0",""))),IF(M97="","缺少级数",""),IF(M97="","",IF(NOT(ISNUMBER(M97)),"级数应为数值",IF(OR(M97&lt;=0,MOD(M97,1)&lt;&gt;0),"级数应为正整数",""))),IF(N97="","缺少电泵效率",""),IF(N97="","",IF(NOT(ISNUMBER(N97)),"电泵效率应为数值",IF(OR(N97&lt;1,N97&gt;100),"电泵效率应为1～100的百分数本值",""))),IF(U97="","缺少铭牌照片",""),IF(AND(ISTEXT(V97),OR(V97&lt;&gt;TRIM(V97),ISNUMBER(SEARCH("　",V97)))),"填表备注含首尾空格或全角空格",""),IF(AND(F97="小型潜水电泵",G97&lt;&gt;"",COUNTIF(EV_SUB_FORM_SMALL,G97)=0),"设备形式与小型潜水电泵类别不匹配",""),IF(AND(F97="大中型潜水电泵",G97&lt;&gt;"",COUNTIF(EV_SUB_FORM_LARGE,G97)=0),"设备形式与大中型潜水电泵类别不匹配",""),IF(AND(F97="污水污物潜水电泵",G97&lt;&gt;"",COUNTIF(EV_SUB_FORM_WASTE,G97)=0),"设备形式与污水污物潜水电泵类别不匹配",""),IF(AND(F97="井用潜水电泵",G97&lt;&gt;"",COUNTIF(EV_SUB_FORM_WELL,G97)=0),"设备形式与井用潜水电泵类别不匹配",""),IF(AND(F97="混流潜水电泵",G97&lt;&gt;"",COUNTIF(EV_SUB_FORM_MIXED,G97)=0),"设备形式与混流潜水电泵类别不匹配","")),"")</f>
        <v/>
      </c>
    </row>
    <row r="98" ht="42" customHeight="1" s="184">
      <c r="A98" s="224">
        <f>IF(COUNTA(B98,C98,D98,E98,F98,G98,H98,I98,J98,K98,L98,M98,N98,U98,V98)&gt;0,ROW()-3,"")</f>
        <v/>
      </c>
      <c r="B98" s="176" t="n"/>
      <c r="C98" s="176" t="n"/>
      <c r="D98" s="228" t="n"/>
      <c r="E98" s="176" t="n"/>
      <c r="F98" s="218" t="n"/>
      <c r="G98" s="176" t="n"/>
      <c r="H98" s="229" t="n"/>
      <c r="I98" s="229" t="n"/>
      <c r="J98" s="229" t="n"/>
      <c r="K98" s="237" t="n"/>
      <c r="L98" s="229" t="n"/>
      <c r="M98" s="228" t="n"/>
      <c r="N98" s="229" t="n"/>
      <c r="O98" s="236" t="n"/>
      <c r="P98" s="236" t="n"/>
      <c r="Q98" s="227" t="n"/>
      <c r="R98" s="227" t="n"/>
      <c r="S98" s="227" t="n"/>
      <c r="T98" s="81" t="n"/>
      <c r="U98" s="180" t="n"/>
      <c r="V98" s="180" t="n"/>
      <c r="W98" s="99">
        <f>IF(COUNTA(B98,C98,D98,E98,F98,G98,H98,I98,J98,K98,L98,M98,N98,U98,V98)&gt;0,TEXTJOIN("；",TRUE,IF(B98="","缺少设备名称",""),IF(AND(ISTEXT(B98),OR(B98&lt;&gt;TRIM(B98),ISNUMBER(SEARCH("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",C98)))),"型号含首尾空格或全角空格",""),IF(D98="","缺少数量",""),IF(D98="","",IF(NOT(ISNUMBER(D98)),"数量应为数值",IF(OR(D98&lt;=0,MOD(D98,1)&lt;&gt;0),"数量应为正整数",""))),IF(AND(ISTEXT(E98),OR(E98&lt;&gt;TRIM(E98),ISNUMBER(SEARCH("　",E98)))),"安装位置含首尾空格或全角空格",""),IF(F98="","缺少设备类别",""),IF(F98="","",IF(COUNTIF(EV_SUBMERSIBLE_CATEGORY,F98)=0,"设备类别不在标准枚举中","")),IF(AND(ISTEXT(F98),OR(F98&lt;&gt;TRIM(F98),ISNUMBER(SEARCH("　",F98)))),"设备类别含首尾空格或全角空格",""),IF(G98="","缺少设备形式",""),IF(G98="","",IF(COUNTIF(EV_SUB_FORM_ALL,G98)=0,"设备形式不在标准枚举中","")),IF(AND(ISTEXT(G98),OR(G98&lt;&gt;TRIM(G98),ISNUMBER(SEARCH("　",G98)))),"设备形式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工作温度",""),IF(K98="","",IF(NOT(ISNUMBER(K98)),"工作温度应为数值",IF(OR(K98&lt;0,K98&gt;100),"工作温度应为0～100",""))),IF(L98="","缺少额定功率",""),IF(L98="","",IF(NOT(ISNUMBER(L98)),"额定功率应为数值",IF(L98&lt;=0,"额定功率应大于0",""))),IF(M98="","缺少级数",""),IF(M98="","",IF(NOT(ISNUMBER(M98)),"级数应为数值",IF(OR(M98&lt;=0,MOD(M98,1)&lt;&gt;0),"级数应为正整数",""))),IF(N98="","缺少电泵效率",""),IF(N98="","",IF(NOT(ISNUMBER(N98)),"电泵效率应为数值",IF(OR(N98&lt;1,N98&gt;100),"电泵效率应为1～100的百分数本值",""))),IF(U98="","缺少铭牌照片",""),IF(AND(ISTEXT(V98),OR(V98&lt;&gt;TRIM(V98),ISNUMBER(SEARCH("　",V98)))),"填表备注含首尾空格或全角空格",""),IF(AND(F98="小型潜水电泵",G98&lt;&gt;"",COUNTIF(EV_SUB_FORM_SMALL,G98)=0),"设备形式与小型潜水电泵类别不匹配",""),IF(AND(F98="大中型潜水电泵",G98&lt;&gt;"",COUNTIF(EV_SUB_FORM_LARGE,G98)=0),"设备形式与大中型潜水电泵类别不匹配",""),IF(AND(F98="污水污物潜水电泵",G98&lt;&gt;"",COUNTIF(EV_SUB_FORM_WASTE,G98)=0),"设备形式与污水污物潜水电泵类别不匹配",""),IF(AND(F98="井用潜水电泵",G98&lt;&gt;"",COUNTIF(EV_SUB_FORM_WELL,G98)=0),"设备形式与井用潜水电泵类别不匹配",""),IF(AND(F98="混流潜水电泵",G98&lt;&gt;"",COUNTIF(EV_SUB_FORM_MIXED,G98)=0),"设备形式与混流潜水电泵类别不匹配","")),"")</f>
        <v/>
      </c>
    </row>
    <row r="99" ht="42" customHeight="1" s="184">
      <c r="A99" s="224">
        <f>IF(COUNTA(B99,C99,D99,E99,F99,G99,H99,I99,J99,K99,L99,M99,N99,U99,V99)&gt;0,ROW()-3,"")</f>
        <v/>
      </c>
      <c r="B99" s="176" t="n"/>
      <c r="C99" s="176" t="n"/>
      <c r="D99" s="228" t="n"/>
      <c r="E99" s="176" t="n"/>
      <c r="F99" s="218" t="n"/>
      <c r="G99" s="176" t="n"/>
      <c r="H99" s="229" t="n"/>
      <c r="I99" s="229" t="n"/>
      <c r="J99" s="229" t="n"/>
      <c r="K99" s="237" t="n"/>
      <c r="L99" s="229" t="n"/>
      <c r="M99" s="228" t="n"/>
      <c r="N99" s="229" t="n"/>
      <c r="O99" s="236" t="n"/>
      <c r="P99" s="236" t="n"/>
      <c r="Q99" s="227" t="n"/>
      <c r="R99" s="227" t="n"/>
      <c r="S99" s="227" t="n"/>
      <c r="T99" s="81" t="n"/>
      <c r="U99" s="180" t="n"/>
      <c r="V99" s="180" t="n"/>
      <c r="W99" s="99">
        <f>IF(COUNTA(B99,C99,D99,E99,F99,G99,H99,I99,J99,K99,L99,M99,N99,U99,V99)&gt;0,TEXTJOIN("；",TRUE,IF(B99="","缺少设备名称",""),IF(AND(ISTEXT(B99),OR(B99&lt;&gt;TRIM(B99),ISNUMBER(SEARCH("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",C99)))),"型号含首尾空格或全角空格",""),IF(D99="","缺少数量",""),IF(D99="","",IF(NOT(ISNUMBER(D99)),"数量应为数值",IF(OR(D99&lt;=0,MOD(D99,1)&lt;&gt;0),"数量应为正整数",""))),IF(AND(ISTEXT(E99),OR(E99&lt;&gt;TRIM(E99),ISNUMBER(SEARCH("　",E99)))),"安装位置含首尾空格或全角空格",""),IF(F99="","缺少设备类别",""),IF(F99="","",IF(COUNTIF(EV_SUBMERSIBLE_CATEGORY,F99)=0,"设备类别不在标准枚举中","")),IF(AND(ISTEXT(F99),OR(F99&lt;&gt;TRIM(F99),ISNUMBER(SEARCH("　",F99)))),"设备类别含首尾空格或全角空格",""),IF(G99="","缺少设备形式",""),IF(G99="","",IF(COUNTIF(EV_SUB_FORM_ALL,G99)=0,"设备形式不在标准枚举中","")),IF(AND(ISTEXT(G99),OR(G99&lt;&gt;TRIM(G99),ISNUMBER(SEARCH("　",G99)))),"设备形式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工作温度",""),IF(K99="","",IF(NOT(ISNUMBER(K99)),"工作温度应为数值",IF(OR(K99&lt;0,K99&gt;100),"工作温度应为0～100",""))),IF(L99="","缺少额定功率",""),IF(L99="","",IF(NOT(ISNUMBER(L99)),"额定功率应为数值",IF(L99&lt;=0,"额定功率应大于0",""))),IF(M99="","缺少级数",""),IF(M99="","",IF(NOT(ISNUMBER(M99)),"级数应为数值",IF(OR(M99&lt;=0,MOD(M99,1)&lt;&gt;0),"级数应为正整数",""))),IF(N99="","缺少电泵效率",""),IF(N99="","",IF(NOT(ISNUMBER(N99)),"电泵效率应为数值",IF(OR(N99&lt;1,N99&gt;100),"电泵效率应为1～100的百分数本值",""))),IF(U99="","缺少铭牌照片",""),IF(AND(ISTEXT(V99),OR(V99&lt;&gt;TRIM(V99),ISNUMBER(SEARCH("　",V99)))),"填表备注含首尾空格或全角空格",""),IF(AND(F99="小型潜水电泵",G99&lt;&gt;"",COUNTIF(EV_SUB_FORM_SMALL,G99)=0),"设备形式与小型潜水电泵类别不匹配",""),IF(AND(F99="大中型潜水电泵",G99&lt;&gt;"",COUNTIF(EV_SUB_FORM_LARGE,G99)=0),"设备形式与大中型潜水电泵类别不匹配",""),IF(AND(F99="污水污物潜水电泵",G99&lt;&gt;"",COUNTIF(EV_SUB_FORM_WASTE,G99)=0),"设备形式与污水污物潜水电泵类别不匹配",""),IF(AND(F99="井用潜水电泵",G99&lt;&gt;"",COUNTIF(EV_SUB_FORM_WELL,G99)=0),"设备形式与井用潜水电泵类别不匹配",""),IF(AND(F99="混流潜水电泵",G99&lt;&gt;"",COUNTIF(EV_SUB_FORM_MIXED,G99)=0),"设备形式与混流潜水电泵类别不匹配","")),"")</f>
        <v/>
      </c>
    </row>
    <row r="100" ht="42" customHeight="1" s="184">
      <c r="A100" s="224">
        <f>IF(COUNTA(B100,C100,D100,E100,F100,G100,H100,I100,J100,K100,L100,M100,N100,U100,V100)&gt;0,ROW()-3,"")</f>
        <v/>
      </c>
      <c r="B100" s="176" t="n"/>
      <c r="C100" s="176" t="n"/>
      <c r="D100" s="228" t="n"/>
      <c r="E100" s="176" t="n"/>
      <c r="F100" s="218" t="n"/>
      <c r="G100" s="176" t="n"/>
      <c r="H100" s="229" t="n"/>
      <c r="I100" s="229" t="n"/>
      <c r="J100" s="229" t="n"/>
      <c r="K100" s="237" t="n"/>
      <c r="L100" s="229" t="n"/>
      <c r="M100" s="228" t="n"/>
      <c r="N100" s="229" t="n"/>
      <c r="O100" s="236" t="n"/>
      <c r="P100" s="236" t="n"/>
      <c r="Q100" s="227" t="n"/>
      <c r="R100" s="227" t="n"/>
      <c r="S100" s="227" t="n"/>
      <c r="T100" s="81" t="n"/>
      <c r="U100" s="180" t="n"/>
      <c r="V100" s="180" t="n"/>
      <c r="W100" s="99">
        <f>IF(COUNTA(B100,C100,D100,E100,F100,G100,H100,I100,J100,K100,L100,M100,N100,U100,V100)&gt;0,TEXTJOIN("；",TRUE,IF(B100="","缺少设备名称",""),IF(AND(ISTEXT(B100),OR(B100&lt;&gt;TRIM(B100),ISNUMBER(SEARCH("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",C100)))),"型号含首尾空格或全角空格",""),IF(D100="","缺少数量",""),IF(D100="","",IF(NOT(ISNUMBER(D100)),"数量应为数值",IF(OR(D100&lt;=0,MOD(D100,1)&lt;&gt;0),"数量应为正整数",""))),IF(AND(ISTEXT(E100),OR(E100&lt;&gt;TRIM(E100),ISNUMBER(SEARCH("　",E100)))),"安装位置含首尾空格或全角空格",""),IF(F100="","缺少设备类别",""),IF(F100="","",IF(COUNTIF(EV_SUBMERSIBLE_CATEGORY,F100)=0,"设备类别不在标准枚举中","")),IF(AND(ISTEXT(F100),OR(F100&lt;&gt;TRIM(F100),ISNUMBER(SEARCH("　",F100)))),"设备类别含首尾空格或全角空格",""),IF(G100="","缺少设备形式",""),IF(G100="","",IF(COUNTIF(EV_SUB_FORM_ALL,G100)=0,"设备形式不在标准枚举中","")),IF(AND(ISTEXT(G100),OR(G100&lt;&gt;TRIM(G100),ISNUMBER(SEARCH("　",G100)))),"设备形式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工作温度",""),IF(K100="","",IF(NOT(ISNUMBER(K100)),"工作温度应为数值",IF(OR(K100&lt;0,K100&gt;100),"工作温度应为0～100",""))),IF(L100="","缺少额定功率",""),IF(L100="","",IF(NOT(ISNUMBER(L100)),"额定功率应为数值",IF(L100&lt;=0,"额定功率应大于0",""))),IF(M100="","缺少级数",""),IF(M100="","",IF(NOT(ISNUMBER(M100)),"级数应为数值",IF(OR(M100&lt;=0,MOD(M100,1)&lt;&gt;0),"级数应为正整数",""))),IF(N100="","缺少电泵效率",""),IF(N100="","",IF(NOT(ISNUMBER(N100)),"电泵效率应为数值",IF(OR(N100&lt;1,N100&gt;100),"电泵效率应为1～100的百分数本值",""))),IF(U100="","缺少铭牌照片",""),IF(AND(ISTEXT(V100),OR(V100&lt;&gt;TRIM(V100),ISNUMBER(SEARCH("　",V100)))),"填表备注含首尾空格或全角空格",""),IF(AND(F100="小型潜水电泵",G100&lt;&gt;"",COUNTIF(EV_SUB_FORM_SMALL,G100)=0),"设备形式与小型潜水电泵类别不匹配",""),IF(AND(F100="大中型潜水电泵",G100&lt;&gt;"",COUNTIF(EV_SUB_FORM_LARGE,G100)=0),"设备形式与大中型潜水电泵类别不匹配",""),IF(AND(F100="污水污物潜水电泵",G100&lt;&gt;"",COUNTIF(EV_SUB_FORM_WASTE,G100)=0),"设备形式与污水污物潜水电泵类别不匹配",""),IF(AND(F100="井用潜水电泵",G100&lt;&gt;"",COUNTIF(EV_SUB_FORM_WELL,G100)=0),"设备形式与井用潜水电泵类别不匹配",""),IF(AND(F100="混流潜水电泵",G100&lt;&gt;"",COUNTIF(EV_SUB_FORM_MIXED,G100)=0),"设备形式与混流潜水电泵类别不匹配","")),"")</f>
        <v/>
      </c>
    </row>
    <row r="101" ht="42" customHeight="1" s="184">
      <c r="A101" s="224">
        <f>IF(COUNTA(B101,C101,D101,E101,F101,G101,H101,I101,J101,K101,L101,M101,N101,U101,V101)&gt;0,ROW()-3,"")</f>
        <v/>
      </c>
      <c r="B101" s="176" t="n"/>
      <c r="C101" s="176" t="n"/>
      <c r="D101" s="228" t="n"/>
      <c r="E101" s="176" t="n"/>
      <c r="F101" s="218" t="n"/>
      <c r="G101" s="176" t="n"/>
      <c r="H101" s="229" t="n"/>
      <c r="I101" s="229" t="n"/>
      <c r="J101" s="229" t="n"/>
      <c r="K101" s="237" t="n"/>
      <c r="L101" s="229" t="n"/>
      <c r="M101" s="228" t="n"/>
      <c r="N101" s="229" t="n"/>
      <c r="O101" s="236" t="n"/>
      <c r="P101" s="236" t="n"/>
      <c r="Q101" s="227" t="n"/>
      <c r="R101" s="227" t="n"/>
      <c r="S101" s="227" t="n"/>
      <c r="T101" s="81" t="n"/>
      <c r="U101" s="180" t="n"/>
      <c r="V101" s="180" t="n"/>
      <c r="W101" s="99">
        <f>IF(COUNTA(B101,C101,D101,E101,F101,G101,H101,I101,J101,K101,L101,M101,N101,U101,V101)&gt;0,TEXTJOIN("；",TRUE,IF(B101="","缺少设备名称",""),IF(AND(ISTEXT(B101),OR(B101&lt;&gt;TRIM(B101),ISNUMBER(SEARCH("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",C101)))),"型号含首尾空格或全角空格",""),IF(D101="","缺少数量",""),IF(D101="","",IF(NOT(ISNUMBER(D101)),"数量应为数值",IF(OR(D101&lt;=0,MOD(D101,1)&lt;&gt;0),"数量应为正整数",""))),IF(AND(ISTEXT(E101),OR(E101&lt;&gt;TRIM(E101),ISNUMBER(SEARCH("　",E101)))),"安装位置含首尾空格或全角空格",""),IF(F101="","缺少设备类别",""),IF(F101="","",IF(COUNTIF(EV_SUBMERSIBLE_CATEGORY,F101)=0,"设备类别不在标准枚举中","")),IF(AND(ISTEXT(F101),OR(F101&lt;&gt;TRIM(F101),ISNUMBER(SEARCH("　",F101)))),"设备类别含首尾空格或全角空格",""),IF(G101="","缺少设备形式",""),IF(G101="","",IF(COUNTIF(EV_SUB_FORM_ALL,G101)=0,"设备形式不在标准枚举中","")),IF(AND(ISTEXT(G101),OR(G101&lt;&gt;TRIM(G101),ISNUMBER(SEARCH("　",G101)))),"设备形式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工作温度",""),IF(K101="","",IF(NOT(ISNUMBER(K101)),"工作温度应为数值",IF(OR(K101&lt;0,K101&gt;100),"工作温度应为0～100",""))),IF(L101="","缺少额定功率",""),IF(L101="","",IF(NOT(ISNUMBER(L101)),"额定功率应为数值",IF(L101&lt;=0,"额定功率应大于0",""))),IF(M101="","缺少级数",""),IF(M101="","",IF(NOT(ISNUMBER(M101)),"级数应为数值",IF(OR(M101&lt;=0,MOD(M101,1)&lt;&gt;0),"级数应为正整数",""))),IF(N101="","缺少电泵效率",""),IF(N101="","",IF(NOT(ISNUMBER(N101)),"电泵效率应为数值",IF(OR(N101&lt;1,N101&gt;100),"电泵效率应为1～100的百分数本值",""))),IF(U101="","缺少铭牌照片",""),IF(AND(ISTEXT(V101),OR(V101&lt;&gt;TRIM(V101),ISNUMBER(SEARCH("　",V101)))),"填表备注含首尾空格或全角空格",""),IF(AND(F101="小型潜水电泵",G101&lt;&gt;"",COUNTIF(EV_SUB_FORM_SMALL,G101)=0),"设备形式与小型潜水电泵类别不匹配",""),IF(AND(F101="大中型潜水电泵",G101&lt;&gt;"",COUNTIF(EV_SUB_FORM_LARGE,G101)=0),"设备形式与大中型潜水电泵类别不匹配",""),IF(AND(F101="污水污物潜水电泵",G101&lt;&gt;"",COUNTIF(EV_SUB_FORM_WASTE,G101)=0),"设备形式与污水污物潜水电泵类别不匹配",""),IF(AND(F101="井用潜水电泵",G101&lt;&gt;"",COUNTIF(EV_SUB_FORM_WELL,G101)=0),"设备形式与井用潜水电泵类别不匹配",""),IF(AND(F101="混流潜水电泵",G101&lt;&gt;"",COUNTIF(EV_SUB_FORM_MIXED,G101)=0),"设备形式与混流潜水电泵类别不匹配","")),"")</f>
        <v/>
      </c>
    </row>
    <row r="102" ht="42" customHeight="1" s="184">
      <c r="A102" s="224">
        <f>IF(COUNTA(B102,C102,D102,E102,F102,G102,H102,I102,J102,K102,L102,M102,N102,U102,V102)&gt;0,ROW()-3,"")</f>
        <v/>
      </c>
      <c r="B102" s="176" t="n"/>
      <c r="C102" s="176" t="n"/>
      <c r="D102" s="228" t="n"/>
      <c r="E102" s="176" t="n"/>
      <c r="F102" s="218" t="n"/>
      <c r="G102" s="176" t="n"/>
      <c r="H102" s="229" t="n"/>
      <c r="I102" s="229" t="n"/>
      <c r="J102" s="229" t="n"/>
      <c r="K102" s="237" t="n"/>
      <c r="L102" s="229" t="n"/>
      <c r="M102" s="228" t="n"/>
      <c r="N102" s="229" t="n"/>
      <c r="O102" s="236" t="n"/>
      <c r="P102" s="236" t="n"/>
      <c r="Q102" s="227" t="n"/>
      <c r="R102" s="227" t="n"/>
      <c r="S102" s="227" t="n"/>
      <c r="T102" s="81" t="n"/>
      <c r="U102" s="180" t="n"/>
      <c r="V102" s="180" t="n"/>
      <c r="W102" s="99">
        <f>IF(COUNTA(B102,C102,D102,E102,F102,G102,H102,I102,J102,K102,L102,M102,N102,U102,V102)&gt;0,TEXTJOIN("；",TRUE,IF(B102="","缺少设备名称",""),IF(AND(ISTEXT(B102),OR(B102&lt;&gt;TRIM(B102),ISNUMBER(SEARCH("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",C102)))),"型号含首尾空格或全角空格",""),IF(D102="","缺少数量",""),IF(D102="","",IF(NOT(ISNUMBER(D102)),"数量应为数值",IF(OR(D102&lt;=0,MOD(D102,1)&lt;&gt;0),"数量应为正整数",""))),IF(AND(ISTEXT(E102),OR(E102&lt;&gt;TRIM(E102),ISNUMBER(SEARCH("　",E102)))),"安装位置含首尾空格或全角空格",""),IF(F102="","缺少设备类别",""),IF(F102="","",IF(COUNTIF(EV_SUBMERSIBLE_CATEGORY,F102)=0,"设备类别不在标准枚举中","")),IF(AND(ISTEXT(F102),OR(F102&lt;&gt;TRIM(F102),ISNUMBER(SEARCH("　",F102)))),"设备类别含首尾空格或全角空格",""),IF(G102="","缺少设备形式",""),IF(G102="","",IF(COUNTIF(EV_SUB_FORM_ALL,G102)=0,"设备形式不在标准枚举中","")),IF(AND(ISTEXT(G102),OR(G102&lt;&gt;TRIM(G102),ISNUMBER(SEARCH("　",G102)))),"设备形式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工作温度",""),IF(K102="","",IF(NOT(ISNUMBER(K102)),"工作温度应为数值",IF(OR(K102&lt;0,K102&gt;100),"工作温度应为0～100",""))),IF(L102="","缺少额定功率",""),IF(L102="","",IF(NOT(ISNUMBER(L102)),"额定功率应为数值",IF(L102&lt;=0,"额定功率应大于0",""))),IF(M102="","缺少级数",""),IF(M102="","",IF(NOT(ISNUMBER(M102)),"级数应为数值",IF(OR(M102&lt;=0,MOD(M102,1)&lt;&gt;0),"级数应为正整数",""))),IF(N102="","缺少电泵效率",""),IF(N102="","",IF(NOT(ISNUMBER(N102)),"电泵效率应为数值",IF(OR(N102&lt;1,N102&gt;100),"电泵效率应为1～100的百分数本值",""))),IF(U102="","缺少铭牌照片",""),IF(AND(ISTEXT(V102),OR(V102&lt;&gt;TRIM(V102),ISNUMBER(SEARCH("　",V102)))),"填表备注含首尾空格或全角空格",""),IF(AND(F102="小型潜水电泵",G102&lt;&gt;"",COUNTIF(EV_SUB_FORM_SMALL,G102)=0),"设备形式与小型潜水电泵类别不匹配",""),IF(AND(F102="大中型潜水电泵",G102&lt;&gt;"",COUNTIF(EV_SUB_FORM_LARGE,G102)=0),"设备形式与大中型潜水电泵类别不匹配",""),IF(AND(F102="污水污物潜水电泵",G102&lt;&gt;"",COUNTIF(EV_SUB_FORM_WASTE,G102)=0),"设备形式与污水污物潜水电泵类别不匹配",""),IF(AND(F102="井用潜水电泵",G102&lt;&gt;"",COUNTIF(EV_SUB_FORM_WELL,G102)=0),"设备形式与井用潜水电泵类别不匹配",""),IF(AND(F102="混流潜水电泵",G102&lt;&gt;"",COUNTIF(EV_SUB_FORM_MIXED,G102)=0),"设备形式与混流潜水电泵类别不匹配","")),"")</f>
        <v/>
      </c>
    </row>
    <row r="103" ht="42" customHeight="1" s="184">
      <c r="A103" s="224">
        <f>IF(COUNTA(B103,C103,D103,E103,F103,G103,H103,I103,J103,K103,L103,M103,N103,U103,V103)&gt;0,ROW()-3,"")</f>
        <v/>
      </c>
      <c r="B103" s="176" t="n"/>
      <c r="C103" s="176" t="n"/>
      <c r="D103" s="228" t="n"/>
      <c r="E103" s="176" t="n"/>
      <c r="F103" s="218" t="n"/>
      <c r="G103" s="176" t="n"/>
      <c r="H103" s="229" t="n"/>
      <c r="I103" s="229" t="n"/>
      <c r="J103" s="229" t="n"/>
      <c r="K103" s="237" t="n"/>
      <c r="L103" s="229" t="n"/>
      <c r="M103" s="228" t="n"/>
      <c r="N103" s="229" t="n"/>
      <c r="O103" s="236" t="n"/>
      <c r="P103" s="236" t="n"/>
      <c r="Q103" s="227" t="n"/>
      <c r="R103" s="227" t="n"/>
      <c r="S103" s="227" t="n"/>
      <c r="T103" s="81" t="n"/>
      <c r="U103" s="180" t="n"/>
      <c r="V103" s="180" t="n"/>
      <c r="W103" s="99">
        <f>IF(COUNTA(B103,C103,D103,E103,F103,G103,H103,I103,J103,K103,L103,M103,N103,U103,V103)&gt;0,TEXTJOIN("；",TRUE,IF(B103="","缺少设备名称",""),IF(AND(ISTEXT(B103),OR(B103&lt;&gt;TRIM(B103),ISNUMBER(SEARCH("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",C103)))),"型号含首尾空格或全角空格",""),IF(D103="","缺少数量",""),IF(D103="","",IF(NOT(ISNUMBER(D103)),"数量应为数值",IF(OR(D103&lt;=0,MOD(D103,1)&lt;&gt;0),"数量应为正整数",""))),IF(AND(ISTEXT(E103),OR(E103&lt;&gt;TRIM(E103),ISNUMBER(SEARCH("　",E103)))),"安装位置含首尾空格或全角空格",""),IF(F103="","缺少设备类别",""),IF(F103="","",IF(COUNTIF(EV_SUBMERSIBLE_CATEGORY,F103)=0,"设备类别不在标准枚举中","")),IF(AND(ISTEXT(F103),OR(F103&lt;&gt;TRIM(F103),ISNUMBER(SEARCH("　",F103)))),"设备类别含首尾空格或全角空格",""),IF(G103="","缺少设备形式",""),IF(G103="","",IF(COUNTIF(EV_SUB_FORM_ALL,G103)=0,"设备形式不在标准枚举中","")),IF(AND(ISTEXT(G103),OR(G103&lt;&gt;TRIM(G103),ISNUMBER(SEARCH("　",G103)))),"设备形式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工作温度",""),IF(K103="","",IF(NOT(ISNUMBER(K103)),"工作温度应为数值",IF(OR(K103&lt;0,K103&gt;100),"工作温度应为0～100",""))),IF(L103="","缺少额定功率",""),IF(L103="","",IF(NOT(ISNUMBER(L103)),"额定功率应为数值",IF(L103&lt;=0,"额定功率应大于0",""))),IF(M103="","缺少级数",""),IF(M103="","",IF(NOT(ISNUMBER(M103)),"级数应为数值",IF(OR(M103&lt;=0,MOD(M103,1)&lt;&gt;0),"级数应为正整数",""))),IF(N103="","缺少电泵效率",""),IF(N103="","",IF(NOT(ISNUMBER(N103)),"电泵效率应为数值",IF(OR(N103&lt;1,N103&gt;100),"电泵效率应为1～100的百分数本值",""))),IF(U103="","缺少铭牌照片",""),IF(AND(ISTEXT(V103),OR(V103&lt;&gt;TRIM(V103),ISNUMBER(SEARCH("　",V103)))),"填表备注含首尾空格或全角空格",""),IF(AND(F103="小型潜水电泵",G103&lt;&gt;"",COUNTIF(EV_SUB_FORM_SMALL,G103)=0),"设备形式与小型潜水电泵类别不匹配",""),IF(AND(F103="大中型潜水电泵",G103&lt;&gt;"",COUNTIF(EV_SUB_FORM_LARGE,G103)=0),"设备形式与大中型潜水电泵类别不匹配",""),IF(AND(F103="污水污物潜水电泵",G103&lt;&gt;"",COUNTIF(EV_SUB_FORM_WASTE,G103)=0),"设备形式与污水污物潜水电泵类别不匹配",""),IF(AND(F103="井用潜水电泵",G103&lt;&gt;"",COUNTIF(EV_SUB_FORM_WELL,G103)=0),"设备形式与井用潜水电泵类别不匹配",""),IF(AND(F103="混流潜水电泵",G103&lt;&gt;"",COUNTIF(EV_SUB_FORM_MIXED,G103)=0),"设备形式与混流潜水电泵类别不匹配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O2:P2"/>
    <mergeCell ref="A2:E2"/>
    <mergeCell ref="V1:W1"/>
    <mergeCell ref="T1:U1"/>
    <mergeCell ref="A1:S1"/>
    <mergeCell ref="F2:N2"/>
    <mergeCell ref="Q2:S2"/>
  </mergeCells>
  <dataValidations count="10">
    <dataValidation sqref="D4:D103" showDropDown="0" showInputMessage="0" showErrorMessage="1" allowBlank="1" type="whole" errorStyle="stop" operator="greaterThan">
      <formula1>0</formula1>
    </dataValidation>
    <dataValidation sqref="F4:F103" showDropDown="0" showInputMessage="0" showErrorMessage="1" allowBlank="1" type="list" errorStyle="stop">
      <formula1>EV_SUBMERSIBLE_CATEGORY</formula1>
    </dataValidation>
    <dataValidation sqref="G4:G103" showDropDown="0" showInputMessage="0" showErrorMessage="1" allowBlank="1" type="list" errorStyle="stop">
      <formula1>INDIRECT(IF(F4="小型潜水电泵","EV_SUB_FORM_SMALL",IF(F4="大中型潜水电泵","EV_SUB_FORM_LARGE",IF(F4="污水污物潜水电泵","EV_SUB_FORM_WASTE",IF(F4="井用潜水电泵","EV_SUB_FORM_WELL","EV_SUB_FORM_MIXED")))))</formula1>
    </dataValidation>
    <dataValidation sqref="H4:H103" showDropDown="0" showInputMessage="0" showErrorMessage="1" allowBlank="1" type="decimal" errorStyle="stop" operator="greaterThan">
      <formula1>0</formula1>
    </dataValidation>
    <dataValidation sqref="I4:I103" showDropDown="0" showInputMessage="0" showErrorMessage="1" allowBlank="1" type="decimal" errorStyle="stop" operator="greaterThan">
      <formula1>0</formula1>
    </dataValidation>
    <dataValidation sqref="J4:J103" showDropDown="0" showInputMessage="0" showErrorMessage="1" allowBlank="1" type="decimal" errorStyle="stop" operator="greaterThan">
      <formula1>0</formula1>
    </dataValidation>
    <dataValidation sqref="K4:K103" showDropDown="0" showInputMessage="0" showErrorMessage="1" allowBlank="1" type="decimal" errorStyle="stop" operator="between">
      <formula1>0</formula1>
      <formula2>100</formula2>
    </dataValidation>
    <dataValidation sqref="L4:L103" showDropDown="0" showInputMessage="0" showErrorMessage="1" allowBlank="1" type="decimal" errorStyle="stop" operator="greaterThan">
      <formula1>0</formula1>
    </dataValidation>
    <dataValidation sqref="M4:M103" showDropDown="0" showInputMessage="0" showErrorMessage="1" allowBlank="1" type="whole" errorStyle="stop" operator="greaterThan">
      <formula1>0</formula1>
    </dataValidation>
    <dataValidation sqref="N4:N103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5" customWidth="1" style="184" min="17" max="17"/>
    <col width="24" customWidth="1" style="184" min="18" max="18"/>
    <col width="42" customWidth="1" style="184" min="19" max="19"/>
  </cols>
  <sheetData>
    <row r="1" ht="32" customHeight="1" s="184">
      <c r="A1" s="12" t="inlineStr">
        <is>
          <t>工业锅炉 - 《工业锅炉能效限定值及能效等级》（GB 24500-2020）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10" t="inlineStr">
        <is>
          <t>数量合计</t>
        </is>
      </c>
      <c r="Q1" s="220" t="n"/>
      <c r="R1" s="11">
        <f>SUM(TblBoiler[数量])</f>
        <v/>
      </c>
      <c r="S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3" t="n"/>
      <c r="M2" s="57" t="inlineStr">
        <is>
          <t>标准查询结果</t>
        </is>
      </c>
      <c r="N2" s="222" t="n"/>
      <c r="O2" s="223" t="n"/>
      <c r="P2" s="70" t="inlineStr">
        <is>
          <t>结论</t>
        </is>
      </c>
      <c r="Q2" s="82" t="inlineStr">
        <is>
          <t>附件备注</t>
        </is>
      </c>
      <c r="R2" s="222" t="n"/>
      <c r="S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能源/燃料品种</t>
        </is>
      </c>
      <c r="H3" s="55" t="inlineStr">
        <is>
          <t>蒸发量
(t/h)</t>
        </is>
      </c>
      <c r="I3" s="55" t="inlineStr">
        <is>
          <t>热功率
(MW)</t>
        </is>
      </c>
      <c r="J3" s="55" t="inlineStr">
        <is>
          <t>收到基低位发热量
(kJ/kg或kJ/m³)</t>
        </is>
      </c>
      <c r="K3" s="55" t="inlineStr">
        <is>
          <t>干燥无灰基挥发分
(%)</t>
        </is>
      </c>
      <c r="L3" s="55" t="inlineStr">
        <is>
          <t>设计热效率
(%)</t>
        </is>
      </c>
      <c r="M3" s="63" t="inlineStr">
        <is>
          <t>1级热效率
(%)</t>
        </is>
      </c>
      <c r="N3" s="63" t="inlineStr">
        <is>
          <t>2级热效率
(%)</t>
        </is>
      </c>
      <c r="O3" s="63" t="inlineStr">
        <is>
          <t>3级热效率
(%)</t>
        </is>
      </c>
      <c r="P3" s="76" t="inlineStr">
        <is>
          <t>能效等级</t>
        </is>
      </c>
      <c r="Q3" s="88" t="inlineStr">
        <is>
          <t>铭牌照片</t>
        </is>
      </c>
      <c r="R3" s="88" t="inlineStr">
        <is>
          <t>填表备注</t>
        </is>
      </c>
      <c r="S3" s="88" t="inlineStr">
        <is>
          <t>自动备注</t>
        </is>
      </c>
    </row>
    <row r="4" ht="42" customHeight="1" s="184">
      <c r="A4" s="224">
        <f>IF(COUNTA(B4,C4,D4,E4,F4,G4,H4,I4,J4,K4,L4,Q4,R4)&gt;0,ROW()-3,"")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7" t="n"/>
      <c r="N4" s="227" t="n"/>
      <c r="O4" s="227" t="n"/>
      <c r="P4" s="81" t="n"/>
      <c r="Q4" s="180" t="n"/>
      <c r="R4" s="180" t="n"/>
      <c r="S4" s="99">
        <f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f>
        <v/>
      </c>
    </row>
    <row r="5" ht="42" customHeight="1" s="184">
      <c r="A5" s="224">
        <f>IF(COUNTA(B5,C5,D5,E5,F5,G5,H5,I5,J5,K5,L5,Q5,R5)&gt;0,ROW()-3,"")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7" t="n"/>
      <c r="N5" s="227" t="n"/>
      <c r="O5" s="227" t="n"/>
      <c r="P5" s="81" t="n"/>
      <c r="Q5" s="180" t="n"/>
      <c r="R5" s="180" t="n"/>
      <c r="S5" s="99">
        <f>IF(COUNTA(B5,C5,D5,E5,F5,G5,H5,I5,J5,K5,L5,Q5,R5)&gt;0,TEXTJOIN("；",TRUE,IF(B5="","缺少设备名称",""),IF(AND(ISTEXT(B5),OR(B5&lt;&gt;TRIM(B5),ISNUMBER(SEARCH("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",E5)))),"安装位置含首尾空格或全角空格",""),IF(F5="","缺少设备类别",""),IF(F5="","",IF(COUNTIF(EV_BOILER_CATEGORY,F5)=0,"设备类别不在标准枚举中","")),IF(AND(ISTEXT(F5),OR(F5&lt;&gt;TRIM(F5),ISNUMBER(SEARCH("　",F5)))),"设备类别含首尾空格或全角空格",""),IF(G5="","",IF(COUNTIF(EV_FUEL,G5)=0,"能源/燃料品种不在标准枚举中","")),IF(AND(ISTEXT(G5),OR(G5&lt;&gt;TRIM(G5),ISNUMBER(SEARCH("　",G5)))),"能源/燃料品种含首尾空格或全角空格",""),IF(H5="","",IF(NOT(ISNUMBER(H5)),"蒸发量应为数值",IF(H5&lt;=0,"蒸发量应大于0",""))),IF(I5="","",IF(NOT(ISNUMBER(I5)),"热功率应为数值",IF(I5&lt;=0,"热功率应大于0",""))),IF(J5="","缺少收到基低位发热量",""),IF(J5="","",IF(NOT(ISNUMBER(J5)),"收到基低位发热量应为数值",IF(J5&lt;=0,"收到基低位发热量应大于0",""))),IF(K5="","",IF(NOT(ISNUMBER(K5)),"干燥无灰基挥发分应为数值",IF(OR(K5&lt;0,K5&gt;100),"干燥无灰基挥发分应为0～100",""))),IF(L5="","缺少设计热效率",""),IF(L5="","",IF(NOT(ISNUMBER(L5)),"设计热效率应为数值",IF(OR(L5&lt;1,L5&gt;IF(F5="室燃燃烧锅炉（燃气冷凝）",110,100)),"设计热效率超出允许范围",""))),IF(Q5="","缺少铭牌照片",""),IF(AND(ISTEXT(R5),OR(R5&lt;&gt;TRIM(R5),ISNUMBER(SEARCH("　",R5)))),"填表备注含首尾空格或全角空格",""),IF(AND(H5="",I5=""),"蒸发量和热功率至少填写一项",""),IF(AND(OR(G5="烟煤",G5="贫煤",G5="无烟煤",G5="褐煤",G5="煤（室燃）"),K5=""),"燃煤锅炉缺少干燥无灰基挥发分",""),IF(AND(F5="电锅炉",G5&lt;&gt;"",G5&lt;&gt;"电力",G5&lt;&gt;"其他（请备注说明）"),"电锅炉能源/燃料品种应为电力或其他","")),"")</f>
        <v/>
      </c>
    </row>
    <row r="6" ht="42" customHeight="1" s="184">
      <c r="A6" s="224">
        <f>IF(COUNTA(B6,C6,D6,E6,F6,G6,H6,I6,J6,K6,L6,Q6,R6)&gt;0,ROW()-3,"")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7" t="n"/>
      <c r="N6" s="227" t="n"/>
      <c r="O6" s="227" t="n"/>
      <c r="P6" s="81" t="n"/>
      <c r="Q6" s="180" t="n"/>
      <c r="R6" s="180" t="n"/>
      <c r="S6" s="99">
        <f>IF(COUNTA(B6,C6,D6,E6,F6,G6,H6,I6,J6,K6,L6,Q6,R6)&gt;0,TEXTJOIN("；",TRUE,IF(B6="","缺少设备名称",""),IF(AND(ISTEXT(B6),OR(B6&lt;&gt;TRIM(B6),ISNUMBER(SEARCH("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",E6)))),"安装位置含首尾空格或全角空格",""),IF(F6="","缺少设备类别",""),IF(F6="","",IF(COUNTIF(EV_BOILER_CATEGORY,F6)=0,"设备类别不在标准枚举中","")),IF(AND(ISTEXT(F6),OR(F6&lt;&gt;TRIM(F6),ISNUMBER(SEARCH("　",F6)))),"设备类别含首尾空格或全角空格",""),IF(G6="","",IF(COUNTIF(EV_FUEL,G6)=0,"能源/燃料品种不在标准枚举中","")),IF(AND(ISTEXT(G6),OR(G6&lt;&gt;TRIM(G6),ISNUMBER(SEARCH("　",G6)))),"能源/燃料品种含首尾空格或全角空格",""),IF(H6="","",IF(NOT(ISNUMBER(H6)),"蒸发量应为数值",IF(H6&lt;=0,"蒸发量应大于0",""))),IF(I6="","",IF(NOT(ISNUMBER(I6)),"热功率应为数值",IF(I6&lt;=0,"热功率应大于0",""))),IF(J6="","缺少收到基低位发热量",""),IF(J6="","",IF(NOT(ISNUMBER(J6)),"收到基低位发热量应为数值",IF(J6&lt;=0,"收到基低位发热量应大于0",""))),IF(K6="","",IF(NOT(ISNUMBER(K6)),"干燥无灰基挥发分应为数值",IF(OR(K6&lt;0,K6&gt;100),"干燥无灰基挥发分应为0～100",""))),IF(L6="","缺少设计热效率",""),IF(L6="","",IF(NOT(ISNUMBER(L6)),"设计热效率应为数值",IF(OR(L6&lt;1,L6&gt;IF(F6="室燃燃烧锅炉（燃气冷凝）",110,100)),"设计热效率超出允许范围",""))),IF(Q6="","缺少铭牌照片",""),IF(AND(ISTEXT(R6),OR(R6&lt;&gt;TRIM(R6),ISNUMBER(SEARCH("　",R6)))),"填表备注含首尾空格或全角空格",""),IF(AND(H6="",I6=""),"蒸发量和热功率至少填写一项",""),IF(AND(OR(G6="烟煤",G6="贫煤",G6="无烟煤",G6="褐煤",G6="煤（室燃）"),K6=""),"燃煤锅炉缺少干燥无灰基挥发分",""),IF(AND(F6="电锅炉",G6&lt;&gt;"",G6&lt;&gt;"电力",G6&lt;&gt;"其他（请备注说明）"),"电锅炉能源/燃料品种应为电力或其他","")),"")</f>
        <v/>
      </c>
    </row>
    <row r="7" ht="42" customHeight="1" s="184">
      <c r="A7" s="224">
        <f>IF(COUNTA(B7,C7,D7,E7,F7,G7,H7,I7,J7,K7,L7,Q7,R7)&gt;0,ROW()-3,"")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7" t="n"/>
      <c r="N7" s="227" t="n"/>
      <c r="O7" s="227" t="n"/>
      <c r="P7" s="81" t="n"/>
      <c r="Q7" s="180" t="n"/>
      <c r="R7" s="180" t="n"/>
      <c r="S7" s="99">
        <f>IF(COUNTA(B7,C7,D7,E7,F7,G7,H7,I7,J7,K7,L7,Q7,R7)&gt;0,TEXTJOIN("；",TRUE,IF(B7="","缺少设备名称",""),IF(AND(ISTEXT(B7),OR(B7&lt;&gt;TRIM(B7),ISNUMBER(SEARCH("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",E7)))),"安装位置含首尾空格或全角空格",""),IF(F7="","缺少设备类别",""),IF(F7="","",IF(COUNTIF(EV_BOILER_CATEGORY,F7)=0,"设备类别不在标准枚举中","")),IF(AND(ISTEXT(F7),OR(F7&lt;&gt;TRIM(F7),ISNUMBER(SEARCH("　",F7)))),"设备类别含首尾空格或全角空格",""),IF(G7="","",IF(COUNTIF(EV_FUEL,G7)=0,"能源/燃料品种不在标准枚举中","")),IF(AND(ISTEXT(G7),OR(G7&lt;&gt;TRIM(G7),ISNUMBER(SEARCH("　",G7)))),"能源/燃料品种含首尾空格或全角空格",""),IF(H7="","",IF(NOT(ISNUMBER(H7)),"蒸发量应为数值",IF(H7&lt;=0,"蒸发量应大于0",""))),IF(I7="","",IF(NOT(ISNUMBER(I7)),"热功率应为数值",IF(I7&lt;=0,"热功率应大于0",""))),IF(J7="","缺少收到基低位发热量",""),IF(J7="","",IF(NOT(ISNUMBER(J7)),"收到基低位发热量应为数值",IF(J7&lt;=0,"收到基低位发热量应大于0",""))),IF(K7="","",IF(NOT(ISNUMBER(K7)),"干燥无灰基挥发分应为数值",IF(OR(K7&lt;0,K7&gt;100),"干燥无灰基挥发分应为0～100",""))),IF(L7="","缺少设计热效率",""),IF(L7="","",IF(NOT(ISNUMBER(L7)),"设计热效率应为数值",IF(OR(L7&lt;1,L7&gt;IF(F7="室燃燃烧锅炉（燃气冷凝）",110,100)),"设计热效率超出允许范围",""))),IF(Q7="","缺少铭牌照片",""),IF(AND(ISTEXT(R7),OR(R7&lt;&gt;TRIM(R7),ISNUMBER(SEARCH("　",R7)))),"填表备注含首尾空格或全角空格",""),IF(AND(H7="",I7=""),"蒸发量和热功率至少填写一项",""),IF(AND(OR(G7="烟煤",G7="贫煤",G7="无烟煤",G7="褐煤",G7="煤（室燃）"),K7=""),"燃煤锅炉缺少干燥无灰基挥发分",""),IF(AND(F7="电锅炉",G7&lt;&gt;"",G7&lt;&gt;"电力",G7&lt;&gt;"其他（请备注说明）"),"电锅炉能源/燃料品种应为电力或其他","")),"")</f>
        <v/>
      </c>
    </row>
    <row r="8" ht="42" customHeight="1" s="184">
      <c r="A8" s="224">
        <f>IF(COUNTA(B8,C8,D8,E8,F8,G8,H8,I8,J8,K8,L8,Q8,R8)&gt;0,ROW()-3,"")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7" t="n"/>
      <c r="N8" s="227" t="n"/>
      <c r="O8" s="227" t="n"/>
      <c r="P8" s="81" t="n"/>
      <c r="Q8" s="180" t="n"/>
      <c r="R8" s="180" t="n"/>
      <c r="S8" s="99">
        <f>IF(COUNTA(B8,C8,D8,E8,F8,G8,H8,I8,J8,K8,L8,Q8,R8)&gt;0,TEXTJOIN("；",TRUE,IF(B8="","缺少设备名称",""),IF(AND(ISTEXT(B8),OR(B8&lt;&gt;TRIM(B8),ISNUMBER(SEARCH("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",E8)))),"安装位置含首尾空格或全角空格",""),IF(F8="","缺少设备类别",""),IF(F8="","",IF(COUNTIF(EV_BOILER_CATEGORY,F8)=0,"设备类别不在标准枚举中","")),IF(AND(ISTEXT(F8),OR(F8&lt;&gt;TRIM(F8),ISNUMBER(SEARCH("　",F8)))),"设备类别含首尾空格或全角空格",""),IF(G8="","",IF(COUNTIF(EV_FUEL,G8)=0,"能源/燃料品种不在标准枚举中","")),IF(AND(ISTEXT(G8),OR(G8&lt;&gt;TRIM(G8),ISNUMBER(SEARCH("　",G8)))),"能源/燃料品种含首尾空格或全角空格",""),IF(H8="","",IF(NOT(ISNUMBER(H8)),"蒸发量应为数值",IF(H8&lt;=0,"蒸发量应大于0",""))),IF(I8="","",IF(NOT(ISNUMBER(I8)),"热功率应为数值",IF(I8&lt;=0,"热功率应大于0",""))),IF(J8="","缺少收到基低位发热量",""),IF(J8="","",IF(NOT(ISNUMBER(J8)),"收到基低位发热量应为数值",IF(J8&lt;=0,"收到基低位发热量应大于0",""))),IF(K8="","",IF(NOT(ISNUMBER(K8)),"干燥无灰基挥发分应为数值",IF(OR(K8&lt;0,K8&gt;100),"干燥无灰基挥发分应为0～100",""))),IF(L8="","缺少设计热效率",""),IF(L8="","",IF(NOT(ISNUMBER(L8)),"设计热效率应为数值",IF(OR(L8&lt;1,L8&gt;IF(F8="室燃燃烧锅炉（燃气冷凝）",110,100)),"设计热效率超出允许范围",""))),IF(Q8="","缺少铭牌照片",""),IF(AND(ISTEXT(R8),OR(R8&lt;&gt;TRIM(R8),ISNUMBER(SEARCH("　",R8)))),"填表备注含首尾空格或全角空格",""),IF(AND(H8="",I8=""),"蒸发量和热功率至少填写一项",""),IF(AND(OR(G8="烟煤",G8="贫煤",G8="无烟煤",G8="褐煤",G8="煤（室燃）"),K8=""),"燃煤锅炉缺少干燥无灰基挥发分",""),IF(AND(F8="电锅炉",G8&lt;&gt;"",G8&lt;&gt;"电力",G8&lt;&gt;"其他（请备注说明）"),"电锅炉能源/燃料品种应为电力或其他","")),"")</f>
        <v/>
      </c>
    </row>
    <row r="9" ht="42" customHeight="1" s="184">
      <c r="A9" s="224">
        <f>IF(COUNTA(B9,C9,D9,E9,F9,G9,H9,I9,J9,K9,L9,Q9,R9)&gt;0,ROW()-3,"")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7" t="n"/>
      <c r="N9" s="227" t="n"/>
      <c r="O9" s="227" t="n"/>
      <c r="P9" s="81" t="n"/>
      <c r="Q9" s="180" t="n"/>
      <c r="R9" s="180" t="n"/>
      <c r="S9" s="99">
        <f>IF(COUNTA(B9,C9,D9,E9,F9,G9,H9,I9,J9,K9,L9,Q9,R9)&gt;0,TEXTJOIN("；",TRUE,IF(B9="","缺少设备名称",""),IF(AND(ISTEXT(B9),OR(B9&lt;&gt;TRIM(B9),ISNUMBER(SEARCH("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",E9)))),"安装位置含首尾空格或全角空格",""),IF(F9="","缺少设备类别",""),IF(F9="","",IF(COUNTIF(EV_BOILER_CATEGORY,F9)=0,"设备类别不在标准枚举中","")),IF(AND(ISTEXT(F9),OR(F9&lt;&gt;TRIM(F9),ISNUMBER(SEARCH("　",F9)))),"设备类别含首尾空格或全角空格",""),IF(G9="","",IF(COUNTIF(EV_FUEL,G9)=0,"能源/燃料品种不在标准枚举中","")),IF(AND(ISTEXT(G9),OR(G9&lt;&gt;TRIM(G9),ISNUMBER(SEARCH("　",G9)))),"能源/燃料品种含首尾空格或全角空格",""),IF(H9="","",IF(NOT(ISNUMBER(H9)),"蒸发量应为数值",IF(H9&lt;=0,"蒸发量应大于0",""))),IF(I9="","",IF(NOT(ISNUMBER(I9)),"热功率应为数值",IF(I9&lt;=0,"热功率应大于0",""))),IF(J9="","缺少收到基低位发热量",""),IF(J9="","",IF(NOT(ISNUMBER(J9)),"收到基低位发热量应为数值",IF(J9&lt;=0,"收到基低位发热量应大于0",""))),IF(K9="","",IF(NOT(ISNUMBER(K9)),"干燥无灰基挥发分应为数值",IF(OR(K9&lt;0,K9&gt;100),"干燥无灰基挥发分应为0～100",""))),IF(L9="","缺少设计热效率",""),IF(L9="","",IF(NOT(ISNUMBER(L9)),"设计热效率应为数值",IF(OR(L9&lt;1,L9&gt;IF(F9="室燃燃烧锅炉（燃气冷凝）",110,100)),"设计热效率超出允许范围",""))),IF(Q9="","缺少铭牌照片",""),IF(AND(ISTEXT(R9),OR(R9&lt;&gt;TRIM(R9),ISNUMBER(SEARCH("　",R9)))),"填表备注含首尾空格或全角空格",""),IF(AND(H9="",I9=""),"蒸发量和热功率至少填写一项",""),IF(AND(OR(G9="烟煤",G9="贫煤",G9="无烟煤",G9="褐煤",G9="煤（室燃）"),K9=""),"燃煤锅炉缺少干燥无灰基挥发分",""),IF(AND(F9="电锅炉",G9&lt;&gt;"",G9&lt;&gt;"电力",G9&lt;&gt;"其他（请备注说明）"),"电锅炉能源/燃料品种应为电力或其他","")),"")</f>
        <v/>
      </c>
    </row>
    <row r="10" ht="42" customHeight="1" s="184">
      <c r="A10" s="224">
        <f>IF(COUNTA(B10,C10,D10,E10,F10,G10,H10,I10,J10,K10,L10,Q10,R10)&gt;0,ROW()-3,"")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7" t="n"/>
      <c r="N10" s="227" t="n"/>
      <c r="O10" s="227" t="n"/>
      <c r="P10" s="81" t="n"/>
      <c r="Q10" s="180" t="n"/>
      <c r="R10" s="180" t="n"/>
      <c r="S10" s="99">
        <f>IF(COUNTA(B10,C10,D10,E10,F10,G10,H10,I10,J10,K10,L10,Q10,R10)&gt;0,TEXTJOIN("；",TRUE,IF(B10="","缺少设备名称",""),IF(AND(ISTEXT(B10),OR(B10&lt;&gt;TRIM(B10),ISNUMBER(SEARCH("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",E10)))),"安装位置含首尾空格或全角空格",""),IF(F10="","缺少设备类别",""),IF(F10="","",IF(COUNTIF(EV_BOILER_CATEGORY,F10)=0,"设备类别不在标准枚举中","")),IF(AND(ISTEXT(F10),OR(F10&lt;&gt;TRIM(F10),ISNUMBER(SEARCH("　",F10)))),"设备类别含首尾空格或全角空格",""),IF(G10="","",IF(COUNTIF(EV_FUEL,G10)=0,"能源/燃料品种不在标准枚举中","")),IF(AND(ISTEXT(G10),OR(G10&lt;&gt;TRIM(G10),ISNUMBER(SEARCH("　",G10)))),"能源/燃料品种含首尾空格或全角空格",""),IF(H10="","",IF(NOT(ISNUMBER(H10)),"蒸发量应为数值",IF(H10&lt;=0,"蒸发量应大于0",""))),IF(I10="","",IF(NOT(ISNUMBER(I10)),"热功率应为数值",IF(I10&lt;=0,"热功率应大于0",""))),IF(J10="","缺少收到基低位发热量",""),IF(J10="","",IF(NOT(ISNUMBER(J10)),"收到基低位发热量应为数值",IF(J10&lt;=0,"收到基低位发热量应大于0",""))),IF(K10="","",IF(NOT(ISNUMBER(K10)),"干燥无灰基挥发分应为数值",IF(OR(K10&lt;0,K10&gt;100),"干燥无灰基挥发分应为0～100",""))),IF(L10="","缺少设计热效率",""),IF(L10="","",IF(NOT(ISNUMBER(L10)),"设计热效率应为数值",IF(OR(L10&lt;1,L10&gt;IF(F10="室燃燃烧锅炉（燃气冷凝）",110,100)),"设计热效率超出允许范围",""))),IF(Q10="","缺少铭牌照片",""),IF(AND(ISTEXT(R10),OR(R10&lt;&gt;TRIM(R10),ISNUMBER(SEARCH("　",R10)))),"填表备注含首尾空格或全角空格",""),IF(AND(H10="",I10=""),"蒸发量和热功率至少填写一项",""),IF(AND(OR(G10="烟煤",G10="贫煤",G10="无烟煤",G10="褐煤",G10="煤（室燃）"),K10=""),"燃煤锅炉缺少干燥无灰基挥发分",""),IF(AND(F10="电锅炉",G10&lt;&gt;"",G10&lt;&gt;"电力",G10&lt;&gt;"其他（请备注说明）"),"电锅炉能源/燃料品种应为电力或其他","")),"")</f>
        <v/>
      </c>
    </row>
    <row r="11" ht="42" customHeight="1" s="184">
      <c r="A11" s="224">
        <f>IF(COUNTA(B11,C11,D11,E11,F11,G11,H11,I11,J11,K11,L11,Q11,R11)&gt;0,ROW()-3,"")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7" t="n"/>
      <c r="N11" s="227" t="n"/>
      <c r="O11" s="227" t="n"/>
      <c r="P11" s="81" t="n"/>
      <c r="Q11" s="180" t="n"/>
      <c r="R11" s="180" t="n"/>
      <c r="S11" s="99">
        <f>IF(COUNTA(B11,C11,D11,E11,F11,G11,H11,I11,J11,K11,L11,Q11,R11)&gt;0,TEXTJOIN("；",TRUE,IF(B11="","缺少设备名称",""),IF(AND(ISTEXT(B11),OR(B11&lt;&gt;TRIM(B11),ISNUMBER(SEARCH("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",E11)))),"安装位置含首尾空格或全角空格",""),IF(F11="","缺少设备类别",""),IF(F11="","",IF(COUNTIF(EV_BOILER_CATEGORY,F11)=0,"设备类别不在标准枚举中","")),IF(AND(ISTEXT(F11),OR(F11&lt;&gt;TRIM(F11),ISNUMBER(SEARCH("　",F11)))),"设备类别含首尾空格或全角空格",""),IF(G11="","",IF(COUNTIF(EV_FUEL,G11)=0,"能源/燃料品种不在标准枚举中","")),IF(AND(ISTEXT(G11),OR(G11&lt;&gt;TRIM(G11),ISNUMBER(SEARCH("　",G11)))),"能源/燃料品种含首尾空格或全角空格",""),IF(H11="","",IF(NOT(ISNUMBER(H11)),"蒸发量应为数值",IF(H11&lt;=0,"蒸发量应大于0",""))),IF(I11="","",IF(NOT(ISNUMBER(I11)),"热功率应为数值",IF(I11&lt;=0,"热功率应大于0",""))),IF(J11="","缺少收到基低位发热量",""),IF(J11="","",IF(NOT(ISNUMBER(J11)),"收到基低位发热量应为数值",IF(J11&lt;=0,"收到基低位发热量应大于0",""))),IF(K11="","",IF(NOT(ISNUMBER(K11)),"干燥无灰基挥发分应为数值",IF(OR(K11&lt;0,K11&gt;100),"干燥无灰基挥发分应为0～100",""))),IF(L11="","缺少设计热效率",""),IF(L11="","",IF(NOT(ISNUMBER(L11)),"设计热效率应为数值",IF(OR(L11&lt;1,L11&gt;IF(F11="室燃燃烧锅炉（燃气冷凝）",110,100)),"设计热效率超出允许范围",""))),IF(Q11="","缺少铭牌照片",""),IF(AND(ISTEXT(R11),OR(R11&lt;&gt;TRIM(R11),ISNUMBER(SEARCH("　",R11)))),"填表备注含首尾空格或全角空格",""),IF(AND(H11="",I11=""),"蒸发量和热功率至少填写一项",""),IF(AND(OR(G11="烟煤",G11="贫煤",G11="无烟煤",G11="褐煤",G11="煤（室燃）"),K11=""),"燃煤锅炉缺少干燥无灰基挥发分",""),IF(AND(F11="电锅炉",G11&lt;&gt;"",G11&lt;&gt;"电力",G11&lt;&gt;"其他（请备注说明）"),"电锅炉能源/燃料品种应为电力或其他","")),"")</f>
        <v/>
      </c>
    </row>
    <row r="12" ht="42" customHeight="1" s="184">
      <c r="A12" s="224">
        <f>IF(COUNTA(B12,C12,D12,E12,F12,G12,H12,I12,J12,K12,L12,Q12,R12)&gt;0,ROW()-3,"")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7" t="n"/>
      <c r="N12" s="227" t="n"/>
      <c r="O12" s="227" t="n"/>
      <c r="P12" s="81" t="n"/>
      <c r="Q12" s="180" t="n"/>
      <c r="R12" s="180" t="n"/>
      <c r="S12" s="99">
        <f>IF(COUNTA(B12,C12,D12,E12,F12,G12,H12,I12,J12,K12,L12,Q12,R12)&gt;0,TEXTJOIN("；",TRUE,IF(B12="","缺少设备名称",""),IF(AND(ISTEXT(B12),OR(B12&lt;&gt;TRIM(B12),ISNUMBER(SEARCH("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",E12)))),"安装位置含首尾空格或全角空格",""),IF(F12="","缺少设备类别",""),IF(F12="","",IF(COUNTIF(EV_BOILER_CATEGORY,F12)=0,"设备类别不在标准枚举中","")),IF(AND(ISTEXT(F12),OR(F12&lt;&gt;TRIM(F12),ISNUMBER(SEARCH("　",F12)))),"设备类别含首尾空格或全角空格",""),IF(G12="","",IF(COUNTIF(EV_FUEL,G12)=0,"能源/燃料品种不在标准枚举中","")),IF(AND(ISTEXT(G12),OR(G12&lt;&gt;TRIM(G12),ISNUMBER(SEARCH("　",G12)))),"能源/燃料品种含首尾空格或全角空格",""),IF(H12="","",IF(NOT(ISNUMBER(H12)),"蒸发量应为数值",IF(H12&lt;=0,"蒸发量应大于0",""))),IF(I12="","",IF(NOT(ISNUMBER(I12)),"热功率应为数值",IF(I12&lt;=0,"热功率应大于0",""))),IF(J12="","缺少收到基低位发热量",""),IF(J12="","",IF(NOT(ISNUMBER(J12)),"收到基低位发热量应为数值",IF(J12&lt;=0,"收到基低位发热量应大于0",""))),IF(K12="","",IF(NOT(ISNUMBER(K12)),"干燥无灰基挥发分应为数值",IF(OR(K12&lt;0,K12&gt;100),"干燥无灰基挥发分应为0～100",""))),IF(L12="","缺少设计热效率",""),IF(L12="","",IF(NOT(ISNUMBER(L12)),"设计热效率应为数值",IF(OR(L12&lt;1,L12&gt;IF(F12="室燃燃烧锅炉（燃气冷凝）",110,100)),"设计热效率超出允许范围",""))),IF(Q12="","缺少铭牌照片",""),IF(AND(ISTEXT(R12),OR(R12&lt;&gt;TRIM(R12),ISNUMBER(SEARCH("　",R12)))),"填表备注含首尾空格或全角空格",""),IF(AND(H12="",I12=""),"蒸发量和热功率至少填写一项",""),IF(AND(OR(G12="烟煤",G12="贫煤",G12="无烟煤",G12="褐煤",G12="煤（室燃）"),K12=""),"燃煤锅炉缺少干燥无灰基挥发分",""),IF(AND(F12="电锅炉",G12&lt;&gt;"",G12&lt;&gt;"电力",G12&lt;&gt;"其他（请备注说明）"),"电锅炉能源/燃料品种应为电力或其他","")),"")</f>
        <v/>
      </c>
    </row>
    <row r="13" ht="42" customHeight="1" s="184">
      <c r="A13" s="224">
        <f>IF(COUNTA(B13,C13,D13,E13,F13,G13,H13,I13,J13,K13,L13,Q13,R13)&gt;0,ROW()-3,"")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7" t="n"/>
      <c r="N13" s="227" t="n"/>
      <c r="O13" s="227" t="n"/>
      <c r="P13" s="81" t="n"/>
      <c r="Q13" s="180" t="n"/>
      <c r="R13" s="180" t="n"/>
      <c r="S13" s="99">
        <f>IF(COUNTA(B13,C13,D13,E13,F13,G13,H13,I13,J13,K13,L13,Q13,R13)&gt;0,TEXTJOIN("；",TRUE,IF(B13="","缺少设备名称",""),IF(AND(ISTEXT(B13),OR(B13&lt;&gt;TRIM(B13),ISNUMBER(SEARCH("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",E13)))),"安装位置含首尾空格或全角空格",""),IF(F13="","缺少设备类别",""),IF(F13="","",IF(COUNTIF(EV_BOILER_CATEGORY,F13)=0,"设备类别不在标准枚举中","")),IF(AND(ISTEXT(F13),OR(F13&lt;&gt;TRIM(F13),ISNUMBER(SEARCH("　",F13)))),"设备类别含首尾空格或全角空格",""),IF(G13="","",IF(COUNTIF(EV_FUEL,G13)=0,"能源/燃料品种不在标准枚举中","")),IF(AND(ISTEXT(G13),OR(G13&lt;&gt;TRIM(G13),ISNUMBER(SEARCH("　",G13)))),"能源/燃料品种含首尾空格或全角空格",""),IF(H13="","",IF(NOT(ISNUMBER(H13)),"蒸发量应为数值",IF(H13&lt;=0,"蒸发量应大于0",""))),IF(I13="","",IF(NOT(ISNUMBER(I13)),"热功率应为数值",IF(I13&lt;=0,"热功率应大于0",""))),IF(J13="","缺少收到基低位发热量",""),IF(J13="","",IF(NOT(ISNUMBER(J13)),"收到基低位发热量应为数值",IF(J13&lt;=0,"收到基低位发热量应大于0",""))),IF(K13="","",IF(NOT(ISNUMBER(K13)),"干燥无灰基挥发分应为数值",IF(OR(K13&lt;0,K13&gt;100),"干燥无灰基挥发分应为0～100",""))),IF(L13="","缺少设计热效率",""),IF(L13="","",IF(NOT(ISNUMBER(L13)),"设计热效率应为数值",IF(OR(L13&lt;1,L13&gt;IF(F13="室燃燃烧锅炉（燃气冷凝）",110,100)),"设计热效率超出允许范围",""))),IF(Q13="","缺少铭牌照片",""),IF(AND(ISTEXT(R13),OR(R13&lt;&gt;TRIM(R13),ISNUMBER(SEARCH("　",R13)))),"填表备注含首尾空格或全角空格",""),IF(AND(H13="",I13=""),"蒸发量和热功率至少填写一项",""),IF(AND(OR(G13="烟煤",G13="贫煤",G13="无烟煤",G13="褐煤",G13="煤（室燃）"),K13=""),"燃煤锅炉缺少干燥无灰基挥发分",""),IF(AND(F13="电锅炉",G13&lt;&gt;"",G13&lt;&gt;"电力",G13&lt;&gt;"其他（请备注说明）"),"电锅炉能源/燃料品种应为电力或其他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E2"/>
    <mergeCell ref="A1:O1"/>
    <mergeCell ref="P1:Q1"/>
    <mergeCell ref="F2:L2"/>
    <mergeCell ref="M2:O2"/>
    <mergeCell ref="R1:S1"/>
    <mergeCell ref="Q2:S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EV_BOILER_CATEGORY</formula1>
    </dataValidation>
    <dataValidation sqref="G4:G13" showDropDown="0" showInputMessage="0" showErrorMessage="1" allowBlank="1" type="list" errorStyle="stop">
      <formula1>EV_FUEL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between">
      <formula1>0</formula1>
      <formula2>100</formula2>
    </dataValidation>
    <dataValidation sqref="L4:L13" showDropDown="0" showInputMessage="0" showErrorMessage="1" allowBlank="1" type="custom" errorStyle="stop">
      <formula1>OR(L4="",AND(ISNUMBER(L4),L4&gt;=1,L4&lt;=IF(F4="室燃燃烧锅炉（燃气冷凝）",110,100)))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4" customWidth="1" style="184" min="19" max="19"/>
    <col width="14" customWidth="1" style="184" min="20" max="20"/>
    <col width="15" customWidth="1" style="184" min="21" max="21"/>
    <col width="24" customWidth="1" style="184" min="22" max="22"/>
    <col width="42" customWidth="1" style="184" min="23" max="23"/>
  </cols>
  <sheetData>
    <row r="1" ht="32" customHeight="1" s="184">
      <c r="A1" s="12" t="inlineStr">
        <is>
          <t>热处理设备 - 《清洁节能热处理装备技术要求及评价体系》（GB/T 36561-2018）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10" t="inlineStr">
        <is>
          <t>数量合计</t>
        </is>
      </c>
      <c r="U1" s="220" t="n"/>
      <c r="V1" s="11">
        <f>SUM(TblHeatTreatment[数量])</f>
        <v/>
      </c>
      <c r="W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102" t="inlineStr">
        <is>
          <t>计算辅助结果</t>
        </is>
      </c>
      <c r="O2" s="222" t="n"/>
      <c r="P2" s="223" t="n"/>
      <c r="Q2" s="57" t="inlineStr">
        <is>
          <t>标准查询结果</t>
        </is>
      </c>
      <c r="R2" s="222" t="n"/>
      <c r="S2" s="223" t="n"/>
      <c r="T2" s="70" t="inlineStr">
        <is>
          <t>结论</t>
        </is>
      </c>
      <c r="U2" s="82" t="inlineStr">
        <is>
          <t>附件备注</t>
        </is>
      </c>
      <c r="V2" s="222" t="n"/>
      <c r="W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能源类型</t>
        </is>
      </c>
      <c r="H3" s="55" t="inlineStr">
        <is>
          <t>额定功率
(kW)</t>
        </is>
      </c>
      <c r="I3" s="55" t="inlineStr">
        <is>
          <t>额定温度
(℃)</t>
        </is>
      </c>
      <c r="J3" s="55" t="inlineStr">
        <is>
          <t>总折合重量
(t)</t>
        </is>
      </c>
      <c r="K3" s="55" t="inlineStr">
        <is>
          <t>电炉总耗电量
(kW·h)</t>
        </is>
      </c>
      <c r="L3" s="55" t="inlineStr">
        <is>
          <t>燃料总耗量
(m³)</t>
        </is>
      </c>
      <c r="M3" s="55" t="inlineStr">
        <is>
          <t>燃料热值
(kJ/m³)</t>
        </is>
      </c>
      <c r="N3" s="108" t="inlineStr">
        <is>
          <t>燃料系数</t>
        </is>
      </c>
      <c r="O3" s="108" t="inlineStr">
        <is>
          <t>电炉可比单耗
(kW·h/t)</t>
        </is>
      </c>
      <c r="P3" s="108" t="inlineStr">
        <is>
          <t>燃料炉可比单耗
(kgce/t)</t>
        </is>
      </c>
      <c r="Q3" s="63" t="inlineStr">
        <is>
          <t>一等指标
(按炉型)</t>
        </is>
      </c>
      <c r="R3" s="63" t="inlineStr">
        <is>
          <t>二等指标
(按炉型)</t>
        </is>
      </c>
      <c r="S3" s="63" t="inlineStr">
        <is>
          <t>三等指标
(按炉型)</t>
        </is>
      </c>
      <c r="T3" s="76" t="inlineStr">
        <is>
          <t>评价等级</t>
        </is>
      </c>
      <c r="U3" s="88" t="inlineStr">
        <is>
          <t>铭牌照片</t>
        </is>
      </c>
      <c r="V3" s="88" t="inlineStr">
        <is>
          <t>填表备注</t>
        </is>
      </c>
      <c r="W3" s="88" t="inlineStr">
        <is>
          <t>自动备注</t>
        </is>
      </c>
    </row>
    <row r="4" ht="42" customHeight="1" s="184">
      <c r="A4" s="224">
        <f>IF(COUNTA(B4,C4,D4,E4,F4,G4,H4,I4,J4,K4,L4,M4,U4,V4)&gt;0,ROW()-3,"")</f>
        <v/>
      </c>
      <c r="B4" s="176" t="n"/>
      <c r="C4" s="176" t="n"/>
      <c r="D4" s="228" t="n"/>
      <c r="E4" s="176" t="n"/>
      <c r="F4" s="218" t="n"/>
      <c r="G4" s="218" t="n"/>
      <c r="H4" s="229" t="n"/>
      <c r="I4" s="229" t="n"/>
      <c r="J4" s="229" t="n"/>
      <c r="K4" s="229" t="n"/>
      <c r="L4" s="229" t="n"/>
      <c r="M4" s="229" t="n"/>
      <c r="N4" s="113" t="n"/>
      <c r="O4" s="236" t="n"/>
      <c r="P4" s="236" t="n"/>
      <c r="Q4" s="227" t="n"/>
      <c r="R4" s="227" t="n"/>
      <c r="S4" s="227" t="n"/>
      <c r="T4" s="81" t="n"/>
      <c r="U4" s="180" t="n"/>
      <c r="V4" s="180" t="n"/>
      <c r="W4" s="99">
        <f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f>
        <v/>
      </c>
    </row>
    <row r="5" ht="42" customHeight="1" s="184">
      <c r="A5" s="224">
        <f>IF(COUNTA(B5,C5,D5,E5,F5,G5,H5,I5,J5,K5,L5,M5,U5,V5)&gt;0,ROW()-3,"")</f>
        <v/>
      </c>
      <c r="B5" s="176" t="n"/>
      <c r="C5" s="176" t="n"/>
      <c r="D5" s="228" t="n"/>
      <c r="E5" s="176" t="n"/>
      <c r="F5" s="218" t="n"/>
      <c r="G5" s="218" t="n"/>
      <c r="H5" s="229" t="n"/>
      <c r="I5" s="229" t="n"/>
      <c r="J5" s="229" t="n"/>
      <c r="K5" s="229" t="n"/>
      <c r="L5" s="229" t="n"/>
      <c r="M5" s="229" t="n"/>
      <c r="N5" s="113" t="n"/>
      <c r="O5" s="236" t="n"/>
      <c r="P5" s="236" t="n"/>
      <c r="Q5" s="227" t="n"/>
      <c r="R5" s="227" t="n"/>
      <c r="S5" s="227" t="n"/>
      <c r="T5" s="81" t="n"/>
      <c r="U5" s="180" t="n"/>
      <c r="V5" s="180" t="n"/>
      <c r="W5" s="99">
        <f>IF(COUNTA(B5,C5,D5,E5,F5,G5,H5,I5,J5,K5,L5,M5,U5,V5)&gt;0,TEXTJOIN("；",TRUE,IF(B5="","缺少设备名称",""),IF(AND(ISTEXT(B5),OR(B5&lt;&gt;TRIM(B5),ISNUMBER(SEARCH("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",E5)))),"安装位置含首尾空格或全角空格",""),IF(F5="","缺少设备类别",""),IF(F5="","",IF(COUNTIF(EV_HEAT_TREAT_CATEGORY,F5)=0,"设备类别不在标准枚举中","")),IF(AND(ISTEXT(F5),OR(F5&lt;&gt;TRIM(F5),ISNUMBER(SEARCH("　",F5)))),"设备类别含首尾空格或全角空格",""),IF(G5="","缺少能源类型",""),IF(G5="","",IF(COUNTIF(EV_ENERGY_TYPE,G5)=0,"能源类型不在标准枚举中","")),IF(AND(ISTEXT(G5),OR(G5&lt;&gt;TRIM(G5),ISNUMBER(SEARCH("　",G5)))),"能源类型含首尾空格或全角空格",""),IF(H5="","缺少额定功率",""),IF(H5="","",IF(NOT(ISNUMBER(H5)),"额定功率应为数值",IF(H5&lt;=0,"额定功率应大于0",""))),IF(I5="","缺少额定温度",""),IF(I5="","",IF(NOT(ISNUMBER(I5)),"额定温度应为数值",IF(I5&lt;=0,"额定温度应大于0",""))),IF(J5="","缺少总折合重量",""),IF(J5="","",IF(NOT(ISNUMBER(J5)),"总折合重量应为数值",IF(J5&lt;=0,"总折合重量应大于0",""))),IF(K5="","",IF(NOT(ISNUMBER(K5)),"电炉总耗电量应为数值",IF(K5&lt;=0,"电炉总耗电量应大于0",""))),IF(L5="","",IF(NOT(ISNUMBER(L5)),"燃料总耗量应为数值",IF(L5&lt;=0,"燃料总耗量应大于0",""))),IF(M5="","",IF(NOT(ISNUMBER(M5)),"燃料热值应为数值",IF(M5&lt;=0,"燃料热值应大于0",""))),IF(U5="","缺少铭牌照片",""),IF(AND(ISTEXT(V5),OR(V5&lt;&gt;TRIM(V5),ISNUMBER(SEARCH("　",V5)))),"填表备注含首尾空格或全角空格",""),IF(AND(G5="电力",K5=""),"电力设备缺少电炉总耗电量",""),IF(AND(G5="电力",OR(L5&lt;&gt;"",M5&lt;&gt;"")),"能源类型为电力，不应填写燃料耗量或燃料热值",""),IF(AND(G5&lt;&gt;"",G5&lt;&gt;"电力",L5=""),"燃料设备缺少燃料总耗量",""),IF(AND(G5&lt;&gt;"",G5&lt;&gt;"电力",M5=""),"燃料设备缺少燃料热值",""),IF(AND(G5&lt;&gt;"",G5&lt;&gt;"电力",K5&lt;&gt;""),"能源类型为燃料，不应填写电炉总耗电量","")),"")</f>
        <v/>
      </c>
    </row>
    <row r="6" ht="42" customHeight="1" s="184">
      <c r="A6" s="224">
        <f>IF(COUNTA(B6,C6,D6,E6,F6,G6,H6,I6,J6,K6,L6,M6,U6,V6)&gt;0,ROW()-3,"")</f>
        <v/>
      </c>
      <c r="B6" s="176" t="n"/>
      <c r="C6" s="176" t="n"/>
      <c r="D6" s="228" t="n"/>
      <c r="E6" s="176" t="n"/>
      <c r="F6" s="218" t="n"/>
      <c r="G6" s="218" t="n"/>
      <c r="H6" s="229" t="n"/>
      <c r="I6" s="229" t="n"/>
      <c r="J6" s="229" t="n"/>
      <c r="K6" s="229" t="n"/>
      <c r="L6" s="229" t="n"/>
      <c r="M6" s="229" t="n"/>
      <c r="N6" s="113" t="n"/>
      <c r="O6" s="236" t="n"/>
      <c r="P6" s="236" t="n"/>
      <c r="Q6" s="227" t="n"/>
      <c r="R6" s="227" t="n"/>
      <c r="S6" s="227" t="n"/>
      <c r="T6" s="81" t="n"/>
      <c r="U6" s="180" t="n"/>
      <c r="V6" s="180" t="n"/>
      <c r="W6" s="99">
        <f>IF(COUNTA(B6,C6,D6,E6,F6,G6,H6,I6,J6,K6,L6,M6,U6,V6)&gt;0,TEXTJOIN("；",TRUE,IF(B6="","缺少设备名称",""),IF(AND(ISTEXT(B6),OR(B6&lt;&gt;TRIM(B6),ISNUMBER(SEARCH("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",E6)))),"安装位置含首尾空格或全角空格",""),IF(F6="","缺少设备类别",""),IF(F6="","",IF(COUNTIF(EV_HEAT_TREAT_CATEGORY,F6)=0,"设备类别不在标准枚举中","")),IF(AND(ISTEXT(F6),OR(F6&lt;&gt;TRIM(F6),ISNUMBER(SEARCH("　",F6)))),"设备类别含首尾空格或全角空格",""),IF(G6="","缺少能源类型",""),IF(G6="","",IF(COUNTIF(EV_ENERGY_TYPE,G6)=0,"能源类型不在标准枚举中","")),IF(AND(ISTEXT(G6),OR(G6&lt;&gt;TRIM(G6),ISNUMBER(SEARCH("　",G6)))),"能源类型含首尾空格或全角空格",""),IF(H6="","缺少额定功率",""),IF(H6="","",IF(NOT(ISNUMBER(H6)),"额定功率应为数值",IF(H6&lt;=0,"额定功率应大于0",""))),IF(I6="","缺少额定温度",""),IF(I6="","",IF(NOT(ISNUMBER(I6)),"额定温度应为数值",IF(I6&lt;=0,"额定温度应大于0",""))),IF(J6="","缺少总折合重量",""),IF(J6="","",IF(NOT(ISNUMBER(J6)),"总折合重量应为数值",IF(J6&lt;=0,"总折合重量应大于0",""))),IF(K6="","",IF(NOT(ISNUMBER(K6)),"电炉总耗电量应为数值",IF(K6&lt;=0,"电炉总耗电量应大于0",""))),IF(L6="","",IF(NOT(ISNUMBER(L6)),"燃料总耗量应为数值",IF(L6&lt;=0,"燃料总耗量应大于0",""))),IF(M6="","",IF(NOT(ISNUMBER(M6)),"燃料热值应为数值",IF(M6&lt;=0,"燃料热值应大于0",""))),IF(U6="","缺少铭牌照片",""),IF(AND(ISTEXT(V6),OR(V6&lt;&gt;TRIM(V6),ISNUMBER(SEARCH("　",V6)))),"填表备注含首尾空格或全角空格",""),IF(AND(G6="电力",K6=""),"电力设备缺少电炉总耗电量",""),IF(AND(G6="电力",OR(L6&lt;&gt;"",M6&lt;&gt;"")),"能源类型为电力，不应填写燃料耗量或燃料热值",""),IF(AND(G6&lt;&gt;"",G6&lt;&gt;"电力",L6=""),"燃料设备缺少燃料总耗量",""),IF(AND(G6&lt;&gt;"",G6&lt;&gt;"电力",M6=""),"燃料设备缺少燃料热值",""),IF(AND(G6&lt;&gt;"",G6&lt;&gt;"电力",K6&lt;&gt;""),"能源类型为燃料，不应填写电炉总耗电量","")),"")</f>
        <v/>
      </c>
    </row>
    <row r="7" ht="42" customHeight="1" s="184">
      <c r="A7" s="224">
        <f>IF(COUNTA(B7,C7,D7,E7,F7,G7,H7,I7,J7,K7,L7,M7,U7,V7)&gt;0,ROW()-3,"")</f>
        <v/>
      </c>
      <c r="B7" s="176" t="n"/>
      <c r="C7" s="176" t="n"/>
      <c r="D7" s="228" t="n"/>
      <c r="E7" s="176" t="n"/>
      <c r="F7" s="218" t="n"/>
      <c r="G7" s="218" t="n"/>
      <c r="H7" s="229" t="n"/>
      <c r="I7" s="229" t="n"/>
      <c r="J7" s="229" t="n"/>
      <c r="K7" s="229" t="n"/>
      <c r="L7" s="229" t="n"/>
      <c r="M7" s="229" t="n"/>
      <c r="N7" s="113" t="n"/>
      <c r="O7" s="236" t="n"/>
      <c r="P7" s="236" t="n"/>
      <c r="Q7" s="227" t="n"/>
      <c r="R7" s="227" t="n"/>
      <c r="S7" s="227" t="n"/>
      <c r="T7" s="81" t="n"/>
      <c r="U7" s="180" t="n"/>
      <c r="V7" s="180" t="n"/>
      <c r="W7" s="99">
        <f>IF(COUNTA(B7,C7,D7,E7,F7,G7,H7,I7,J7,K7,L7,M7,U7,V7)&gt;0,TEXTJOIN("；",TRUE,IF(B7="","缺少设备名称",""),IF(AND(ISTEXT(B7),OR(B7&lt;&gt;TRIM(B7),ISNUMBER(SEARCH("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",E7)))),"安装位置含首尾空格或全角空格",""),IF(F7="","缺少设备类别",""),IF(F7="","",IF(COUNTIF(EV_HEAT_TREAT_CATEGORY,F7)=0,"设备类别不在标准枚举中","")),IF(AND(ISTEXT(F7),OR(F7&lt;&gt;TRIM(F7),ISNUMBER(SEARCH("　",F7)))),"设备类别含首尾空格或全角空格",""),IF(G7="","缺少能源类型",""),IF(G7="","",IF(COUNTIF(EV_ENERGY_TYPE,G7)=0,"能源类型不在标准枚举中","")),IF(AND(ISTEXT(G7),OR(G7&lt;&gt;TRIM(G7),ISNUMBER(SEARCH("　",G7)))),"能源类型含首尾空格或全角空格",""),IF(H7="","缺少额定功率",""),IF(H7="","",IF(NOT(ISNUMBER(H7)),"额定功率应为数值",IF(H7&lt;=0,"额定功率应大于0",""))),IF(I7="","缺少额定温度",""),IF(I7="","",IF(NOT(ISNUMBER(I7)),"额定温度应为数值",IF(I7&lt;=0,"额定温度应大于0",""))),IF(J7="","缺少总折合重量",""),IF(J7="","",IF(NOT(ISNUMBER(J7)),"总折合重量应为数值",IF(J7&lt;=0,"总折合重量应大于0",""))),IF(K7="","",IF(NOT(ISNUMBER(K7)),"电炉总耗电量应为数值",IF(K7&lt;=0,"电炉总耗电量应大于0",""))),IF(L7="","",IF(NOT(ISNUMBER(L7)),"燃料总耗量应为数值",IF(L7&lt;=0,"燃料总耗量应大于0",""))),IF(M7="","",IF(NOT(ISNUMBER(M7)),"燃料热值应为数值",IF(M7&lt;=0,"燃料热值应大于0",""))),IF(U7="","缺少铭牌照片",""),IF(AND(ISTEXT(V7),OR(V7&lt;&gt;TRIM(V7),ISNUMBER(SEARCH("　",V7)))),"填表备注含首尾空格或全角空格",""),IF(AND(G7="电力",K7=""),"电力设备缺少电炉总耗电量",""),IF(AND(G7="电力",OR(L7&lt;&gt;"",M7&lt;&gt;"")),"能源类型为电力，不应填写燃料耗量或燃料热值",""),IF(AND(G7&lt;&gt;"",G7&lt;&gt;"电力",L7=""),"燃料设备缺少燃料总耗量",""),IF(AND(G7&lt;&gt;"",G7&lt;&gt;"电力",M7=""),"燃料设备缺少燃料热值",""),IF(AND(G7&lt;&gt;"",G7&lt;&gt;"电力",K7&lt;&gt;""),"能源类型为燃料，不应填写电炉总耗电量","")),"")</f>
        <v/>
      </c>
    </row>
    <row r="8" ht="42" customHeight="1" s="184">
      <c r="A8" s="224">
        <f>IF(COUNTA(B8,C8,D8,E8,F8,G8,H8,I8,J8,K8,L8,M8,U8,V8)&gt;0,ROW()-3,"")</f>
        <v/>
      </c>
      <c r="B8" s="176" t="n"/>
      <c r="C8" s="176" t="n"/>
      <c r="D8" s="228" t="n"/>
      <c r="E8" s="176" t="n"/>
      <c r="F8" s="218" t="n"/>
      <c r="G8" s="218" t="n"/>
      <c r="H8" s="229" t="n"/>
      <c r="I8" s="229" t="n"/>
      <c r="J8" s="229" t="n"/>
      <c r="K8" s="229" t="n"/>
      <c r="L8" s="229" t="n"/>
      <c r="M8" s="229" t="n"/>
      <c r="N8" s="113" t="n"/>
      <c r="O8" s="236" t="n"/>
      <c r="P8" s="236" t="n"/>
      <c r="Q8" s="227" t="n"/>
      <c r="R8" s="227" t="n"/>
      <c r="S8" s="227" t="n"/>
      <c r="T8" s="81" t="n"/>
      <c r="U8" s="180" t="n"/>
      <c r="V8" s="180" t="n"/>
      <c r="W8" s="99">
        <f>IF(COUNTA(B8,C8,D8,E8,F8,G8,H8,I8,J8,K8,L8,M8,U8,V8)&gt;0,TEXTJOIN("；",TRUE,IF(B8="","缺少设备名称",""),IF(AND(ISTEXT(B8),OR(B8&lt;&gt;TRIM(B8),ISNUMBER(SEARCH("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",E8)))),"安装位置含首尾空格或全角空格",""),IF(F8="","缺少设备类别",""),IF(F8="","",IF(COUNTIF(EV_HEAT_TREAT_CATEGORY,F8)=0,"设备类别不在标准枚举中","")),IF(AND(ISTEXT(F8),OR(F8&lt;&gt;TRIM(F8),ISNUMBER(SEARCH("　",F8)))),"设备类别含首尾空格或全角空格",""),IF(G8="","缺少能源类型",""),IF(G8="","",IF(COUNTIF(EV_ENERGY_TYPE,G8)=0,"能源类型不在标准枚举中","")),IF(AND(ISTEXT(G8),OR(G8&lt;&gt;TRIM(G8),ISNUMBER(SEARCH("　",G8)))),"能源类型含首尾空格或全角空格",""),IF(H8="","缺少额定功率",""),IF(H8="","",IF(NOT(ISNUMBER(H8)),"额定功率应为数值",IF(H8&lt;=0,"额定功率应大于0",""))),IF(I8="","缺少额定温度",""),IF(I8="","",IF(NOT(ISNUMBER(I8)),"额定温度应为数值",IF(I8&lt;=0,"额定温度应大于0",""))),IF(J8="","缺少总折合重量",""),IF(J8="","",IF(NOT(ISNUMBER(J8)),"总折合重量应为数值",IF(J8&lt;=0,"总折合重量应大于0",""))),IF(K8="","",IF(NOT(ISNUMBER(K8)),"电炉总耗电量应为数值",IF(K8&lt;=0,"电炉总耗电量应大于0",""))),IF(L8="","",IF(NOT(ISNUMBER(L8)),"燃料总耗量应为数值",IF(L8&lt;=0,"燃料总耗量应大于0",""))),IF(M8="","",IF(NOT(ISNUMBER(M8)),"燃料热值应为数值",IF(M8&lt;=0,"燃料热值应大于0",""))),IF(U8="","缺少铭牌照片",""),IF(AND(ISTEXT(V8),OR(V8&lt;&gt;TRIM(V8),ISNUMBER(SEARCH("　",V8)))),"填表备注含首尾空格或全角空格",""),IF(AND(G8="电力",K8=""),"电力设备缺少电炉总耗电量",""),IF(AND(G8="电力",OR(L8&lt;&gt;"",M8&lt;&gt;"")),"能源类型为电力，不应填写燃料耗量或燃料热值",""),IF(AND(G8&lt;&gt;"",G8&lt;&gt;"电力",L8=""),"燃料设备缺少燃料总耗量",""),IF(AND(G8&lt;&gt;"",G8&lt;&gt;"电力",M8=""),"燃料设备缺少燃料热值",""),IF(AND(G8&lt;&gt;"",G8&lt;&gt;"电力",K8&lt;&gt;""),"能源类型为燃料，不应填写电炉总耗电量","")),"")</f>
        <v/>
      </c>
    </row>
    <row r="9" ht="42" customHeight="1" s="184">
      <c r="A9" s="224">
        <f>IF(COUNTA(B9,C9,D9,E9,F9,G9,H9,I9,J9,K9,L9,M9,U9,V9)&gt;0,ROW()-3,"")</f>
        <v/>
      </c>
      <c r="B9" s="176" t="n"/>
      <c r="C9" s="176" t="n"/>
      <c r="D9" s="228" t="n"/>
      <c r="E9" s="176" t="n"/>
      <c r="F9" s="218" t="n"/>
      <c r="G9" s="218" t="n"/>
      <c r="H9" s="229" t="n"/>
      <c r="I9" s="229" t="n"/>
      <c r="J9" s="229" t="n"/>
      <c r="K9" s="229" t="n"/>
      <c r="L9" s="229" t="n"/>
      <c r="M9" s="229" t="n"/>
      <c r="N9" s="113" t="n"/>
      <c r="O9" s="236" t="n"/>
      <c r="P9" s="236" t="n"/>
      <c r="Q9" s="227" t="n"/>
      <c r="R9" s="227" t="n"/>
      <c r="S9" s="227" t="n"/>
      <c r="T9" s="81" t="n"/>
      <c r="U9" s="180" t="n"/>
      <c r="V9" s="180" t="n"/>
      <c r="W9" s="99">
        <f>IF(COUNTA(B9,C9,D9,E9,F9,G9,H9,I9,J9,K9,L9,M9,U9,V9)&gt;0,TEXTJOIN("；",TRUE,IF(B9="","缺少设备名称",""),IF(AND(ISTEXT(B9),OR(B9&lt;&gt;TRIM(B9),ISNUMBER(SEARCH("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",E9)))),"安装位置含首尾空格或全角空格",""),IF(F9="","缺少设备类别",""),IF(F9="","",IF(COUNTIF(EV_HEAT_TREAT_CATEGORY,F9)=0,"设备类别不在标准枚举中","")),IF(AND(ISTEXT(F9),OR(F9&lt;&gt;TRIM(F9),ISNUMBER(SEARCH("　",F9)))),"设备类别含首尾空格或全角空格",""),IF(G9="","缺少能源类型",""),IF(G9="","",IF(COUNTIF(EV_ENERGY_TYPE,G9)=0,"能源类型不在标准枚举中","")),IF(AND(ISTEXT(G9),OR(G9&lt;&gt;TRIM(G9),ISNUMBER(SEARCH("　",G9)))),"能源类型含首尾空格或全角空格",""),IF(H9="","缺少额定功率",""),IF(H9="","",IF(NOT(ISNUMBER(H9)),"额定功率应为数值",IF(H9&lt;=0,"额定功率应大于0",""))),IF(I9="","缺少额定温度",""),IF(I9="","",IF(NOT(ISNUMBER(I9)),"额定温度应为数值",IF(I9&lt;=0,"额定温度应大于0",""))),IF(J9="","缺少总折合重量",""),IF(J9="","",IF(NOT(ISNUMBER(J9)),"总折合重量应为数值",IF(J9&lt;=0,"总折合重量应大于0",""))),IF(K9="","",IF(NOT(ISNUMBER(K9)),"电炉总耗电量应为数值",IF(K9&lt;=0,"电炉总耗电量应大于0",""))),IF(L9="","",IF(NOT(ISNUMBER(L9)),"燃料总耗量应为数值",IF(L9&lt;=0,"燃料总耗量应大于0",""))),IF(M9="","",IF(NOT(ISNUMBER(M9)),"燃料热值应为数值",IF(M9&lt;=0,"燃料热值应大于0",""))),IF(U9="","缺少铭牌照片",""),IF(AND(ISTEXT(V9),OR(V9&lt;&gt;TRIM(V9),ISNUMBER(SEARCH("　",V9)))),"填表备注含首尾空格或全角空格",""),IF(AND(G9="电力",K9=""),"电力设备缺少电炉总耗电量",""),IF(AND(G9="电力",OR(L9&lt;&gt;"",M9&lt;&gt;"")),"能源类型为电力，不应填写燃料耗量或燃料热值",""),IF(AND(G9&lt;&gt;"",G9&lt;&gt;"电力",L9=""),"燃料设备缺少燃料总耗量",""),IF(AND(G9&lt;&gt;"",G9&lt;&gt;"电力",M9=""),"燃料设备缺少燃料热值",""),IF(AND(G9&lt;&gt;"",G9&lt;&gt;"电力",K9&lt;&gt;""),"能源类型为燃料，不应填写电炉总耗电量","")),"")</f>
        <v/>
      </c>
    </row>
    <row r="10" ht="42" customHeight="1" s="184">
      <c r="A10" s="224">
        <f>IF(COUNTA(B10,C10,D10,E10,F10,G10,H10,I10,J10,K10,L10,M10,U10,V10)&gt;0,ROW()-3,"")</f>
        <v/>
      </c>
      <c r="B10" s="176" t="n"/>
      <c r="C10" s="176" t="n"/>
      <c r="D10" s="228" t="n"/>
      <c r="E10" s="176" t="n"/>
      <c r="F10" s="218" t="n"/>
      <c r="G10" s="218" t="n"/>
      <c r="H10" s="229" t="n"/>
      <c r="I10" s="229" t="n"/>
      <c r="J10" s="229" t="n"/>
      <c r="K10" s="229" t="n"/>
      <c r="L10" s="229" t="n"/>
      <c r="M10" s="229" t="n"/>
      <c r="N10" s="113" t="n"/>
      <c r="O10" s="236" t="n"/>
      <c r="P10" s="236" t="n"/>
      <c r="Q10" s="227" t="n"/>
      <c r="R10" s="227" t="n"/>
      <c r="S10" s="227" t="n"/>
      <c r="T10" s="81" t="n"/>
      <c r="U10" s="180" t="n"/>
      <c r="V10" s="180" t="n"/>
      <c r="W10" s="99">
        <f>IF(COUNTA(B10,C10,D10,E10,F10,G10,H10,I10,J10,K10,L10,M10,U10,V10)&gt;0,TEXTJOIN("；",TRUE,IF(B10="","缺少设备名称",""),IF(AND(ISTEXT(B10),OR(B10&lt;&gt;TRIM(B10),ISNUMBER(SEARCH("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",E10)))),"安装位置含首尾空格或全角空格",""),IF(F10="","缺少设备类别",""),IF(F10="","",IF(COUNTIF(EV_HEAT_TREAT_CATEGORY,F10)=0,"设备类别不在标准枚举中","")),IF(AND(ISTEXT(F10),OR(F10&lt;&gt;TRIM(F10),ISNUMBER(SEARCH("　",F10)))),"设备类别含首尾空格或全角空格",""),IF(G10="","缺少能源类型",""),IF(G10="","",IF(COUNTIF(EV_ENERGY_TYPE,G10)=0,"能源类型不在标准枚举中","")),IF(AND(ISTEXT(G10),OR(G10&lt;&gt;TRIM(G10),ISNUMBER(SEARCH("　",G10)))),"能源类型含首尾空格或全角空格",""),IF(H10="","缺少额定功率",""),IF(H10="","",IF(NOT(ISNUMBER(H10)),"额定功率应为数值",IF(H10&lt;=0,"额定功率应大于0",""))),IF(I10="","缺少额定温度",""),IF(I10="","",IF(NOT(ISNUMBER(I10)),"额定温度应为数值",IF(I10&lt;=0,"额定温度应大于0",""))),IF(J10="","缺少总折合重量",""),IF(J10="","",IF(NOT(ISNUMBER(J10)),"总折合重量应为数值",IF(J10&lt;=0,"总折合重量应大于0",""))),IF(K10="","",IF(NOT(ISNUMBER(K10)),"电炉总耗电量应为数值",IF(K10&lt;=0,"电炉总耗电量应大于0",""))),IF(L10="","",IF(NOT(ISNUMBER(L10)),"燃料总耗量应为数值",IF(L10&lt;=0,"燃料总耗量应大于0",""))),IF(M10="","",IF(NOT(ISNUMBER(M10)),"燃料热值应为数值",IF(M10&lt;=0,"燃料热值应大于0",""))),IF(U10="","缺少铭牌照片",""),IF(AND(ISTEXT(V10),OR(V10&lt;&gt;TRIM(V10),ISNUMBER(SEARCH("　",V10)))),"填表备注含首尾空格或全角空格",""),IF(AND(G10="电力",K10=""),"电力设备缺少电炉总耗电量",""),IF(AND(G10="电力",OR(L10&lt;&gt;"",M10&lt;&gt;"")),"能源类型为电力，不应填写燃料耗量或燃料热值",""),IF(AND(G10&lt;&gt;"",G10&lt;&gt;"电力",L10=""),"燃料设备缺少燃料总耗量",""),IF(AND(G10&lt;&gt;"",G10&lt;&gt;"电力",M10=""),"燃料设备缺少燃料热值",""),IF(AND(G10&lt;&gt;"",G10&lt;&gt;"电力",K10&lt;&gt;""),"能源类型为燃料，不应填写电炉总耗电量","")),"")</f>
        <v/>
      </c>
    </row>
    <row r="11" ht="42" customHeight="1" s="184">
      <c r="A11" s="224">
        <f>IF(COUNTA(B11,C11,D11,E11,F11,G11,H11,I11,J11,K11,L11,M11,U11,V11)&gt;0,ROW()-3,"")</f>
        <v/>
      </c>
      <c r="B11" s="176" t="n"/>
      <c r="C11" s="176" t="n"/>
      <c r="D11" s="228" t="n"/>
      <c r="E11" s="176" t="n"/>
      <c r="F11" s="218" t="n"/>
      <c r="G11" s="218" t="n"/>
      <c r="H11" s="229" t="n"/>
      <c r="I11" s="229" t="n"/>
      <c r="J11" s="229" t="n"/>
      <c r="K11" s="229" t="n"/>
      <c r="L11" s="229" t="n"/>
      <c r="M11" s="229" t="n"/>
      <c r="N11" s="113" t="n"/>
      <c r="O11" s="236" t="n"/>
      <c r="P11" s="236" t="n"/>
      <c r="Q11" s="227" t="n"/>
      <c r="R11" s="227" t="n"/>
      <c r="S11" s="227" t="n"/>
      <c r="T11" s="81" t="n"/>
      <c r="U11" s="180" t="n"/>
      <c r="V11" s="180" t="n"/>
      <c r="W11" s="99">
        <f>IF(COUNTA(B11,C11,D11,E11,F11,G11,H11,I11,J11,K11,L11,M11,U11,V11)&gt;0,TEXTJOIN("；",TRUE,IF(B11="","缺少设备名称",""),IF(AND(ISTEXT(B11),OR(B11&lt;&gt;TRIM(B11),ISNUMBER(SEARCH("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",E11)))),"安装位置含首尾空格或全角空格",""),IF(F11="","缺少设备类别",""),IF(F11="","",IF(COUNTIF(EV_HEAT_TREAT_CATEGORY,F11)=0,"设备类别不在标准枚举中","")),IF(AND(ISTEXT(F11),OR(F11&lt;&gt;TRIM(F11),ISNUMBER(SEARCH("　",F11)))),"设备类别含首尾空格或全角空格",""),IF(G11="","缺少能源类型",""),IF(G11="","",IF(COUNTIF(EV_ENERGY_TYPE,G11)=0,"能源类型不在标准枚举中","")),IF(AND(ISTEXT(G11),OR(G11&lt;&gt;TRIM(G11),ISNUMBER(SEARCH("　",G11)))),"能源类型含首尾空格或全角空格",""),IF(H11="","缺少额定功率",""),IF(H11="","",IF(NOT(ISNUMBER(H11)),"额定功率应为数值",IF(H11&lt;=0,"额定功率应大于0",""))),IF(I11="","缺少额定温度",""),IF(I11="","",IF(NOT(ISNUMBER(I11)),"额定温度应为数值",IF(I11&lt;=0,"额定温度应大于0",""))),IF(J11="","缺少总折合重量",""),IF(J11="","",IF(NOT(ISNUMBER(J11)),"总折合重量应为数值",IF(J11&lt;=0,"总折合重量应大于0",""))),IF(K11="","",IF(NOT(ISNUMBER(K11)),"电炉总耗电量应为数值",IF(K11&lt;=0,"电炉总耗电量应大于0",""))),IF(L11="","",IF(NOT(ISNUMBER(L11)),"燃料总耗量应为数值",IF(L11&lt;=0,"燃料总耗量应大于0",""))),IF(M11="","",IF(NOT(ISNUMBER(M11)),"燃料热值应为数值",IF(M11&lt;=0,"燃料热值应大于0",""))),IF(U11="","缺少铭牌照片",""),IF(AND(ISTEXT(V11),OR(V11&lt;&gt;TRIM(V11),ISNUMBER(SEARCH("　",V11)))),"填表备注含首尾空格或全角空格",""),IF(AND(G11="电力",K11=""),"电力设备缺少电炉总耗电量",""),IF(AND(G11="电力",OR(L11&lt;&gt;"",M11&lt;&gt;"")),"能源类型为电力，不应填写燃料耗量或燃料热值",""),IF(AND(G11&lt;&gt;"",G11&lt;&gt;"电力",L11=""),"燃料设备缺少燃料总耗量",""),IF(AND(G11&lt;&gt;"",G11&lt;&gt;"电力",M11=""),"燃料设备缺少燃料热值",""),IF(AND(G11&lt;&gt;"",G11&lt;&gt;"电力",K11&lt;&gt;""),"能源类型为燃料，不应填写电炉总耗电量","")),"")</f>
        <v/>
      </c>
    </row>
    <row r="12" ht="42" customHeight="1" s="184">
      <c r="A12" s="224">
        <f>IF(COUNTA(B12,C12,D12,E12,F12,G12,H12,I12,J12,K12,L12,M12,U12,V12)&gt;0,ROW()-3,"")</f>
        <v/>
      </c>
      <c r="B12" s="176" t="n"/>
      <c r="C12" s="176" t="n"/>
      <c r="D12" s="228" t="n"/>
      <c r="E12" s="176" t="n"/>
      <c r="F12" s="218" t="n"/>
      <c r="G12" s="218" t="n"/>
      <c r="H12" s="229" t="n"/>
      <c r="I12" s="229" t="n"/>
      <c r="J12" s="229" t="n"/>
      <c r="K12" s="229" t="n"/>
      <c r="L12" s="229" t="n"/>
      <c r="M12" s="229" t="n"/>
      <c r="N12" s="113" t="n"/>
      <c r="O12" s="236" t="n"/>
      <c r="P12" s="236" t="n"/>
      <c r="Q12" s="227" t="n"/>
      <c r="R12" s="227" t="n"/>
      <c r="S12" s="227" t="n"/>
      <c r="T12" s="81" t="n"/>
      <c r="U12" s="180" t="n"/>
      <c r="V12" s="180" t="n"/>
      <c r="W12" s="99">
        <f>IF(COUNTA(B12,C12,D12,E12,F12,G12,H12,I12,J12,K12,L12,M12,U12,V12)&gt;0,TEXTJOIN("；",TRUE,IF(B12="","缺少设备名称",""),IF(AND(ISTEXT(B12),OR(B12&lt;&gt;TRIM(B12),ISNUMBER(SEARCH("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",E12)))),"安装位置含首尾空格或全角空格",""),IF(F12="","缺少设备类别",""),IF(F12="","",IF(COUNTIF(EV_HEAT_TREAT_CATEGORY,F12)=0,"设备类别不在标准枚举中","")),IF(AND(ISTEXT(F12),OR(F12&lt;&gt;TRIM(F12),ISNUMBER(SEARCH("　",F12)))),"设备类别含首尾空格或全角空格",""),IF(G12="","缺少能源类型",""),IF(G12="","",IF(COUNTIF(EV_ENERGY_TYPE,G12)=0,"能源类型不在标准枚举中","")),IF(AND(ISTEXT(G12),OR(G12&lt;&gt;TRIM(G12),ISNUMBER(SEARCH("　",G12)))),"能源类型含首尾空格或全角空格",""),IF(H12="","缺少额定功率",""),IF(H12="","",IF(NOT(ISNUMBER(H12)),"额定功率应为数值",IF(H12&lt;=0,"额定功率应大于0",""))),IF(I12="","缺少额定温度",""),IF(I12="","",IF(NOT(ISNUMBER(I12)),"额定温度应为数值",IF(I12&lt;=0,"额定温度应大于0",""))),IF(J12="","缺少总折合重量",""),IF(J12="","",IF(NOT(ISNUMBER(J12)),"总折合重量应为数值",IF(J12&lt;=0,"总折合重量应大于0",""))),IF(K12="","",IF(NOT(ISNUMBER(K12)),"电炉总耗电量应为数值",IF(K12&lt;=0,"电炉总耗电量应大于0",""))),IF(L12="","",IF(NOT(ISNUMBER(L12)),"燃料总耗量应为数值",IF(L12&lt;=0,"燃料总耗量应大于0",""))),IF(M12="","",IF(NOT(ISNUMBER(M12)),"燃料热值应为数值",IF(M12&lt;=0,"燃料热值应大于0",""))),IF(U12="","缺少铭牌照片",""),IF(AND(ISTEXT(V12),OR(V12&lt;&gt;TRIM(V12),ISNUMBER(SEARCH("　",V12)))),"填表备注含首尾空格或全角空格",""),IF(AND(G12="电力",K12=""),"电力设备缺少电炉总耗电量",""),IF(AND(G12="电力",OR(L12&lt;&gt;"",M12&lt;&gt;"")),"能源类型为电力，不应填写燃料耗量或燃料热值",""),IF(AND(G12&lt;&gt;"",G12&lt;&gt;"电力",L12=""),"燃料设备缺少燃料总耗量",""),IF(AND(G12&lt;&gt;"",G12&lt;&gt;"电力",M12=""),"燃料设备缺少燃料热值",""),IF(AND(G12&lt;&gt;"",G12&lt;&gt;"电力",K12&lt;&gt;""),"能源类型为燃料，不应填写电炉总耗电量","")),"")</f>
        <v/>
      </c>
    </row>
    <row r="13" ht="42" customHeight="1" s="184">
      <c r="A13" s="224">
        <f>IF(COUNTA(B13,C13,D13,E13,F13,G13,H13,I13,J13,K13,L13,M13,U13,V13)&gt;0,ROW()-3,"")</f>
        <v/>
      </c>
      <c r="B13" s="176" t="n"/>
      <c r="C13" s="176" t="n"/>
      <c r="D13" s="228" t="n"/>
      <c r="E13" s="176" t="n"/>
      <c r="F13" s="218" t="n"/>
      <c r="G13" s="218" t="n"/>
      <c r="H13" s="229" t="n"/>
      <c r="I13" s="229" t="n"/>
      <c r="J13" s="229" t="n"/>
      <c r="K13" s="229" t="n"/>
      <c r="L13" s="229" t="n"/>
      <c r="M13" s="229" t="n"/>
      <c r="N13" s="113" t="n"/>
      <c r="O13" s="236" t="n"/>
      <c r="P13" s="236" t="n"/>
      <c r="Q13" s="227" t="n"/>
      <c r="R13" s="227" t="n"/>
      <c r="S13" s="227" t="n"/>
      <c r="T13" s="81" t="n"/>
      <c r="U13" s="180" t="n"/>
      <c r="V13" s="180" t="n"/>
      <c r="W13" s="99">
        <f>IF(COUNTA(B13,C13,D13,E13,F13,G13,H13,I13,J13,K13,L13,M13,U13,V13)&gt;0,TEXTJOIN("；",TRUE,IF(B13="","缺少设备名称",""),IF(AND(ISTEXT(B13),OR(B13&lt;&gt;TRIM(B13),ISNUMBER(SEARCH("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",E13)))),"安装位置含首尾空格或全角空格",""),IF(F13="","缺少设备类别",""),IF(F13="","",IF(COUNTIF(EV_HEAT_TREAT_CATEGORY,F13)=0,"设备类别不在标准枚举中","")),IF(AND(ISTEXT(F13),OR(F13&lt;&gt;TRIM(F13),ISNUMBER(SEARCH("　",F13)))),"设备类别含首尾空格或全角空格",""),IF(G13="","缺少能源类型",""),IF(G13="","",IF(COUNTIF(EV_ENERGY_TYPE,G13)=0,"能源类型不在标准枚举中","")),IF(AND(ISTEXT(G13),OR(G13&lt;&gt;TRIM(G13),ISNUMBER(SEARCH("　",G13)))),"能源类型含首尾空格或全角空格",""),IF(H13="","缺少额定功率",""),IF(H13="","",IF(NOT(ISNUMBER(H13)),"额定功率应为数值",IF(H13&lt;=0,"额定功率应大于0",""))),IF(I13="","缺少额定温度",""),IF(I13="","",IF(NOT(ISNUMBER(I13)),"额定温度应为数值",IF(I13&lt;=0,"额定温度应大于0",""))),IF(J13="","缺少总折合重量",""),IF(J13="","",IF(NOT(ISNUMBER(J13)),"总折合重量应为数值",IF(J13&lt;=0,"总折合重量应大于0",""))),IF(K13="","",IF(NOT(ISNUMBER(K13)),"电炉总耗电量应为数值",IF(K13&lt;=0,"电炉总耗电量应大于0",""))),IF(L13="","",IF(NOT(ISNUMBER(L13)),"燃料总耗量应为数值",IF(L13&lt;=0,"燃料总耗量应大于0",""))),IF(M13="","",IF(NOT(ISNUMBER(M13)),"燃料热值应为数值",IF(M13&lt;=0,"燃料热值应大于0",""))),IF(U13="","缺少铭牌照片",""),IF(AND(ISTEXT(V13),OR(V13&lt;&gt;TRIM(V13),ISNUMBER(SEARCH("　",V13)))),"填表备注含首尾空格或全角空格",""),IF(AND(G13="电力",K13=""),"电力设备缺少电炉总耗电量",""),IF(AND(G13="电力",OR(L13&lt;&gt;"",M13&lt;&gt;"")),"能源类型为电力，不应填写燃料耗量或燃料热值",""),IF(AND(G13&lt;&gt;"",G13&lt;&gt;"电力",L13=""),"燃料设备缺少燃料总耗量",""),IF(AND(G13&lt;&gt;"",G13&lt;&gt;"电力",M13=""),"燃料设备缺少燃料热值",""),IF(AND(G13&lt;&gt;"",G13&lt;&gt;"电力",K13&lt;&gt;""),"能源类型为燃料，不应填写电炉总耗电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U2:W2"/>
    <mergeCell ref="F2:M2"/>
    <mergeCell ref="N2:P2"/>
    <mergeCell ref="A2:E2"/>
    <mergeCell ref="V1:W1"/>
    <mergeCell ref="T1:U1"/>
    <mergeCell ref="A1:S1"/>
    <mergeCell ref="Q2:S2"/>
  </mergeCells>
  <dataValidations count="9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EV_HEAT_TREAT_CATEGORY</formula1>
    </dataValidation>
    <dataValidation sqref="G4:G13" showDropDown="0" showInputMessage="0" showErrorMessage="1" allowBlank="1" type="list" errorStyle="stop">
      <formula1>EV_ENERGY_TYPE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34" customWidth="1" style="184" min="10" max="10"/>
    <col width="13" customWidth="1" style="184" min="11" max="11"/>
    <col width="13" customWidth="1" style="184" min="12" max="12"/>
    <col width="13" customWidth="1" style="184" min="13" max="13"/>
    <col width="22" customWidth="1" style="184" min="14" max="14"/>
    <col width="15" customWidth="1" style="184" min="15" max="15"/>
    <col width="24" customWidth="1" style="184" min="16" max="16"/>
    <col width="16" customWidth="1" style="184" min="17" max="17"/>
    <col width="24" customWidth="1" style="184" min="18" max="18"/>
    <col width="16" customWidth="1" style="184" min="19" max="19"/>
    <col width="16" customWidth="1" style="184" min="20" max="20"/>
    <col width="18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5" customWidth="1" style="184" min="26" max="26"/>
    <col width="24" customWidth="1" style="184" min="27" max="27"/>
    <col width="42" customWidth="1" style="184" min="28" max="28"/>
  </cols>
  <sheetData>
    <row r="1" ht="32" customHeight="1" s="184">
      <c r="A1" s="12" t="inlineStr">
        <is>
          <t>热泵和冷水机组 - 《热泵和冷水机组能效限定值及能效等级》（GB 19577-2024）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10" t="inlineStr">
        <is>
          <t>数量合计</t>
        </is>
      </c>
      <c r="Z1" s="220" t="n"/>
      <c r="AA1" s="11">
        <f>SUM(TblHeatPumpChiller[数量])</f>
        <v/>
      </c>
      <c r="AB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3" t="n"/>
      <c r="T2" s="102" t="inlineStr">
        <is>
          <t>计算辅助结果</t>
        </is>
      </c>
      <c r="U2" s="223" t="n"/>
      <c r="V2" s="57" t="inlineStr">
        <is>
          <t>标准查询结果</t>
        </is>
      </c>
      <c r="W2" s="222" t="n"/>
      <c r="X2" s="223" t="n"/>
      <c r="Y2" s="70" t="inlineStr">
        <is>
          <t>结论</t>
        </is>
      </c>
      <c r="Z2" s="82" t="inlineStr">
        <is>
          <t>附件备注</t>
        </is>
      </c>
      <c r="AA2" s="222" t="n"/>
      <c r="AB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产品标准</t>
        </is>
      </c>
      <c r="H3" s="55" t="inlineStr">
        <is>
          <t>机组型式</t>
        </is>
      </c>
      <c r="I3" s="55" t="inlineStr">
        <is>
          <t>冷却/热源方式</t>
        </is>
      </c>
      <c r="J3" s="45" t="inlineStr">
        <is>
          <t>能效评价指标体系</t>
        </is>
      </c>
      <c r="K3" s="55" t="inlineStr">
        <is>
          <t>名义制冷量
(kW)</t>
        </is>
      </c>
      <c r="L3" s="55" t="inlineStr">
        <is>
          <t>名义制热量
(kW)</t>
        </is>
      </c>
      <c r="M3" s="55" t="inlineStr">
        <is>
          <t>额定功率
(kW)</t>
        </is>
      </c>
      <c r="N3" s="108" t="inlineStr">
        <is>
          <t>分级指标名称（自动）</t>
        </is>
      </c>
      <c r="O3" s="55" t="inlineStr">
        <is>
          <t>分级指标设计值
(无量纲)</t>
        </is>
      </c>
      <c r="P3" s="108" t="inlineStr">
        <is>
          <t>辅助约束指标1名称（自动）</t>
        </is>
      </c>
      <c r="Q3" s="55" t="inlineStr">
        <is>
          <t>辅助约束指标1设计值
(无量纲)</t>
        </is>
      </c>
      <c r="R3" s="108" t="inlineStr">
        <is>
          <t>辅助约束指标2名称（自动）</t>
        </is>
      </c>
      <c r="S3" s="55" t="inlineStr">
        <is>
          <t>辅助约束指标2设计值
(无量纲)</t>
        </is>
      </c>
      <c r="T3" s="108" t="inlineStr">
        <is>
          <t>适用标准表（自动）</t>
        </is>
      </c>
      <c r="U3" s="108" t="inlineStr">
        <is>
          <t>容量分档（自动）</t>
        </is>
      </c>
      <c r="V3" s="63" t="inlineStr">
        <is>
          <t>1级标准值
(无量纲)</t>
        </is>
      </c>
      <c r="W3" s="63" t="inlineStr">
        <is>
          <t>2级标准值
(无量纲)</t>
        </is>
      </c>
      <c r="X3" s="63" t="inlineStr">
        <is>
          <t>3级标准值
(无量纲)</t>
        </is>
      </c>
      <c r="Y3" s="76" t="inlineStr">
        <is>
          <t>能效等级</t>
        </is>
      </c>
      <c r="Z3" s="88" t="inlineStr">
        <is>
          <t>铭牌照片</t>
        </is>
      </c>
      <c r="AA3" s="88" t="inlineStr">
        <is>
          <t>填表备注</t>
        </is>
      </c>
      <c r="AB3" s="88" t="inlineStr">
        <is>
          <t>自动备注</t>
        </is>
      </c>
    </row>
    <row r="4" ht="42" customHeight="1" s="184">
      <c r="A4" s="224">
        <f>IF(COUNTA(B4,C4,D4,E4,F4,G4,H4,I4,J4,K4,L4,M4,O4,Q4,S4,Z4,AA4)&gt;0,ROW()-3,"")</f>
        <v/>
      </c>
      <c r="B4" s="176" t="n"/>
      <c r="C4" s="176" t="n"/>
      <c r="D4" s="228" t="n"/>
      <c r="E4" s="176" t="n"/>
      <c r="F4" s="218" t="n"/>
      <c r="G4" s="176" t="n"/>
      <c r="H4" s="176" t="n"/>
      <c r="I4" s="176" t="n"/>
      <c r="J4" s="218" t="n"/>
      <c r="K4" s="229" t="n"/>
      <c r="L4" s="229" t="n"/>
      <c r="M4" s="229" t="n"/>
      <c r="N4" s="115">
        <f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f>
        <v/>
      </c>
      <c r="O4" s="229" t="n"/>
      <c r="P4" s="115">
        <f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f>
        <v/>
      </c>
      <c r="Q4" s="229" t="n"/>
      <c r="R4" s="115">
        <f>IF(F4="低环境温度空气源热泵（冷水）机组","COPh","")</f>
        <v/>
      </c>
      <c r="S4" s="229" t="n"/>
      <c r="T4" s="115">
        <f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f>
        <v/>
      </c>
      <c r="U4" s="115">
        <f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f>
        <v/>
      </c>
      <c r="V4" s="227" t="n"/>
      <c r="W4" s="227" t="n"/>
      <c r="X4" s="227" t="n"/>
      <c r="Y4" s="81" t="n"/>
      <c r="Z4" s="180" t="n"/>
      <c r="AA4" s="180" t="n"/>
      <c r="AB4" s="99">
        <f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f>
        <v/>
      </c>
    </row>
    <row r="5" ht="42" customHeight="1" s="184">
      <c r="A5" s="224">
        <f>IF(COUNTA(B5,C5,D5,E5,F5,G5,H5,I5,J5,K5,L5,M5,O5,Q5,S5,Z5,AA5)&gt;0,ROW()-3,"")</f>
        <v/>
      </c>
      <c r="B5" s="176" t="n"/>
      <c r="C5" s="176" t="n"/>
      <c r="D5" s="228" t="n"/>
      <c r="E5" s="176" t="n"/>
      <c r="F5" s="218" t="n"/>
      <c r="G5" s="176" t="n"/>
      <c r="H5" s="176" t="n"/>
      <c r="I5" s="176" t="n"/>
      <c r="J5" s="218" t="n"/>
      <c r="K5" s="229" t="n"/>
      <c r="L5" s="229" t="n"/>
      <c r="M5" s="229" t="n"/>
      <c r="N5" s="115">
        <f>IF(F5="","",IF(OR(F5="蒸气压缩循环冷水（热泵）机组-舒适型",F5="蒸气压缩循环冷水（热泵）机组-数据中心专用型"),IF(J5="制冷性能系数COPc指标体系（表2）","COPc",IF(F5="蒸气压缩循环冷水（热泵）机组-数据中心专用型","ACCOP",IF(I5="风冷式","CSPF","IPLV"))),IF(F5="低环境温度空气源热泵（冷水）机组",IF(H5="风机盘管型","APF","HSPF"),IF(F5="水（地）源热泵机组",IF(ISNUMBER(SEARCH("单热型",H5&amp;"")),"COP","ACOP"),IF(F5="溴化锂吸收式冷（温）水机组",IF(G5="GB/T 18431","单位制冷量加热源耗量","COP"),IF(F5="蒸气压缩循环高温热泵机组",IF(G5="GB/T 25861","COPH","COP"),IF(F5="间接蒸发冷却冷水机组",IF(G5="JB/T 14642","AEER","EER"),IF(F5="一体式冷水（热泵）机组","IPLV(I)",""))))))))</f>
        <v/>
      </c>
      <c r="O5" s="229" t="n"/>
      <c r="P5" s="115">
        <f>IF(F5="","",IF(OR(F5="蒸气压缩循环冷水（热泵）机组-舒适型",F5="蒸气压缩循环冷水（热泵）机组-数据中心专用型"),IF(J5="制冷性能系数COPc指标体系（表2）",IF(F5="蒸气压缩循环冷水（热泵）机组-数据中心专用型","ACCOP",IF(I5="风冷式","CSPF","IPLV")),"COPc"),IF(F5="低环境温度空气源热泵（冷水）机组","COPdh",IF(AND(F5="间接蒸发冷却冷水机组",G5="JB/T 14642"),"EER",IF(F5="一体式冷水（热泵）机组","COP(I)","")))))</f>
        <v/>
      </c>
      <c r="Q5" s="229" t="n"/>
      <c r="R5" s="115">
        <f>IF(F5="低环境温度空气源热泵（冷水）机组","COPh","")</f>
        <v/>
      </c>
      <c r="S5" s="229" t="n"/>
      <c r="T5" s="115">
        <f>IF(F5="","",IF(OR(F5="蒸气压缩循环冷水（热泵）机组-舒适型",F5="蒸气压缩循环冷水（热泵）机组-数据中心专用型"),IF(J5="制冷性能系数COPc指标体系（表2）","表2","表1"),IF(F5="低环境温度空气源热泵（冷水）机组","表3",IF(F5="水（地）源热泵机组","表4",IF(F5="溴化锂吸收式冷（温）水机组","表5",IF(F5="蒸气压缩循环高温热泵机组","表6",IF(F5="间接蒸发冷却冷水机组","表7",IF(F5="一体式冷水（热泵）机组","表8",""))))))))</f>
        <v/>
      </c>
      <c r="U5" s="115">
        <f>IF(F5="","",IF(F5="蒸气压缩循环冷水（热泵）机组-舒适型",IF(I5="风冷式",IF(K5="","",IF(K5&lt;=50,"≤50 kW","&gt;50 kW")),IF(K5="","",IF(K5&lt;=300,"≤300 kW",IF(K5&lt;=528,"300～528 kW",IF(K5&lt;=1163,"528～1163 kW","&gt;1163 kW"))))),IF(F5="蒸气压缩循环冷水（热泵）机组-数据中心专用型",IF(I5="风冷式","不分容量档",IF(K5="","",IF(K5&lt;=528,"≤528 kW",IF(K5&lt;=1163,"528～1163 kW","&gt;1163 kW")))),IF(F5="低环境温度空气源热泵（冷水）机组",IF(L5="","",IF(L5&lt;=35,"≤35 kW","&gt;35 kW")),IF(F5="水（地）源热泵机组",IF(ISNUMBER(SEARCH("冷热风型",H5&amp;"")),"不分容量档",IF(IF(ISNUMBER(SEARCH("单热型",H5&amp;"")),L5,K5)="","",IF(IF(ISNUMBER(SEARCH("单热型",H5&amp;"")),L5,K5)&lt;=260,"≤260 kW","&gt;260 kW"))),IF(F5="间接蒸发冷却冷水机组",IF(K5="","",IF(K5&lt;=100,"≤100 kW","&gt;100 kW")),IF(F5="一体式冷水（热泵）机组",IF(I5="风冷式",IF(K5="","",IF(K5&lt;=50,"≤50 kW","&gt;50 kW")),IF(K5="","",IF(K5&lt;=300,"≤300 kW",IF(K5&lt;=528,"300～528 kW",IF(K5&lt;=1163,"528～1163 kW","&gt;1163 kW"))))),"不分容量档")))))))</f>
        <v/>
      </c>
      <c r="V5" s="227" t="n"/>
      <c r="W5" s="227" t="n"/>
      <c r="X5" s="227" t="n"/>
      <c r="Y5" s="81" t="n"/>
      <c r="Z5" s="180" t="n"/>
      <c r="AA5" s="180" t="n"/>
      <c r="AB5" s="99">
        <f>IF(COUNTA(B5,C5,D5,E5,F5,G5,H5,I5,J5,K5,L5,M5,O5,Q5,S5,Z5,AA5)&gt;0,TEXTJOIN("；",TRUE,IF(B5="","缺少设备名称",""),IF(AND(ISTEXT(B5),OR(B5&lt;&gt;TRIM(B5),ISNUMBER(SEARCH("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",E5)))),"安装位置含首尾空格或全角空格",""),IF(F5="","缺少设备类别",""),IF(F5="","",IF(COUNTIF(EV_HP_CHILLER_CATEGORY,F5)=0,"设备类别不在标准枚举中","")),IF(AND(ISTEXT(F5),OR(F5&lt;&gt;TRIM(F5),ISNUMBER(SEARCH("　",F5)))),"设备类别含首尾空格或全角空格",""),IF(G5="","缺少产品标准",""),IF(G5="","",IF(COUNTIF(EV_HP_STD_ALL,G5)=0,"产品标准不在标准枚举中","")),IF(AND(ISTEXT(G5),OR(G5&lt;&gt;TRIM(G5),ISNUMBER(SEARCH("　",G5)))),"产品标准含首尾空格或全角空格",""),IF(H5="","缺少机组型式",""),IF(H5="","",IF(COUNTIF(EV_HP_UNIT_ALL,H5)=0,"机组型式不在标准枚举中","")),IF(AND(ISTEXT(H5),OR(H5&lt;&gt;TRIM(H5),ISNUMBER(SEARCH("　",H5)))),"机组型式含首尾空格或全角空格",""),IF(I5="","缺少冷却/热源方式",""),IF(I5="","",IF(COUNTIF(EV_HP_SOURCE_ALL,I5)=0,"冷却/热源方式不在标准枚举中","")),IF(AND(ISTEXT(I5),OR(I5&lt;&gt;TRIM(I5),ISNUMBER(SEARCH("　",I5)))),"冷却/热源方式含首尾空格或全角空格",""),IF(J5="","缺少能效评价指标体系",""),IF(J5="","",IF(COUNTIF(EV_HP_EVAL_SYSTEM,J5)=0,"能效评价指标体系不在标准枚举中","")),IF(AND(ISTEXT(J5),OR(J5&lt;&gt;TRIM(J5),ISNUMBER(SEARCH("　",J5)))),"能效评价指标体系含首尾空格或全角空格",""),IF(K5="","",IF(NOT(ISNUMBER(K5)),"名义制冷量应为数值",IF(K5&lt;=0,"名义制冷量应大于0",""))),IF(L5="","",IF(NOT(ISNUMBER(L5)),"名义制热量应为数值",IF(L5&lt;=0,"名义制热量应大于0",""))),IF(M5="","缺少额定功率",""),IF(M5="","",IF(NOT(ISNUMBER(M5)),"额定功率应为数值",IF(M5&lt;=0,"额定功率应大于0",""))),IF(O5="","缺少分级指标设计值",""),IF(O5="","",IF(NOT(ISNUMBER(O5)),"分级指标设计值应为数值",IF(O5&lt;=0,"分级指标设计值应大于0",""))),IF(Q5="","",IF(NOT(ISNUMBER(Q5)),"辅助约束指标1设计值应为数值",IF(Q5&lt;=0,"辅助约束指标1设计值应大于0",""))),IF(S5="","",IF(NOT(ISNUMBER(S5)),"辅助约束指标2设计值应为数值",IF(S5&lt;=0,"辅助约束指标2设计值应大于0",""))),IF(Z5="","缺少铭牌照片",""),IF(AND(ISTEXT(AA5),OR(AA5&lt;&gt;TRIM(AA5),ISNUMBER(SEARCH("　",AA5)))),"填表备注含首尾空格或全角空格",""),IF(AND(K5="",L5=""),"名义制冷量和名义制热量至少填写一项",""),IF(AND(OR(F5="蒸气压缩循环冷水（热泵）机组-舒适型",F5="蒸气压缩循环冷水（热泵）机组-数据中心专用型"),J5="对应产品类别指标体系（表3～表8）"),"蒸气压缩循环机组应选择表1或表2指标体系",""),IF(AND(F5&lt;&gt;"",F5&lt;&gt;"蒸气压缩循环冷水（热泵）机组-舒适型",F5&lt;&gt;"蒸气压缩循环冷水（热泵）机组-数据中心专用型",J5&lt;&gt;"对应产品类别指标体系（表3～表8）"),"当前设备类别应选择表3～表8对应指标体系",""),IF(AND(J5="制冷性能系数COPc指标体系（表2）",OR(F5="蒸气压缩循环冷水（热泵）机组-数据中心专用型",I5="蒸发冷却式",AND(I5="风冷式",ISNUMBER(K5),K5&lt;=50))),"所选机组组合不适用表2 COPc指标体系",""),IF(AND(N5&lt;&gt;"",O5=""),"缺少分级指标设计值",""),IF(AND(P5&lt;&gt;"",Q5=""),"缺少辅助约束指标1设计值",""),IF(AND(R5&lt;&gt;"",S5=""),"缺少辅助约束指标2设计值",""),IF(AND(P5="",Q5&lt;&gt;""),"当前类别不使用辅助约束指标1",""),IF(AND(R5="",S5&lt;&gt;""),"当前类别不使用辅助约束指标2",""),IF(AND(OR(F5="低环境温度空气源热泵（冷水）机组",F5="蒸气压缩循环高温热泵机组"),L5=""),"当前类别缺少名义制热量",""),IF(AND(F5="水（地）源热泵机组",ISNUMBER(SEARCH("单热型",H5&amp;"")),L5=""),"单热型水（地）源热泵缺少名义制热量",""),IF(AND(F5="水（地）源热泵机组",NOT(ISNUMBER(SEARCH("单热型",H5&amp;""))),K5=""),"热泵型水（地）源热泵缺少名义制冷量","")),"")</f>
        <v/>
      </c>
    </row>
    <row r="6" ht="42" customHeight="1" s="184">
      <c r="A6" s="224">
        <f>IF(COUNTA(B6,C6,D6,E6,F6,G6,H6,I6,J6,K6,L6,M6,O6,Q6,S6,Z6,AA6)&gt;0,ROW()-3,"")</f>
        <v/>
      </c>
      <c r="B6" s="176" t="n"/>
      <c r="C6" s="176" t="n"/>
      <c r="D6" s="228" t="n"/>
      <c r="E6" s="176" t="n"/>
      <c r="F6" s="218" t="n"/>
      <c r="G6" s="176" t="n"/>
      <c r="H6" s="176" t="n"/>
      <c r="I6" s="176" t="n"/>
      <c r="J6" s="218" t="n"/>
      <c r="K6" s="229" t="n"/>
      <c r="L6" s="229" t="n"/>
      <c r="M6" s="229" t="n"/>
      <c r="N6" s="115">
        <f>IF(F6="","",IF(OR(F6="蒸气压缩循环冷水（热泵）机组-舒适型",F6="蒸气压缩循环冷水（热泵）机组-数据中心专用型"),IF(J6="制冷性能系数COPc指标体系（表2）","COPc",IF(F6="蒸气压缩循环冷水（热泵）机组-数据中心专用型","ACCOP",IF(I6="风冷式","CSPF","IPLV"))),IF(F6="低环境温度空气源热泵（冷水）机组",IF(H6="风机盘管型","APF","HSPF"),IF(F6="水（地）源热泵机组",IF(ISNUMBER(SEARCH("单热型",H6&amp;"")),"COP","ACOP"),IF(F6="溴化锂吸收式冷（温）水机组",IF(G6="GB/T 18431","单位制冷量加热源耗量","COP"),IF(F6="蒸气压缩循环高温热泵机组",IF(G6="GB/T 25861","COPH","COP"),IF(F6="间接蒸发冷却冷水机组",IF(G6="JB/T 14642","AEER","EER"),IF(F6="一体式冷水（热泵）机组","IPLV(I)",""))))))))</f>
        <v/>
      </c>
      <c r="O6" s="229" t="n"/>
      <c r="P6" s="115">
        <f>IF(F6="","",IF(OR(F6="蒸气压缩循环冷水（热泵）机组-舒适型",F6="蒸气压缩循环冷水（热泵）机组-数据中心专用型"),IF(J6="制冷性能系数COPc指标体系（表2）",IF(F6="蒸气压缩循环冷水（热泵）机组-数据中心专用型","ACCOP",IF(I6="风冷式","CSPF","IPLV")),"COPc"),IF(F6="低环境温度空气源热泵（冷水）机组","COPdh",IF(AND(F6="间接蒸发冷却冷水机组",G6="JB/T 14642"),"EER",IF(F6="一体式冷水（热泵）机组","COP(I)","")))))</f>
        <v/>
      </c>
      <c r="Q6" s="229" t="n"/>
      <c r="R6" s="115">
        <f>IF(F6="低环境温度空气源热泵（冷水）机组","COPh","")</f>
        <v/>
      </c>
      <c r="S6" s="229" t="n"/>
      <c r="T6" s="115">
        <f>IF(F6="","",IF(OR(F6="蒸气压缩循环冷水（热泵）机组-舒适型",F6="蒸气压缩循环冷水（热泵）机组-数据中心专用型"),IF(J6="制冷性能系数COPc指标体系（表2）","表2","表1"),IF(F6="低环境温度空气源热泵（冷水）机组","表3",IF(F6="水（地）源热泵机组","表4",IF(F6="溴化锂吸收式冷（温）水机组","表5",IF(F6="蒸气压缩循环高温热泵机组","表6",IF(F6="间接蒸发冷却冷水机组","表7",IF(F6="一体式冷水（热泵）机组","表8",""))))))))</f>
        <v/>
      </c>
      <c r="U6" s="115">
        <f>IF(F6="","",IF(F6="蒸气压缩循环冷水（热泵）机组-舒适型",IF(I6="风冷式",IF(K6="","",IF(K6&lt;=50,"≤50 kW","&gt;50 kW")),IF(K6="","",IF(K6&lt;=300,"≤300 kW",IF(K6&lt;=528,"300～528 kW",IF(K6&lt;=1163,"528～1163 kW","&gt;1163 kW"))))),IF(F6="蒸气压缩循环冷水（热泵）机组-数据中心专用型",IF(I6="风冷式","不分容量档",IF(K6="","",IF(K6&lt;=528,"≤528 kW",IF(K6&lt;=1163,"528～1163 kW","&gt;1163 kW")))),IF(F6="低环境温度空气源热泵（冷水）机组",IF(L6="","",IF(L6&lt;=35,"≤35 kW","&gt;35 kW")),IF(F6="水（地）源热泵机组",IF(ISNUMBER(SEARCH("冷热风型",H6&amp;"")),"不分容量档",IF(IF(ISNUMBER(SEARCH("单热型",H6&amp;"")),L6,K6)="","",IF(IF(ISNUMBER(SEARCH("单热型",H6&amp;"")),L6,K6)&lt;=260,"≤260 kW","&gt;260 kW"))),IF(F6="间接蒸发冷却冷水机组",IF(K6="","",IF(K6&lt;=100,"≤100 kW","&gt;100 kW")),IF(F6="一体式冷水（热泵）机组",IF(I6="风冷式",IF(K6="","",IF(K6&lt;=50,"≤50 kW","&gt;50 kW")),IF(K6="","",IF(K6&lt;=300,"≤300 kW",IF(K6&lt;=528,"300～528 kW",IF(K6&lt;=1163,"528～1163 kW","&gt;1163 kW"))))),"不分容量档")))))))</f>
        <v/>
      </c>
      <c r="V6" s="227" t="n"/>
      <c r="W6" s="227" t="n"/>
      <c r="X6" s="227" t="n"/>
      <c r="Y6" s="81" t="n"/>
      <c r="Z6" s="180" t="n"/>
      <c r="AA6" s="180" t="n"/>
      <c r="AB6" s="99">
        <f>IF(COUNTA(B6,C6,D6,E6,F6,G6,H6,I6,J6,K6,L6,M6,O6,Q6,S6,Z6,AA6)&gt;0,TEXTJOIN("；",TRUE,IF(B6="","缺少设备名称",""),IF(AND(ISTEXT(B6),OR(B6&lt;&gt;TRIM(B6),ISNUMBER(SEARCH("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",E6)))),"安装位置含首尾空格或全角空格",""),IF(F6="","缺少设备类别",""),IF(F6="","",IF(COUNTIF(EV_HP_CHILLER_CATEGORY,F6)=0,"设备类别不在标准枚举中","")),IF(AND(ISTEXT(F6),OR(F6&lt;&gt;TRIM(F6),ISNUMBER(SEARCH("　",F6)))),"设备类别含首尾空格或全角空格",""),IF(G6="","缺少产品标准",""),IF(G6="","",IF(COUNTIF(EV_HP_STD_ALL,G6)=0,"产品标准不在标准枚举中","")),IF(AND(ISTEXT(G6),OR(G6&lt;&gt;TRIM(G6),ISNUMBER(SEARCH("　",G6)))),"产品标准含首尾空格或全角空格",""),IF(H6="","缺少机组型式",""),IF(H6="","",IF(COUNTIF(EV_HP_UNIT_ALL,H6)=0,"机组型式不在标准枚举中","")),IF(AND(ISTEXT(H6),OR(H6&lt;&gt;TRIM(H6),ISNUMBER(SEARCH("　",H6)))),"机组型式含首尾空格或全角空格",""),IF(I6="","缺少冷却/热源方式",""),IF(I6="","",IF(COUNTIF(EV_HP_SOURCE_ALL,I6)=0,"冷却/热源方式不在标准枚举中","")),IF(AND(ISTEXT(I6),OR(I6&lt;&gt;TRIM(I6),ISNUMBER(SEARCH("　",I6)))),"冷却/热源方式含首尾空格或全角空格",""),IF(J6="","缺少能效评价指标体系",""),IF(J6="","",IF(COUNTIF(EV_HP_EVAL_SYSTEM,J6)=0,"能效评价指标体系不在标准枚举中","")),IF(AND(ISTEXT(J6),OR(J6&lt;&gt;TRIM(J6),ISNUMBER(SEARCH("　",J6)))),"能效评价指标体系含首尾空格或全角空格",""),IF(K6="","",IF(NOT(ISNUMBER(K6)),"名义制冷量应为数值",IF(K6&lt;=0,"名义制冷量应大于0",""))),IF(L6="","",IF(NOT(ISNUMBER(L6)),"名义制热量应为数值",IF(L6&lt;=0,"名义制热量应大于0",""))),IF(M6="","缺少额定功率",""),IF(M6="","",IF(NOT(ISNUMBER(M6)),"额定功率应为数值",IF(M6&lt;=0,"额定功率应大于0",""))),IF(O6="","缺少分级指标设计值",""),IF(O6="","",IF(NOT(ISNUMBER(O6)),"分级指标设计值应为数值",IF(O6&lt;=0,"分级指标设计值应大于0",""))),IF(Q6="","",IF(NOT(ISNUMBER(Q6)),"辅助约束指标1设计值应为数值",IF(Q6&lt;=0,"辅助约束指标1设计值应大于0",""))),IF(S6="","",IF(NOT(ISNUMBER(S6)),"辅助约束指标2设计值应为数值",IF(S6&lt;=0,"辅助约束指标2设计值应大于0",""))),IF(Z6="","缺少铭牌照片",""),IF(AND(ISTEXT(AA6),OR(AA6&lt;&gt;TRIM(AA6),ISNUMBER(SEARCH("　",AA6)))),"填表备注含首尾空格或全角空格",""),IF(AND(K6="",L6=""),"名义制冷量和名义制热量至少填写一项",""),IF(AND(OR(F6="蒸气压缩循环冷水（热泵）机组-舒适型",F6="蒸气压缩循环冷水（热泵）机组-数据中心专用型"),J6="对应产品类别指标体系（表3～表8）"),"蒸气压缩循环机组应选择表1或表2指标体系",""),IF(AND(F6&lt;&gt;"",F6&lt;&gt;"蒸气压缩循环冷水（热泵）机组-舒适型",F6&lt;&gt;"蒸气压缩循环冷水（热泵）机组-数据中心专用型",J6&lt;&gt;"对应产品类别指标体系（表3～表8）"),"当前设备类别应选择表3～表8对应指标体系",""),IF(AND(J6="制冷性能系数COPc指标体系（表2）",OR(F6="蒸气压缩循环冷水（热泵）机组-数据中心专用型",I6="蒸发冷却式",AND(I6="风冷式",ISNUMBER(K6),K6&lt;=50))),"所选机组组合不适用表2 COPc指标体系",""),IF(AND(N6&lt;&gt;"",O6=""),"缺少分级指标设计值",""),IF(AND(P6&lt;&gt;"",Q6=""),"缺少辅助约束指标1设计值",""),IF(AND(R6&lt;&gt;"",S6=""),"缺少辅助约束指标2设计值",""),IF(AND(P6="",Q6&lt;&gt;""),"当前类别不使用辅助约束指标1",""),IF(AND(R6="",S6&lt;&gt;""),"当前类别不使用辅助约束指标2",""),IF(AND(OR(F6="低环境温度空气源热泵（冷水）机组",F6="蒸气压缩循环高温热泵机组"),L6=""),"当前类别缺少名义制热量",""),IF(AND(F6="水（地）源热泵机组",ISNUMBER(SEARCH("单热型",H6&amp;"")),L6=""),"单热型水（地）源热泵缺少名义制热量",""),IF(AND(F6="水（地）源热泵机组",NOT(ISNUMBER(SEARCH("单热型",H6&amp;""))),K6=""),"热泵型水（地）源热泵缺少名义制冷量","")),"")</f>
        <v/>
      </c>
    </row>
    <row r="7" ht="42" customHeight="1" s="184">
      <c r="A7" s="224">
        <f>IF(COUNTA(B7,C7,D7,E7,F7,G7,H7,I7,J7,K7,L7,M7,O7,Q7,S7,Z7,AA7)&gt;0,ROW()-3,"")</f>
        <v/>
      </c>
      <c r="B7" s="176" t="n"/>
      <c r="C7" s="176" t="n"/>
      <c r="D7" s="228" t="n"/>
      <c r="E7" s="176" t="n"/>
      <c r="F7" s="218" t="n"/>
      <c r="G7" s="176" t="n"/>
      <c r="H7" s="176" t="n"/>
      <c r="I7" s="176" t="n"/>
      <c r="J7" s="218" t="n"/>
      <c r="K7" s="229" t="n"/>
      <c r="L7" s="229" t="n"/>
      <c r="M7" s="229" t="n"/>
      <c r="N7" s="115">
        <f>IF(F7="","",IF(OR(F7="蒸气压缩循环冷水（热泵）机组-舒适型",F7="蒸气压缩循环冷水（热泵）机组-数据中心专用型"),IF(J7="制冷性能系数COPc指标体系（表2）","COPc",IF(F7="蒸气压缩循环冷水（热泵）机组-数据中心专用型","ACCOP",IF(I7="风冷式","CSPF","IPLV"))),IF(F7="低环境温度空气源热泵（冷水）机组",IF(H7="风机盘管型","APF","HSPF"),IF(F7="水（地）源热泵机组",IF(ISNUMBER(SEARCH("单热型",H7&amp;"")),"COP","ACOP"),IF(F7="溴化锂吸收式冷（温）水机组",IF(G7="GB/T 18431","单位制冷量加热源耗量","COP"),IF(F7="蒸气压缩循环高温热泵机组",IF(G7="GB/T 25861","COPH","COP"),IF(F7="间接蒸发冷却冷水机组",IF(G7="JB/T 14642","AEER","EER"),IF(F7="一体式冷水（热泵）机组","IPLV(I)",""))))))))</f>
        <v/>
      </c>
      <c r="O7" s="229" t="n"/>
      <c r="P7" s="115">
        <f>IF(F7="","",IF(OR(F7="蒸气压缩循环冷水（热泵）机组-舒适型",F7="蒸气压缩循环冷水（热泵）机组-数据中心专用型"),IF(J7="制冷性能系数COPc指标体系（表2）",IF(F7="蒸气压缩循环冷水（热泵）机组-数据中心专用型","ACCOP",IF(I7="风冷式","CSPF","IPLV")),"COPc"),IF(F7="低环境温度空气源热泵（冷水）机组","COPdh",IF(AND(F7="间接蒸发冷却冷水机组",G7="JB/T 14642"),"EER",IF(F7="一体式冷水（热泵）机组","COP(I)","")))))</f>
        <v/>
      </c>
      <c r="Q7" s="229" t="n"/>
      <c r="R7" s="115">
        <f>IF(F7="低环境温度空气源热泵（冷水）机组","COPh","")</f>
        <v/>
      </c>
      <c r="S7" s="229" t="n"/>
      <c r="T7" s="115">
        <f>IF(F7="","",IF(OR(F7="蒸气压缩循环冷水（热泵）机组-舒适型",F7="蒸气压缩循环冷水（热泵）机组-数据中心专用型"),IF(J7="制冷性能系数COPc指标体系（表2）","表2","表1"),IF(F7="低环境温度空气源热泵（冷水）机组","表3",IF(F7="水（地）源热泵机组","表4",IF(F7="溴化锂吸收式冷（温）水机组","表5",IF(F7="蒸气压缩循环高温热泵机组","表6",IF(F7="间接蒸发冷却冷水机组","表7",IF(F7="一体式冷水（热泵）机组","表8",""))))))))</f>
        <v/>
      </c>
      <c r="U7" s="115">
        <f>IF(F7="","",IF(F7="蒸气压缩循环冷水（热泵）机组-舒适型",IF(I7="风冷式",IF(K7="","",IF(K7&lt;=50,"≤50 kW","&gt;50 kW")),IF(K7="","",IF(K7&lt;=300,"≤300 kW",IF(K7&lt;=528,"300～528 kW",IF(K7&lt;=1163,"528～1163 kW","&gt;1163 kW"))))),IF(F7="蒸气压缩循环冷水（热泵）机组-数据中心专用型",IF(I7="风冷式","不分容量档",IF(K7="","",IF(K7&lt;=528,"≤528 kW",IF(K7&lt;=1163,"528～1163 kW","&gt;1163 kW")))),IF(F7="低环境温度空气源热泵（冷水）机组",IF(L7="","",IF(L7&lt;=35,"≤35 kW","&gt;35 kW")),IF(F7="水（地）源热泵机组",IF(ISNUMBER(SEARCH("冷热风型",H7&amp;"")),"不分容量档",IF(IF(ISNUMBER(SEARCH("单热型",H7&amp;"")),L7,K7)="","",IF(IF(ISNUMBER(SEARCH("单热型",H7&amp;"")),L7,K7)&lt;=260,"≤260 kW","&gt;260 kW"))),IF(F7="间接蒸发冷却冷水机组",IF(K7="","",IF(K7&lt;=100,"≤100 kW","&gt;100 kW")),IF(F7="一体式冷水（热泵）机组",IF(I7="风冷式",IF(K7="","",IF(K7&lt;=50,"≤50 kW","&gt;50 kW")),IF(K7="","",IF(K7&lt;=300,"≤300 kW",IF(K7&lt;=528,"300～528 kW",IF(K7&lt;=1163,"528～1163 kW","&gt;1163 kW"))))),"不分容量档")))))))</f>
        <v/>
      </c>
      <c r="V7" s="227" t="n"/>
      <c r="W7" s="227" t="n"/>
      <c r="X7" s="227" t="n"/>
      <c r="Y7" s="81" t="n"/>
      <c r="Z7" s="180" t="n"/>
      <c r="AA7" s="180" t="n"/>
      <c r="AB7" s="99">
        <f>IF(COUNTA(B7,C7,D7,E7,F7,G7,H7,I7,J7,K7,L7,M7,O7,Q7,S7,Z7,AA7)&gt;0,TEXTJOIN("；",TRUE,IF(B7="","缺少设备名称",""),IF(AND(ISTEXT(B7),OR(B7&lt;&gt;TRIM(B7),ISNUMBER(SEARCH("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",E7)))),"安装位置含首尾空格或全角空格",""),IF(F7="","缺少设备类别",""),IF(F7="","",IF(COUNTIF(EV_HP_CHILLER_CATEGORY,F7)=0,"设备类别不在标准枚举中","")),IF(AND(ISTEXT(F7),OR(F7&lt;&gt;TRIM(F7),ISNUMBER(SEARCH("　",F7)))),"设备类别含首尾空格或全角空格",""),IF(G7="","缺少产品标准",""),IF(G7="","",IF(COUNTIF(EV_HP_STD_ALL,G7)=0,"产品标准不在标准枚举中","")),IF(AND(ISTEXT(G7),OR(G7&lt;&gt;TRIM(G7),ISNUMBER(SEARCH("　",G7)))),"产品标准含首尾空格或全角空格",""),IF(H7="","缺少机组型式",""),IF(H7="","",IF(COUNTIF(EV_HP_UNIT_ALL,H7)=0,"机组型式不在标准枚举中","")),IF(AND(ISTEXT(H7),OR(H7&lt;&gt;TRIM(H7),ISNUMBER(SEARCH("　",H7)))),"机组型式含首尾空格或全角空格",""),IF(I7="","缺少冷却/热源方式",""),IF(I7="","",IF(COUNTIF(EV_HP_SOURCE_ALL,I7)=0,"冷却/热源方式不在标准枚举中","")),IF(AND(ISTEXT(I7),OR(I7&lt;&gt;TRIM(I7),ISNUMBER(SEARCH("　",I7)))),"冷却/热源方式含首尾空格或全角空格",""),IF(J7="","缺少能效评价指标体系",""),IF(J7="","",IF(COUNTIF(EV_HP_EVAL_SYSTEM,J7)=0,"能效评价指标体系不在标准枚举中","")),IF(AND(ISTEXT(J7),OR(J7&lt;&gt;TRIM(J7),ISNUMBER(SEARCH("　",J7)))),"能效评价指标体系含首尾空格或全角空格",""),IF(K7="","",IF(NOT(ISNUMBER(K7)),"名义制冷量应为数值",IF(K7&lt;=0,"名义制冷量应大于0",""))),IF(L7="","",IF(NOT(ISNUMBER(L7)),"名义制热量应为数值",IF(L7&lt;=0,"名义制热量应大于0",""))),IF(M7="","缺少额定功率",""),IF(M7="","",IF(NOT(ISNUMBER(M7)),"额定功率应为数值",IF(M7&lt;=0,"额定功率应大于0",""))),IF(O7="","缺少分级指标设计值",""),IF(O7="","",IF(NOT(ISNUMBER(O7)),"分级指标设计值应为数值",IF(O7&lt;=0,"分级指标设计值应大于0",""))),IF(Q7="","",IF(NOT(ISNUMBER(Q7)),"辅助约束指标1设计值应为数值",IF(Q7&lt;=0,"辅助约束指标1设计值应大于0",""))),IF(S7="","",IF(NOT(ISNUMBER(S7)),"辅助约束指标2设计值应为数值",IF(S7&lt;=0,"辅助约束指标2设计值应大于0",""))),IF(Z7="","缺少铭牌照片",""),IF(AND(ISTEXT(AA7),OR(AA7&lt;&gt;TRIM(AA7),ISNUMBER(SEARCH("　",AA7)))),"填表备注含首尾空格或全角空格",""),IF(AND(K7="",L7=""),"名义制冷量和名义制热量至少填写一项",""),IF(AND(OR(F7="蒸气压缩循环冷水（热泵）机组-舒适型",F7="蒸气压缩循环冷水（热泵）机组-数据中心专用型"),J7="对应产品类别指标体系（表3～表8）"),"蒸气压缩循环机组应选择表1或表2指标体系",""),IF(AND(F7&lt;&gt;"",F7&lt;&gt;"蒸气压缩循环冷水（热泵）机组-舒适型",F7&lt;&gt;"蒸气压缩循环冷水（热泵）机组-数据中心专用型",J7&lt;&gt;"对应产品类别指标体系（表3～表8）"),"当前设备类别应选择表3～表8对应指标体系",""),IF(AND(J7="制冷性能系数COPc指标体系（表2）",OR(F7="蒸气压缩循环冷水（热泵）机组-数据中心专用型",I7="蒸发冷却式",AND(I7="风冷式",ISNUMBER(K7),K7&lt;=50))),"所选机组组合不适用表2 COPc指标体系",""),IF(AND(N7&lt;&gt;"",O7=""),"缺少分级指标设计值",""),IF(AND(P7&lt;&gt;"",Q7=""),"缺少辅助约束指标1设计值",""),IF(AND(R7&lt;&gt;"",S7=""),"缺少辅助约束指标2设计值",""),IF(AND(P7="",Q7&lt;&gt;""),"当前类别不使用辅助约束指标1",""),IF(AND(R7="",S7&lt;&gt;""),"当前类别不使用辅助约束指标2",""),IF(AND(OR(F7="低环境温度空气源热泵（冷水）机组",F7="蒸气压缩循环高温热泵机组"),L7=""),"当前类别缺少名义制热量",""),IF(AND(F7="水（地）源热泵机组",ISNUMBER(SEARCH("单热型",H7&amp;"")),L7=""),"单热型水（地）源热泵缺少名义制热量",""),IF(AND(F7="水（地）源热泵机组",NOT(ISNUMBER(SEARCH("单热型",H7&amp;""))),K7=""),"热泵型水（地）源热泵缺少名义制冷量","")),"")</f>
        <v/>
      </c>
    </row>
    <row r="8" ht="42" customHeight="1" s="184">
      <c r="A8" s="224">
        <f>IF(COUNTA(B8,C8,D8,E8,F8,G8,H8,I8,J8,K8,L8,M8,O8,Q8,S8,Z8,AA8)&gt;0,ROW()-3,"")</f>
        <v/>
      </c>
      <c r="B8" s="176" t="n"/>
      <c r="C8" s="176" t="n"/>
      <c r="D8" s="228" t="n"/>
      <c r="E8" s="176" t="n"/>
      <c r="F8" s="218" t="n"/>
      <c r="G8" s="176" t="n"/>
      <c r="H8" s="176" t="n"/>
      <c r="I8" s="176" t="n"/>
      <c r="J8" s="218" t="n"/>
      <c r="K8" s="229" t="n"/>
      <c r="L8" s="229" t="n"/>
      <c r="M8" s="229" t="n"/>
      <c r="N8" s="115">
        <f>IF(F8="","",IF(OR(F8="蒸气压缩循环冷水（热泵）机组-舒适型",F8="蒸气压缩循环冷水（热泵）机组-数据中心专用型"),IF(J8="制冷性能系数COPc指标体系（表2）","COPc",IF(F8="蒸气压缩循环冷水（热泵）机组-数据中心专用型","ACCOP",IF(I8="风冷式","CSPF","IPLV"))),IF(F8="低环境温度空气源热泵（冷水）机组",IF(H8="风机盘管型","APF","HSPF"),IF(F8="水（地）源热泵机组",IF(ISNUMBER(SEARCH("单热型",H8&amp;"")),"COP","ACOP"),IF(F8="溴化锂吸收式冷（温）水机组",IF(G8="GB/T 18431","单位制冷量加热源耗量","COP"),IF(F8="蒸气压缩循环高温热泵机组",IF(G8="GB/T 25861","COPH","COP"),IF(F8="间接蒸发冷却冷水机组",IF(G8="JB/T 14642","AEER","EER"),IF(F8="一体式冷水（热泵）机组","IPLV(I)",""))))))))</f>
        <v/>
      </c>
      <c r="O8" s="229" t="n"/>
      <c r="P8" s="115">
        <f>IF(F8="","",IF(OR(F8="蒸气压缩循环冷水（热泵）机组-舒适型",F8="蒸气压缩循环冷水（热泵）机组-数据中心专用型"),IF(J8="制冷性能系数COPc指标体系（表2）",IF(F8="蒸气压缩循环冷水（热泵）机组-数据中心专用型","ACCOP",IF(I8="风冷式","CSPF","IPLV")),"COPc"),IF(F8="低环境温度空气源热泵（冷水）机组","COPdh",IF(AND(F8="间接蒸发冷却冷水机组",G8="JB/T 14642"),"EER",IF(F8="一体式冷水（热泵）机组","COP(I)","")))))</f>
        <v/>
      </c>
      <c r="Q8" s="229" t="n"/>
      <c r="R8" s="115">
        <f>IF(F8="低环境温度空气源热泵（冷水）机组","COPh","")</f>
        <v/>
      </c>
      <c r="S8" s="229" t="n"/>
      <c r="T8" s="115">
        <f>IF(F8="","",IF(OR(F8="蒸气压缩循环冷水（热泵）机组-舒适型",F8="蒸气压缩循环冷水（热泵）机组-数据中心专用型"),IF(J8="制冷性能系数COPc指标体系（表2）","表2","表1"),IF(F8="低环境温度空气源热泵（冷水）机组","表3",IF(F8="水（地）源热泵机组","表4",IF(F8="溴化锂吸收式冷（温）水机组","表5",IF(F8="蒸气压缩循环高温热泵机组","表6",IF(F8="间接蒸发冷却冷水机组","表7",IF(F8="一体式冷水（热泵）机组","表8",""))))))))</f>
        <v/>
      </c>
      <c r="U8" s="115">
        <f>IF(F8="","",IF(F8="蒸气压缩循环冷水（热泵）机组-舒适型",IF(I8="风冷式",IF(K8="","",IF(K8&lt;=50,"≤50 kW","&gt;50 kW")),IF(K8="","",IF(K8&lt;=300,"≤300 kW",IF(K8&lt;=528,"300～528 kW",IF(K8&lt;=1163,"528～1163 kW","&gt;1163 kW"))))),IF(F8="蒸气压缩循环冷水（热泵）机组-数据中心专用型",IF(I8="风冷式","不分容量档",IF(K8="","",IF(K8&lt;=528,"≤528 kW",IF(K8&lt;=1163,"528～1163 kW","&gt;1163 kW")))),IF(F8="低环境温度空气源热泵（冷水）机组",IF(L8="","",IF(L8&lt;=35,"≤35 kW","&gt;35 kW")),IF(F8="水（地）源热泵机组",IF(ISNUMBER(SEARCH("冷热风型",H8&amp;"")),"不分容量档",IF(IF(ISNUMBER(SEARCH("单热型",H8&amp;"")),L8,K8)="","",IF(IF(ISNUMBER(SEARCH("单热型",H8&amp;"")),L8,K8)&lt;=260,"≤260 kW","&gt;260 kW"))),IF(F8="间接蒸发冷却冷水机组",IF(K8="","",IF(K8&lt;=100,"≤100 kW","&gt;100 kW")),IF(F8="一体式冷水（热泵）机组",IF(I8="风冷式",IF(K8="","",IF(K8&lt;=50,"≤50 kW","&gt;50 kW")),IF(K8="","",IF(K8&lt;=300,"≤300 kW",IF(K8&lt;=528,"300～528 kW",IF(K8&lt;=1163,"528～1163 kW","&gt;1163 kW"))))),"不分容量档")))))))</f>
        <v/>
      </c>
      <c r="V8" s="227" t="n"/>
      <c r="W8" s="227" t="n"/>
      <c r="X8" s="227" t="n"/>
      <c r="Y8" s="81" t="n"/>
      <c r="Z8" s="180" t="n"/>
      <c r="AA8" s="180" t="n"/>
      <c r="AB8" s="99">
        <f>IF(COUNTA(B8,C8,D8,E8,F8,G8,H8,I8,J8,K8,L8,M8,O8,Q8,S8,Z8,AA8)&gt;0,TEXTJOIN("；",TRUE,IF(B8="","缺少设备名称",""),IF(AND(ISTEXT(B8),OR(B8&lt;&gt;TRIM(B8),ISNUMBER(SEARCH("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",E8)))),"安装位置含首尾空格或全角空格",""),IF(F8="","缺少设备类别",""),IF(F8="","",IF(COUNTIF(EV_HP_CHILLER_CATEGORY,F8)=0,"设备类别不在标准枚举中","")),IF(AND(ISTEXT(F8),OR(F8&lt;&gt;TRIM(F8),ISNUMBER(SEARCH("　",F8)))),"设备类别含首尾空格或全角空格",""),IF(G8="","缺少产品标准",""),IF(G8="","",IF(COUNTIF(EV_HP_STD_ALL,G8)=0,"产品标准不在标准枚举中","")),IF(AND(ISTEXT(G8),OR(G8&lt;&gt;TRIM(G8),ISNUMBER(SEARCH("　",G8)))),"产品标准含首尾空格或全角空格",""),IF(H8="","缺少机组型式",""),IF(H8="","",IF(COUNTIF(EV_HP_UNIT_ALL,H8)=0,"机组型式不在标准枚举中","")),IF(AND(ISTEXT(H8),OR(H8&lt;&gt;TRIM(H8),ISNUMBER(SEARCH("　",H8)))),"机组型式含首尾空格或全角空格",""),IF(I8="","缺少冷却/热源方式",""),IF(I8="","",IF(COUNTIF(EV_HP_SOURCE_ALL,I8)=0,"冷却/热源方式不在标准枚举中","")),IF(AND(ISTEXT(I8),OR(I8&lt;&gt;TRIM(I8),ISNUMBER(SEARCH("　",I8)))),"冷却/热源方式含首尾空格或全角空格",""),IF(J8="","缺少能效评价指标体系",""),IF(J8="","",IF(COUNTIF(EV_HP_EVAL_SYSTEM,J8)=0,"能效评价指标体系不在标准枚举中","")),IF(AND(ISTEXT(J8),OR(J8&lt;&gt;TRIM(J8),ISNUMBER(SEARCH("　",J8)))),"能效评价指标体系含首尾空格或全角空格",""),IF(K8="","",IF(NOT(ISNUMBER(K8)),"名义制冷量应为数值",IF(K8&lt;=0,"名义制冷量应大于0",""))),IF(L8="","",IF(NOT(ISNUMBER(L8)),"名义制热量应为数值",IF(L8&lt;=0,"名义制热量应大于0",""))),IF(M8="","缺少额定功率",""),IF(M8="","",IF(NOT(ISNUMBER(M8)),"额定功率应为数值",IF(M8&lt;=0,"额定功率应大于0",""))),IF(O8="","缺少分级指标设计值",""),IF(O8="","",IF(NOT(ISNUMBER(O8)),"分级指标设计值应为数值",IF(O8&lt;=0,"分级指标设计值应大于0",""))),IF(Q8="","",IF(NOT(ISNUMBER(Q8)),"辅助约束指标1设计值应为数值",IF(Q8&lt;=0,"辅助约束指标1设计值应大于0",""))),IF(S8="","",IF(NOT(ISNUMBER(S8)),"辅助约束指标2设计值应为数值",IF(S8&lt;=0,"辅助约束指标2设计值应大于0",""))),IF(Z8="","缺少铭牌照片",""),IF(AND(ISTEXT(AA8),OR(AA8&lt;&gt;TRIM(AA8),ISNUMBER(SEARCH("　",AA8)))),"填表备注含首尾空格或全角空格",""),IF(AND(K8="",L8=""),"名义制冷量和名义制热量至少填写一项",""),IF(AND(OR(F8="蒸气压缩循环冷水（热泵）机组-舒适型",F8="蒸气压缩循环冷水（热泵）机组-数据中心专用型"),J8="对应产品类别指标体系（表3～表8）"),"蒸气压缩循环机组应选择表1或表2指标体系",""),IF(AND(F8&lt;&gt;"",F8&lt;&gt;"蒸气压缩循环冷水（热泵）机组-舒适型",F8&lt;&gt;"蒸气压缩循环冷水（热泵）机组-数据中心专用型",J8&lt;&gt;"对应产品类别指标体系（表3～表8）"),"当前设备类别应选择表3～表8对应指标体系",""),IF(AND(J8="制冷性能系数COPc指标体系（表2）",OR(F8="蒸气压缩循环冷水（热泵）机组-数据中心专用型",I8="蒸发冷却式",AND(I8="风冷式",ISNUMBER(K8),K8&lt;=50))),"所选机组组合不适用表2 COPc指标体系",""),IF(AND(N8&lt;&gt;"",O8=""),"缺少分级指标设计值",""),IF(AND(P8&lt;&gt;"",Q8=""),"缺少辅助约束指标1设计值",""),IF(AND(R8&lt;&gt;"",S8=""),"缺少辅助约束指标2设计值",""),IF(AND(P8="",Q8&lt;&gt;""),"当前类别不使用辅助约束指标1",""),IF(AND(R8="",S8&lt;&gt;""),"当前类别不使用辅助约束指标2",""),IF(AND(OR(F8="低环境温度空气源热泵（冷水）机组",F8="蒸气压缩循环高温热泵机组"),L8=""),"当前类别缺少名义制热量",""),IF(AND(F8="水（地）源热泵机组",ISNUMBER(SEARCH("单热型",H8&amp;"")),L8=""),"单热型水（地）源热泵缺少名义制热量",""),IF(AND(F8="水（地）源热泵机组",NOT(ISNUMBER(SEARCH("单热型",H8&amp;""))),K8=""),"热泵型水（地）源热泵缺少名义制冷量","")),"")</f>
        <v/>
      </c>
    </row>
    <row r="9" ht="42" customHeight="1" s="184">
      <c r="A9" s="224">
        <f>IF(COUNTA(B9,C9,D9,E9,F9,G9,H9,I9,J9,K9,L9,M9,O9,Q9,S9,Z9,AA9)&gt;0,ROW()-3,"")</f>
        <v/>
      </c>
      <c r="B9" s="176" t="n"/>
      <c r="C9" s="176" t="n"/>
      <c r="D9" s="228" t="n"/>
      <c r="E9" s="176" t="n"/>
      <c r="F9" s="218" t="n"/>
      <c r="G9" s="176" t="n"/>
      <c r="H9" s="176" t="n"/>
      <c r="I9" s="176" t="n"/>
      <c r="J9" s="218" t="n"/>
      <c r="K9" s="229" t="n"/>
      <c r="L9" s="229" t="n"/>
      <c r="M9" s="229" t="n"/>
      <c r="N9" s="115">
        <f>IF(F9="","",IF(OR(F9="蒸气压缩循环冷水（热泵）机组-舒适型",F9="蒸气压缩循环冷水（热泵）机组-数据中心专用型"),IF(J9="制冷性能系数COPc指标体系（表2）","COPc",IF(F9="蒸气压缩循环冷水（热泵）机组-数据中心专用型","ACCOP",IF(I9="风冷式","CSPF","IPLV"))),IF(F9="低环境温度空气源热泵（冷水）机组",IF(H9="风机盘管型","APF","HSPF"),IF(F9="水（地）源热泵机组",IF(ISNUMBER(SEARCH("单热型",H9&amp;"")),"COP","ACOP"),IF(F9="溴化锂吸收式冷（温）水机组",IF(G9="GB/T 18431","单位制冷量加热源耗量","COP"),IF(F9="蒸气压缩循环高温热泵机组",IF(G9="GB/T 25861","COPH","COP"),IF(F9="间接蒸发冷却冷水机组",IF(G9="JB/T 14642","AEER","EER"),IF(F9="一体式冷水（热泵）机组","IPLV(I)",""))))))))</f>
        <v/>
      </c>
      <c r="O9" s="229" t="n"/>
      <c r="P9" s="115">
        <f>IF(F9="","",IF(OR(F9="蒸气压缩循环冷水（热泵）机组-舒适型",F9="蒸气压缩循环冷水（热泵）机组-数据中心专用型"),IF(J9="制冷性能系数COPc指标体系（表2）",IF(F9="蒸气压缩循环冷水（热泵）机组-数据中心专用型","ACCOP",IF(I9="风冷式","CSPF","IPLV")),"COPc"),IF(F9="低环境温度空气源热泵（冷水）机组","COPdh",IF(AND(F9="间接蒸发冷却冷水机组",G9="JB/T 14642"),"EER",IF(F9="一体式冷水（热泵）机组","COP(I)","")))))</f>
        <v/>
      </c>
      <c r="Q9" s="229" t="n"/>
      <c r="R9" s="115">
        <f>IF(F9="低环境温度空气源热泵（冷水）机组","COPh","")</f>
        <v/>
      </c>
      <c r="S9" s="229" t="n"/>
      <c r="T9" s="115">
        <f>IF(F9="","",IF(OR(F9="蒸气压缩循环冷水（热泵）机组-舒适型",F9="蒸气压缩循环冷水（热泵）机组-数据中心专用型"),IF(J9="制冷性能系数COPc指标体系（表2）","表2","表1"),IF(F9="低环境温度空气源热泵（冷水）机组","表3",IF(F9="水（地）源热泵机组","表4",IF(F9="溴化锂吸收式冷（温）水机组","表5",IF(F9="蒸气压缩循环高温热泵机组","表6",IF(F9="间接蒸发冷却冷水机组","表7",IF(F9="一体式冷水（热泵）机组","表8",""))))))))</f>
        <v/>
      </c>
      <c r="U9" s="115">
        <f>IF(F9="","",IF(F9="蒸气压缩循环冷水（热泵）机组-舒适型",IF(I9="风冷式",IF(K9="","",IF(K9&lt;=50,"≤50 kW","&gt;50 kW")),IF(K9="","",IF(K9&lt;=300,"≤300 kW",IF(K9&lt;=528,"300～528 kW",IF(K9&lt;=1163,"528～1163 kW","&gt;1163 kW"))))),IF(F9="蒸气压缩循环冷水（热泵）机组-数据中心专用型",IF(I9="风冷式","不分容量档",IF(K9="","",IF(K9&lt;=528,"≤528 kW",IF(K9&lt;=1163,"528～1163 kW","&gt;1163 kW")))),IF(F9="低环境温度空气源热泵（冷水）机组",IF(L9="","",IF(L9&lt;=35,"≤35 kW","&gt;35 kW")),IF(F9="水（地）源热泵机组",IF(ISNUMBER(SEARCH("冷热风型",H9&amp;"")),"不分容量档",IF(IF(ISNUMBER(SEARCH("单热型",H9&amp;"")),L9,K9)="","",IF(IF(ISNUMBER(SEARCH("单热型",H9&amp;"")),L9,K9)&lt;=260,"≤260 kW","&gt;260 kW"))),IF(F9="间接蒸发冷却冷水机组",IF(K9="","",IF(K9&lt;=100,"≤100 kW","&gt;100 kW")),IF(F9="一体式冷水（热泵）机组",IF(I9="风冷式",IF(K9="","",IF(K9&lt;=50,"≤50 kW","&gt;50 kW")),IF(K9="","",IF(K9&lt;=300,"≤300 kW",IF(K9&lt;=528,"300～528 kW",IF(K9&lt;=1163,"528～1163 kW","&gt;1163 kW"))))),"不分容量档")))))))</f>
        <v/>
      </c>
      <c r="V9" s="227" t="n"/>
      <c r="W9" s="227" t="n"/>
      <c r="X9" s="227" t="n"/>
      <c r="Y9" s="81" t="n"/>
      <c r="Z9" s="180" t="n"/>
      <c r="AA9" s="180" t="n"/>
      <c r="AB9" s="99">
        <f>IF(COUNTA(B9,C9,D9,E9,F9,G9,H9,I9,J9,K9,L9,M9,O9,Q9,S9,Z9,AA9)&gt;0,TEXTJOIN("；",TRUE,IF(B9="","缺少设备名称",""),IF(AND(ISTEXT(B9),OR(B9&lt;&gt;TRIM(B9),ISNUMBER(SEARCH("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",E9)))),"安装位置含首尾空格或全角空格",""),IF(F9="","缺少设备类别",""),IF(F9="","",IF(COUNTIF(EV_HP_CHILLER_CATEGORY,F9)=0,"设备类别不在标准枚举中","")),IF(AND(ISTEXT(F9),OR(F9&lt;&gt;TRIM(F9),ISNUMBER(SEARCH("　",F9)))),"设备类别含首尾空格或全角空格",""),IF(G9="","缺少产品标准",""),IF(G9="","",IF(COUNTIF(EV_HP_STD_ALL,G9)=0,"产品标准不在标准枚举中","")),IF(AND(ISTEXT(G9),OR(G9&lt;&gt;TRIM(G9),ISNUMBER(SEARCH("　",G9)))),"产品标准含首尾空格或全角空格",""),IF(H9="","缺少机组型式",""),IF(H9="","",IF(COUNTIF(EV_HP_UNIT_ALL,H9)=0,"机组型式不在标准枚举中","")),IF(AND(ISTEXT(H9),OR(H9&lt;&gt;TRIM(H9),ISNUMBER(SEARCH("　",H9)))),"机组型式含首尾空格或全角空格",""),IF(I9="","缺少冷却/热源方式",""),IF(I9="","",IF(COUNTIF(EV_HP_SOURCE_ALL,I9)=0,"冷却/热源方式不在标准枚举中","")),IF(AND(ISTEXT(I9),OR(I9&lt;&gt;TRIM(I9),ISNUMBER(SEARCH("　",I9)))),"冷却/热源方式含首尾空格或全角空格",""),IF(J9="","缺少能效评价指标体系",""),IF(J9="","",IF(COUNTIF(EV_HP_EVAL_SYSTEM,J9)=0,"能效评价指标体系不在标准枚举中","")),IF(AND(ISTEXT(J9),OR(J9&lt;&gt;TRIM(J9),ISNUMBER(SEARCH("　",J9)))),"能效评价指标体系含首尾空格或全角空格",""),IF(K9="","",IF(NOT(ISNUMBER(K9)),"名义制冷量应为数值",IF(K9&lt;=0,"名义制冷量应大于0",""))),IF(L9="","",IF(NOT(ISNUMBER(L9)),"名义制热量应为数值",IF(L9&lt;=0,"名义制热量应大于0",""))),IF(M9="","缺少额定功率",""),IF(M9="","",IF(NOT(ISNUMBER(M9)),"额定功率应为数值",IF(M9&lt;=0,"额定功率应大于0",""))),IF(O9="","缺少分级指标设计值",""),IF(O9="","",IF(NOT(ISNUMBER(O9)),"分级指标设计值应为数值",IF(O9&lt;=0,"分级指标设计值应大于0",""))),IF(Q9="","",IF(NOT(ISNUMBER(Q9)),"辅助约束指标1设计值应为数值",IF(Q9&lt;=0,"辅助约束指标1设计值应大于0",""))),IF(S9="","",IF(NOT(ISNUMBER(S9)),"辅助约束指标2设计值应为数值",IF(S9&lt;=0,"辅助约束指标2设计值应大于0",""))),IF(Z9="","缺少铭牌照片",""),IF(AND(ISTEXT(AA9),OR(AA9&lt;&gt;TRIM(AA9),ISNUMBER(SEARCH("　",AA9)))),"填表备注含首尾空格或全角空格",""),IF(AND(K9="",L9=""),"名义制冷量和名义制热量至少填写一项",""),IF(AND(OR(F9="蒸气压缩循环冷水（热泵）机组-舒适型",F9="蒸气压缩循环冷水（热泵）机组-数据中心专用型"),J9="对应产品类别指标体系（表3～表8）"),"蒸气压缩循环机组应选择表1或表2指标体系",""),IF(AND(F9&lt;&gt;"",F9&lt;&gt;"蒸气压缩循环冷水（热泵）机组-舒适型",F9&lt;&gt;"蒸气压缩循环冷水（热泵）机组-数据中心专用型",J9&lt;&gt;"对应产品类别指标体系（表3～表8）"),"当前设备类别应选择表3～表8对应指标体系",""),IF(AND(J9="制冷性能系数COPc指标体系（表2）",OR(F9="蒸气压缩循环冷水（热泵）机组-数据中心专用型",I9="蒸发冷却式",AND(I9="风冷式",ISNUMBER(K9),K9&lt;=50))),"所选机组组合不适用表2 COPc指标体系",""),IF(AND(N9&lt;&gt;"",O9=""),"缺少分级指标设计值",""),IF(AND(P9&lt;&gt;"",Q9=""),"缺少辅助约束指标1设计值",""),IF(AND(R9&lt;&gt;"",S9=""),"缺少辅助约束指标2设计值",""),IF(AND(P9="",Q9&lt;&gt;""),"当前类别不使用辅助约束指标1",""),IF(AND(R9="",S9&lt;&gt;""),"当前类别不使用辅助约束指标2",""),IF(AND(OR(F9="低环境温度空气源热泵（冷水）机组",F9="蒸气压缩循环高温热泵机组"),L9=""),"当前类别缺少名义制热量",""),IF(AND(F9="水（地）源热泵机组",ISNUMBER(SEARCH("单热型",H9&amp;"")),L9=""),"单热型水（地）源热泵缺少名义制热量",""),IF(AND(F9="水（地）源热泵机组",NOT(ISNUMBER(SEARCH("单热型",H9&amp;""))),K9=""),"热泵型水（地）源热泵缺少名义制冷量","")),"")</f>
        <v/>
      </c>
    </row>
    <row r="10" ht="42" customHeight="1" s="184">
      <c r="A10" s="224">
        <f>IF(COUNTA(B10,C10,D10,E10,F10,G10,H10,I10,J10,K10,L10,M10,O10,Q10,S10,Z10,AA10)&gt;0,ROW()-3,"")</f>
        <v/>
      </c>
      <c r="B10" s="176" t="n"/>
      <c r="C10" s="176" t="n"/>
      <c r="D10" s="228" t="n"/>
      <c r="E10" s="176" t="n"/>
      <c r="F10" s="218" t="n"/>
      <c r="G10" s="176" t="n"/>
      <c r="H10" s="176" t="n"/>
      <c r="I10" s="176" t="n"/>
      <c r="J10" s="218" t="n"/>
      <c r="K10" s="229" t="n"/>
      <c r="L10" s="229" t="n"/>
      <c r="M10" s="229" t="n"/>
      <c r="N10" s="115">
        <f>IF(F10="","",IF(OR(F10="蒸气压缩循环冷水（热泵）机组-舒适型",F10="蒸气压缩循环冷水（热泵）机组-数据中心专用型"),IF(J10="制冷性能系数COPc指标体系（表2）","COPc",IF(F10="蒸气压缩循环冷水（热泵）机组-数据中心专用型","ACCOP",IF(I10="风冷式","CSPF","IPLV"))),IF(F10="低环境温度空气源热泵（冷水）机组",IF(H10="风机盘管型","APF","HSPF"),IF(F10="水（地）源热泵机组",IF(ISNUMBER(SEARCH("单热型",H10&amp;"")),"COP","ACOP"),IF(F10="溴化锂吸收式冷（温）水机组",IF(G10="GB/T 18431","单位制冷量加热源耗量","COP"),IF(F10="蒸气压缩循环高温热泵机组",IF(G10="GB/T 25861","COPH","COP"),IF(F10="间接蒸发冷却冷水机组",IF(G10="JB/T 14642","AEER","EER"),IF(F10="一体式冷水（热泵）机组","IPLV(I)",""))))))))</f>
        <v/>
      </c>
      <c r="O10" s="229" t="n"/>
      <c r="P10" s="115">
        <f>IF(F10="","",IF(OR(F10="蒸气压缩循环冷水（热泵）机组-舒适型",F10="蒸气压缩循环冷水（热泵）机组-数据中心专用型"),IF(J10="制冷性能系数COPc指标体系（表2）",IF(F10="蒸气压缩循环冷水（热泵）机组-数据中心专用型","ACCOP",IF(I10="风冷式","CSPF","IPLV")),"COPc"),IF(F10="低环境温度空气源热泵（冷水）机组","COPdh",IF(AND(F10="间接蒸发冷却冷水机组",G10="JB/T 14642"),"EER",IF(F10="一体式冷水（热泵）机组","COP(I)","")))))</f>
        <v/>
      </c>
      <c r="Q10" s="229" t="n"/>
      <c r="R10" s="115">
        <f>IF(F10="低环境温度空气源热泵（冷水）机组","COPh","")</f>
        <v/>
      </c>
      <c r="S10" s="229" t="n"/>
      <c r="T10" s="115">
        <f>IF(F10="","",IF(OR(F10="蒸气压缩循环冷水（热泵）机组-舒适型",F10="蒸气压缩循环冷水（热泵）机组-数据中心专用型"),IF(J10="制冷性能系数COPc指标体系（表2）","表2","表1"),IF(F10="低环境温度空气源热泵（冷水）机组","表3",IF(F10="水（地）源热泵机组","表4",IF(F10="溴化锂吸收式冷（温）水机组","表5",IF(F10="蒸气压缩循环高温热泵机组","表6",IF(F10="间接蒸发冷却冷水机组","表7",IF(F10="一体式冷水（热泵）机组","表8",""))))))))</f>
        <v/>
      </c>
      <c r="U10" s="115">
        <f>IF(F10="","",IF(F10="蒸气压缩循环冷水（热泵）机组-舒适型",IF(I10="风冷式",IF(K10="","",IF(K10&lt;=50,"≤50 kW","&gt;50 kW")),IF(K10="","",IF(K10&lt;=300,"≤300 kW",IF(K10&lt;=528,"300～528 kW",IF(K10&lt;=1163,"528～1163 kW","&gt;1163 kW"))))),IF(F10="蒸气压缩循环冷水（热泵）机组-数据中心专用型",IF(I10="风冷式","不分容量档",IF(K10="","",IF(K10&lt;=528,"≤528 kW",IF(K10&lt;=1163,"528～1163 kW","&gt;1163 kW")))),IF(F10="低环境温度空气源热泵（冷水）机组",IF(L10="","",IF(L10&lt;=35,"≤35 kW","&gt;35 kW")),IF(F10="水（地）源热泵机组",IF(ISNUMBER(SEARCH("冷热风型",H10&amp;"")),"不分容量档",IF(IF(ISNUMBER(SEARCH("单热型",H10&amp;"")),L10,K10)="","",IF(IF(ISNUMBER(SEARCH("单热型",H10&amp;"")),L10,K10)&lt;=260,"≤260 kW","&gt;260 kW"))),IF(F10="间接蒸发冷却冷水机组",IF(K10="","",IF(K10&lt;=100,"≤100 kW","&gt;100 kW")),IF(F10="一体式冷水（热泵）机组",IF(I10="风冷式",IF(K10="","",IF(K10&lt;=50,"≤50 kW","&gt;50 kW")),IF(K10="","",IF(K10&lt;=300,"≤300 kW",IF(K10&lt;=528,"300～528 kW",IF(K10&lt;=1163,"528～1163 kW","&gt;1163 kW"))))),"不分容量档")))))))</f>
        <v/>
      </c>
      <c r="V10" s="227" t="n"/>
      <c r="W10" s="227" t="n"/>
      <c r="X10" s="227" t="n"/>
      <c r="Y10" s="81" t="n"/>
      <c r="Z10" s="180" t="n"/>
      <c r="AA10" s="180" t="n"/>
      <c r="AB10" s="99">
        <f>IF(COUNTA(B10,C10,D10,E10,F10,G10,H10,I10,J10,K10,L10,M10,O10,Q10,S10,Z10,AA10)&gt;0,TEXTJOIN("；",TRUE,IF(B10="","缺少设备名称",""),IF(AND(ISTEXT(B10),OR(B10&lt;&gt;TRIM(B10),ISNUMBER(SEARCH("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",E10)))),"安装位置含首尾空格或全角空格",""),IF(F10="","缺少设备类别",""),IF(F10="","",IF(COUNTIF(EV_HP_CHILLER_CATEGORY,F10)=0,"设备类别不在标准枚举中","")),IF(AND(ISTEXT(F10),OR(F10&lt;&gt;TRIM(F10),ISNUMBER(SEARCH("　",F10)))),"设备类别含首尾空格或全角空格",""),IF(G10="","缺少产品标准",""),IF(G10="","",IF(COUNTIF(EV_HP_STD_ALL,G10)=0,"产品标准不在标准枚举中","")),IF(AND(ISTEXT(G10),OR(G10&lt;&gt;TRIM(G10),ISNUMBER(SEARCH("　",G10)))),"产品标准含首尾空格或全角空格",""),IF(H10="","缺少机组型式",""),IF(H10="","",IF(COUNTIF(EV_HP_UNIT_ALL,H10)=0,"机组型式不在标准枚举中","")),IF(AND(ISTEXT(H10),OR(H10&lt;&gt;TRIM(H10),ISNUMBER(SEARCH("　",H10)))),"机组型式含首尾空格或全角空格",""),IF(I10="","缺少冷却/热源方式",""),IF(I10="","",IF(COUNTIF(EV_HP_SOURCE_ALL,I10)=0,"冷却/热源方式不在标准枚举中","")),IF(AND(ISTEXT(I10),OR(I10&lt;&gt;TRIM(I10),ISNUMBER(SEARCH("　",I10)))),"冷却/热源方式含首尾空格或全角空格",""),IF(J10="","缺少能效评价指标体系",""),IF(J10="","",IF(COUNTIF(EV_HP_EVAL_SYSTEM,J10)=0,"能效评价指标体系不在标准枚举中","")),IF(AND(ISTEXT(J10),OR(J10&lt;&gt;TRIM(J10),ISNUMBER(SEARCH("　",J10)))),"能效评价指标体系含首尾空格或全角空格",""),IF(K10="","",IF(NOT(ISNUMBER(K10)),"名义制冷量应为数值",IF(K10&lt;=0,"名义制冷量应大于0",""))),IF(L10="","",IF(NOT(ISNUMBER(L10)),"名义制热量应为数值",IF(L10&lt;=0,"名义制热量应大于0",""))),IF(M10="","缺少额定功率",""),IF(M10="","",IF(NOT(ISNUMBER(M10)),"额定功率应为数值",IF(M10&lt;=0,"额定功率应大于0",""))),IF(O10="","缺少分级指标设计值",""),IF(O10="","",IF(NOT(ISNUMBER(O10)),"分级指标设计值应为数值",IF(O10&lt;=0,"分级指标设计值应大于0",""))),IF(Q10="","",IF(NOT(ISNUMBER(Q10)),"辅助约束指标1设计值应为数值",IF(Q10&lt;=0,"辅助约束指标1设计值应大于0",""))),IF(S10="","",IF(NOT(ISNUMBER(S10)),"辅助约束指标2设计值应为数值",IF(S10&lt;=0,"辅助约束指标2设计值应大于0",""))),IF(Z10="","缺少铭牌照片",""),IF(AND(ISTEXT(AA10),OR(AA10&lt;&gt;TRIM(AA10),ISNUMBER(SEARCH("　",AA10)))),"填表备注含首尾空格或全角空格",""),IF(AND(K10="",L10=""),"名义制冷量和名义制热量至少填写一项",""),IF(AND(OR(F10="蒸气压缩循环冷水（热泵）机组-舒适型",F10="蒸气压缩循环冷水（热泵）机组-数据中心专用型"),J10="对应产品类别指标体系（表3～表8）"),"蒸气压缩循环机组应选择表1或表2指标体系",""),IF(AND(F10&lt;&gt;"",F10&lt;&gt;"蒸气压缩循环冷水（热泵）机组-舒适型",F10&lt;&gt;"蒸气压缩循环冷水（热泵）机组-数据中心专用型",J10&lt;&gt;"对应产品类别指标体系（表3～表8）"),"当前设备类别应选择表3～表8对应指标体系",""),IF(AND(J10="制冷性能系数COPc指标体系（表2）",OR(F10="蒸气压缩循环冷水（热泵）机组-数据中心专用型",I10="蒸发冷却式",AND(I10="风冷式",ISNUMBER(K10),K10&lt;=50))),"所选机组组合不适用表2 COPc指标体系",""),IF(AND(N10&lt;&gt;"",O10=""),"缺少分级指标设计值",""),IF(AND(P10&lt;&gt;"",Q10=""),"缺少辅助约束指标1设计值",""),IF(AND(R10&lt;&gt;"",S10=""),"缺少辅助约束指标2设计值",""),IF(AND(P10="",Q10&lt;&gt;""),"当前类别不使用辅助约束指标1",""),IF(AND(R10="",S10&lt;&gt;""),"当前类别不使用辅助约束指标2",""),IF(AND(OR(F10="低环境温度空气源热泵（冷水）机组",F10="蒸气压缩循环高温热泵机组"),L10=""),"当前类别缺少名义制热量",""),IF(AND(F10="水（地）源热泵机组",ISNUMBER(SEARCH("单热型",H10&amp;"")),L10=""),"单热型水（地）源热泵缺少名义制热量",""),IF(AND(F10="水（地）源热泵机组",NOT(ISNUMBER(SEARCH("单热型",H10&amp;""))),K10=""),"热泵型水（地）源热泵缺少名义制冷量","")),"")</f>
        <v/>
      </c>
    </row>
    <row r="11" ht="42" customHeight="1" s="184">
      <c r="A11" s="224">
        <f>IF(COUNTA(B11,C11,D11,E11,F11,G11,H11,I11,J11,K11,L11,M11,O11,Q11,S11,Z11,AA11)&gt;0,ROW()-3,"")</f>
        <v/>
      </c>
      <c r="B11" s="176" t="n"/>
      <c r="C11" s="176" t="n"/>
      <c r="D11" s="228" t="n"/>
      <c r="E11" s="176" t="n"/>
      <c r="F11" s="218" t="n"/>
      <c r="G11" s="176" t="n"/>
      <c r="H11" s="176" t="n"/>
      <c r="I11" s="176" t="n"/>
      <c r="J11" s="218" t="n"/>
      <c r="K11" s="229" t="n"/>
      <c r="L11" s="229" t="n"/>
      <c r="M11" s="229" t="n"/>
      <c r="N11" s="115">
        <f>IF(F11="","",IF(OR(F11="蒸气压缩循环冷水（热泵）机组-舒适型",F11="蒸气压缩循环冷水（热泵）机组-数据中心专用型"),IF(J11="制冷性能系数COPc指标体系（表2）","COPc",IF(F11="蒸气压缩循环冷水（热泵）机组-数据中心专用型","ACCOP",IF(I11="风冷式","CSPF","IPLV"))),IF(F11="低环境温度空气源热泵（冷水）机组",IF(H11="风机盘管型","APF","HSPF"),IF(F11="水（地）源热泵机组",IF(ISNUMBER(SEARCH("单热型",H11&amp;"")),"COP","ACOP"),IF(F11="溴化锂吸收式冷（温）水机组",IF(G11="GB/T 18431","单位制冷量加热源耗量","COP"),IF(F11="蒸气压缩循环高温热泵机组",IF(G11="GB/T 25861","COPH","COP"),IF(F11="间接蒸发冷却冷水机组",IF(G11="JB/T 14642","AEER","EER"),IF(F11="一体式冷水（热泵）机组","IPLV(I)",""))))))))</f>
        <v/>
      </c>
      <c r="O11" s="229" t="n"/>
      <c r="P11" s="115">
        <f>IF(F11="","",IF(OR(F11="蒸气压缩循环冷水（热泵）机组-舒适型",F11="蒸气压缩循环冷水（热泵）机组-数据中心专用型"),IF(J11="制冷性能系数COPc指标体系（表2）",IF(F11="蒸气压缩循环冷水（热泵）机组-数据中心专用型","ACCOP",IF(I11="风冷式","CSPF","IPLV")),"COPc"),IF(F11="低环境温度空气源热泵（冷水）机组","COPdh",IF(AND(F11="间接蒸发冷却冷水机组",G11="JB/T 14642"),"EER",IF(F11="一体式冷水（热泵）机组","COP(I)","")))))</f>
        <v/>
      </c>
      <c r="Q11" s="229" t="n"/>
      <c r="R11" s="115">
        <f>IF(F11="低环境温度空气源热泵（冷水）机组","COPh","")</f>
        <v/>
      </c>
      <c r="S11" s="229" t="n"/>
      <c r="T11" s="115">
        <f>IF(F11="","",IF(OR(F11="蒸气压缩循环冷水（热泵）机组-舒适型",F11="蒸气压缩循环冷水（热泵）机组-数据中心专用型"),IF(J11="制冷性能系数COPc指标体系（表2）","表2","表1"),IF(F11="低环境温度空气源热泵（冷水）机组","表3",IF(F11="水（地）源热泵机组","表4",IF(F11="溴化锂吸收式冷（温）水机组","表5",IF(F11="蒸气压缩循环高温热泵机组","表6",IF(F11="间接蒸发冷却冷水机组","表7",IF(F11="一体式冷水（热泵）机组","表8",""))))))))</f>
        <v/>
      </c>
      <c r="U11" s="115">
        <f>IF(F11="","",IF(F11="蒸气压缩循环冷水（热泵）机组-舒适型",IF(I11="风冷式",IF(K11="","",IF(K11&lt;=50,"≤50 kW","&gt;50 kW")),IF(K11="","",IF(K11&lt;=300,"≤300 kW",IF(K11&lt;=528,"300～528 kW",IF(K11&lt;=1163,"528～1163 kW","&gt;1163 kW"))))),IF(F11="蒸气压缩循环冷水（热泵）机组-数据中心专用型",IF(I11="风冷式","不分容量档",IF(K11="","",IF(K11&lt;=528,"≤528 kW",IF(K11&lt;=1163,"528～1163 kW","&gt;1163 kW")))),IF(F11="低环境温度空气源热泵（冷水）机组",IF(L11="","",IF(L11&lt;=35,"≤35 kW","&gt;35 kW")),IF(F11="水（地）源热泵机组",IF(ISNUMBER(SEARCH("冷热风型",H11&amp;"")),"不分容量档",IF(IF(ISNUMBER(SEARCH("单热型",H11&amp;"")),L11,K11)="","",IF(IF(ISNUMBER(SEARCH("单热型",H11&amp;"")),L11,K11)&lt;=260,"≤260 kW","&gt;260 kW"))),IF(F11="间接蒸发冷却冷水机组",IF(K11="","",IF(K11&lt;=100,"≤100 kW","&gt;100 kW")),IF(F11="一体式冷水（热泵）机组",IF(I11="风冷式",IF(K11="","",IF(K11&lt;=50,"≤50 kW","&gt;50 kW")),IF(K11="","",IF(K11&lt;=300,"≤300 kW",IF(K11&lt;=528,"300～528 kW",IF(K11&lt;=1163,"528～1163 kW","&gt;1163 kW"))))),"不分容量档")))))))</f>
        <v/>
      </c>
      <c r="V11" s="227" t="n"/>
      <c r="W11" s="227" t="n"/>
      <c r="X11" s="227" t="n"/>
      <c r="Y11" s="81" t="n"/>
      <c r="Z11" s="180" t="n"/>
      <c r="AA11" s="180" t="n"/>
      <c r="AB11" s="99">
        <f>IF(COUNTA(B11,C11,D11,E11,F11,G11,H11,I11,J11,K11,L11,M11,O11,Q11,S11,Z11,AA11)&gt;0,TEXTJOIN("；",TRUE,IF(B11="","缺少设备名称",""),IF(AND(ISTEXT(B11),OR(B11&lt;&gt;TRIM(B11),ISNUMBER(SEARCH("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",E11)))),"安装位置含首尾空格或全角空格",""),IF(F11="","缺少设备类别",""),IF(F11="","",IF(COUNTIF(EV_HP_CHILLER_CATEGORY,F11)=0,"设备类别不在标准枚举中","")),IF(AND(ISTEXT(F11),OR(F11&lt;&gt;TRIM(F11),ISNUMBER(SEARCH("　",F11)))),"设备类别含首尾空格或全角空格",""),IF(G11="","缺少产品标准",""),IF(G11="","",IF(COUNTIF(EV_HP_STD_ALL,G11)=0,"产品标准不在标准枚举中","")),IF(AND(ISTEXT(G11),OR(G11&lt;&gt;TRIM(G11),ISNUMBER(SEARCH("　",G11)))),"产品标准含首尾空格或全角空格",""),IF(H11="","缺少机组型式",""),IF(H11="","",IF(COUNTIF(EV_HP_UNIT_ALL,H11)=0,"机组型式不在标准枚举中","")),IF(AND(ISTEXT(H11),OR(H11&lt;&gt;TRIM(H11),ISNUMBER(SEARCH("　",H11)))),"机组型式含首尾空格或全角空格",""),IF(I11="","缺少冷却/热源方式",""),IF(I11="","",IF(COUNTIF(EV_HP_SOURCE_ALL,I11)=0,"冷却/热源方式不在标准枚举中","")),IF(AND(ISTEXT(I11),OR(I11&lt;&gt;TRIM(I11),ISNUMBER(SEARCH("　",I11)))),"冷却/热源方式含首尾空格或全角空格",""),IF(J11="","缺少能效评价指标体系",""),IF(J11="","",IF(COUNTIF(EV_HP_EVAL_SYSTEM,J11)=0,"能效评价指标体系不在标准枚举中","")),IF(AND(ISTEXT(J11),OR(J11&lt;&gt;TRIM(J11),ISNUMBER(SEARCH("　",J11)))),"能效评价指标体系含首尾空格或全角空格",""),IF(K11="","",IF(NOT(ISNUMBER(K11)),"名义制冷量应为数值",IF(K11&lt;=0,"名义制冷量应大于0",""))),IF(L11="","",IF(NOT(ISNUMBER(L11)),"名义制热量应为数值",IF(L11&lt;=0,"名义制热量应大于0",""))),IF(M11="","缺少额定功率",""),IF(M11="","",IF(NOT(ISNUMBER(M11)),"额定功率应为数值",IF(M11&lt;=0,"额定功率应大于0",""))),IF(O11="","缺少分级指标设计值",""),IF(O11="","",IF(NOT(ISNUMBER(O11)),"分级指标设计值应为数值",IF(O11&lt;=0,"分级指标设计值应大于0",""))),IF(Q11="","",IF(NOT(ISNUMBER(Q11)),"辅助约束指标1设计值应为数值",IF(Q11&lt;=0,"辅助约束指标1设计值应大于0",""))),IF(S11="","",IF(NOT(ISNUMBER(S11)),"辅助约束指标2设计值应为数值",IF(S11&lt;=0,"辅助约束指标2设计值应大于0",""))),IF(Z11="","缺少铭牌照片",""),IF(AND(ISTEXT(AA11),OR(AA11&lt;&gt;TRIM(AA11),ISNUMBER(SEARCH("　",AA11)))),"填表备注含首尾空格或全角空格",""),IF(AND(K11="",L11=""),"名义制冷量和名义制热量至少填写一项",""),IF(AND(OR(F11="蒸气压缩循环冷水（热泵）机组-舒适型",F11="蒸气压缩循环冷水（热泵）机组-数据中心专用型"),J11="对应产品类别指标体系（表3～表8）"),"蒸气压缩循环机组应选择表1或表2指标体系",""),IF(AND(F11&lt;&gt;"",F11&lt;&gt;"蒸气压缩循环冷水（热泵）机组-舒适型",F11&lt;&gt;"蒸气压缩循环冷水（热泵）机组-数据中心专用型",J11&lt;&gt;"对应产品类别指标体系（表3～表8）"),"当前设备类别应选择表3～表8对应指标体系",""),IF(AND(J11="制冷性能系数COPc指标体系（表2）",OR(F11="蒸气压缩循环冷水（热泵）机组-数据中心专用型",I11="蒸发冷却式",AND(I11="风冷式",ISNUMBER(K11),K11&lt;=50))),"所选机组组合不适用表2 COPc指标体系",""),IF(AND(N11&lt;&gt;"",O11=""),"缺少分级指标设计值",""),IF(AND(P11&lt;&gt;"",Q11=""),"缺少辅助约束指标1设计值",""),IF(AND(R11&lt;&gt;"",S11=""),"缺少辅助约束指标2设计值",""),IF(AND(P11="",Q11&lt;&gt;""),"当前类别不使用辅助约束指标1",""),IF(AND(R11="",S11&lt;&gt;""),"当前类别不使用辅助约束指标2",""),IF(AND(OR(F11="低环境温度空气源热泵（冷水）机组",F11="蒸气压缩循环高温热泵机组"),L11=""),"当前类别缺少名义制热量",""),IF(AND(F11="水（地）源热泵机组",ISNUMBER(SEARCH("单热型",H11&amp;"")),L11=""),"单热型水（地）源热泵缺少名义制热量",""),IF(AND(F11="水（地）源热泵机组",NOT(ISNUMBER(SEARCH("单热型",H11&amp;""))),K11=""),"热泵型水（地）源热泵缺少名义制冷量","")),"")</f>
        <v/>
      </c>
    </row>
    <row r="12" ht="42" customHeight="1" s="184">
      <c r="A12" s="224">
        <f>IF(COUNTA(B12,C12,D12,E12,F12,G12,H12,I12,J12,K12,L12,M12,O12,Q12,S12,Z12,AA12)&gt;0,ROW()-3,"")</f>
        <v/>
      </c>
      <c r="B12" s="176" t="n"/>
      <c r="C12" s="176" t="n"/>
      <c r="D12" s="228" t="n"/>
      <c r="E12" s="176" t="n"/>
      <c r="F12" s="218" t="n"/>
      <c r="G12" s="176" t="n"/>
      <c r="H12" s="176" t="n"/>
      <c r="I12" s="176" t="n"/>
      <c r="J12" s="218" t="n"/>
      <c r="K12" s="229" t="n"/>
      <c r="L12" s="229" t="n"/>
      <c r="M12" s="229" t="n"/>
      <c r="N12" s="115">
        <f>IF(F12="","",IF(OR(F12="蒸气压缩循环冷水（热泵）机组-舒适型",F12="蒸气压缩循环冷水（热泵）机组-数据中心专用型"),IF(J12="制冷性能系数COPc指标体系（表2）","COPc",IF(F12="蒸气压缩循环冷水（热泵）机组-数据中心专用型","ACCOP",IF(I12="风冷式","CSPF","IPLV"))),IF(F12="低环境温度空气源热泵（冷水）机组",IF(H12="风机盘管型","APF","HSPF"),IF(F12="水（地）源热泵机组",IF(ISNUMBER(SEARCH("单热型",H12&amp;"")),"COP","ACOP"),IF(F12="溴化锂吸收式冷（温）水机组",IF(G12="GB/T 18431","单位制冷量加热源耗量","COP"),IF(F12="蒸气压缩循环高温热泵机组",IF(G12="GB/T 25861","COPH","COP"),IF(F12="间接蒸发冷却冷水机组",IF(G12="JB/T 14642","AEER","EER"),IF(F12="一体式冷水（热泵）机组","IPLV(I)",""))))))))</f>
        <v/>
      </c>
      <c r="O12" s="229" t="n"/>
      <c r="P12" s="115">
        <f>IF(F12="","",IF(OR(F12="蒸气压缩循环冷水（热泵）机组-舒适型",F12="蒸气压缩循环冷水（热泵）机组-数据中心专用型"),IF(J12="制冷性能系数COPc指标体系（表2）",IF(F12="蒸气压缩循环冷水（热泵）机组-数据中心专用型","ACCOP",IF(I12="风冷式","CSPF","IPLV")),"COPc"),IF(F12="低环境温度空气源热泵（冷水）机组","COPdh",IF(AND(F12="间接蒸发冷却冷水机组",G12="JB/T 14642"),"EER",IF(F12="一体式冷水（热泵）机组","COP(I)","")))))</f>
        <v/>
      </c>
      <c r="Q12" s="229" t="n"/>
      <c r="R12" s="115">
        <f>IF(F12="低环境温度空气源热泵（冷水）机组","COPh","")</f>
        <v/>
      </c>
      <c r="S12" s="229" t="n"/>
      <c r="T12" s="115">
        <f>IF(F12="","",IF(OR(F12="蒸气压缩循环冷水（热泵）机组-舒适型",F12="蒸气压缩循环冷水（热泵）机组-数据中心专用型"),IF(J12="制冷性能系数COPc指标体系（表2）","表2","表1"),IF(F12="低环境温度空气源热泵（冷水）机组","表3",IF(F12="水（地）源热泵机组","表4",IF(F12="溴化锂吸收式冷（温）水机组","表5",IF(F12="蒸气压缩循环高温热泵机组","表6",IF(F12="间接蒸发冷却冷水机组","表7",IF(F12="一体式冷水（热泵）机组","表8",""))))))))</f>
        <v/>
      </c>
      <c r="U12" s="115">
        <f>IF(F12="","",IF(F12="蒸气压缩循环冷水（热泵）机组-舒适型",IF(I12="风冷式",IF(K12="","",IF(K12&lt;=50,"≤50 kW","&gt;50 kW")),IF(K12="","",IF(K12&lt;=300,"≤300 kW",IF(K12&lt;=528,"300～528 kW",IF(K12&lt;=1163,"528～1163 kW","&gt;1163 kW"))))),IF(F12="蒸气压缩循环冷水（热泵）机组-数据中心专用型",IF(I12="风冷式","不分容量档",IF(K12="","",IF(K12&lt;=528,"≤528 kW",IF(K12&lt;=1163,"528～1163 kW","&gt;1163 kW")))),IF(F12="低环境温度空气源热泵（冷水）机组",IF(L12="","",IF(L12&lt;=35,"≤35 kW","&gt;35 kW")),IF(F12="水（地）源热泵机组",IF(ISNUMBER(SEARCH("冷热风型",H12&amp;"")),"不分容量档",IF(IF(ISNUMBER(SEARCH("单热型",H12&amp;"")),L12,K12)="","",IF(IF(ISNUMBER(SEARCH("单热型",H12&amp;"")),L12,K12)&lt;=260,"≤260 kW","&gt;260 kW"))),IF(F12="间接蒸发冷却冷水机组",IF(K12="","",IF(K12&lt;=100,"≤100 kW","&gt;100 kW")),IF(F12="一体式冷水（热泵）机组",IF(I12="风冷式",IF(K12="","",IF(K12&lt;=50,"≤50 kW","&gt;50 kW")),IF(K12="","",IF(K12&lt;=300,"≤300 kW",IF(K12&lt;=528,"300～528 kW",IF(K12&lt;=1163,"528～1163 kW","&gt;1163 kW"))))),"不分容量档")))))))</f>
        <v/>
      </c>
      <c r="V12" s="227" t="n"/>
      <c r="W12" s="227" t="n"/>
      <c r="X12" s="227" t="n"/>
      <c r="Y12" s="81" t="n"/>
      <c r="Z12" s="180" t="n"/>
      <c r="AA12" s="180" t="n"/>
      <c r="AB12" s="99">
        <f>IF(COUNTA(B12,C12,D12,E12,F12,G12,H12,I12,J12,K12,L12,M12,O12,Q12,S12,Z12,AA12)&gt;0,TEXTJOIN("；",TRUE,IF(B12="","缺少设备名称",""),IF(AND(ISTEXT(B12),OR(B12&lt;&gt;TRIM(B12),ISNUMBER(SEARCH("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",E12)))),"安装位置含首尾空格或全角空格",""),IF(F12="","缺少设备类别",""),IF(F12="","",IF(COUNTIF(EV_HP_CHILLER_CATEGORY,F12)=0,"设备类别不在标准枚举中","")),IF(AND(ISTEXT(F12),OR(F12&lt;&gt;TRIM(F12),ISNUMBER(SEARCH("　",F12)))),"设备类别含首尾空格或全角空格",""),IF(G12="","缺少产品标准",""),IF(G12="","",IF(COUNTIF(EV_HP_STD_ALL,G12)=0,"产品标准不在标准枚举中","")),IF(AND(ISTEXT(G12),OR(G12&lt;&gt;TRIM(G12),ISNUMBER(SEARCH("　",G12)))),"产品标准含首尾空格或全角空格",""),IF(H12="","缺少机组型式",""),IF(H12="","",IF(COUNTIF(EV_HP_UNIT_ALL,H12)=0,"机组型式不在标准枚举中","")),IF(AND(ISTEXT(H12),OR(H12&lt;&gt;TRIM(H12),ISNUMBER(SEARCH("　",H12)))),"机组型式含首尾空格或全角空格",""),IF(I12="","缺少冷却/热源方式",""),IF(I12="","",IF(COUNTIF(EV_HP_SOURCE_ALL,I12)=0,"冷却/热源方式不在标准枚举中","")),IF(AND(ISTEXT(I12),OR(I12&lt;&gt;TRIM(I12),ISNUMBER(SEARCH("　",I12)))),"冷却/热源方式含首尾空格或全角空格",""),IF(J12="","缺少能效评价指标体系",""),IF(J12="","",IF(COUNTIF(EV_HP_EVAL_SYSTEM,J12)=0,"能效评价指标体系不在标准枚举中","")),IF(AND(ISTEXT(J12),OR(J12&lt;&gt;TRIM(J12),ISNUMBER(SEARCH("　",J12)))),"能效评价指标体系含首尾空格或全角空格",""),IF(K12="","",IF(NOT(ISNUMBER(K12)),"名义制冷量应为数值",IF(K12&lt;=0,"名义制冷量应大于0",""))),IF(L12="","",IF(NOT(ISNUMBER(L12)),"名义制热量应为数值",IF(L12&lt;=0,"名义制热量应大于0",""))),IF(M12="","缺少额定功率",""),IF(M12="","",IF(NOT(ISNUMBER(M12)),"额定功率应为数值",IF(M12&lt;=0,"额定功率应大于0",""))),IF(O12="","缺少分级指标设计值",""),IF(O12="","",IF(NOT(ISNUMBER(O12)),"分级指标设计值应为数值",IF(O12&lt;=0,"分级指标设计值应大于0",""))),IF(Q12="","",IF(NOT(ISNUMBER(Q12)),"辅助约束指标1设计值应为数值",IF(Q12&lt;=0,"辅助约束指标1设计值应大于0",""))),IF(S12="","",IF(NOT(ISNUMBER(S12)),"辅助约束指标2设计值应为数值",IF(S12&lt;=0,"辅助约束指标2设计值应大于0",""))),IF(Z12="","缺少铭牌照片",""),IF(AND(ISTEXT(AA12),OR(AA12&lt;&gt;TRIM(AA12),ISNUMBER(SEARCH("　",AA12)))),"填表备注含首尾空格或全角空格",""),IF(AND(K12="",L12=""),"名义制冷量和名义制热量至少填写一项",""),IF(AND(OR(F12="蒸气压缩循环冷水（热泵）机组-舒适型",F12="蒸气压缩循环冷水（热泵）机组-数据中心专用型"),J12="对应产品类别指标体系（表3～表8）"),"蒸气压缩循环机组应选择表1或表2指标体系",""),IF(AND(F12&lt;&gt;"",F12&lt;&gt;"蒸气压缩循环冷水（热泵）机组-舒适型",F12&lt;&gt;"蒸气压缩循环冷水（热泵）机组-数据中心专用型",J12&lt;&gt;"对应产品类别指标体系（表3～表8）"),"当前设备类别应选择表3～表8对应指标体系",""),IF(AND(J12="制冷性能系数COPc指标体系（表2）",OR(F12="蒸气压缩循环冷水（热泵）机组-数据中心专用型",I12="蒸发冷却式",AND(I12="风冷式",ISNUMBER(K12),K12&lt;=50))),"所选机组组合不适用表2 COPc指标体系",""),IF(AND(N12&lt;&gt;"",O12=""),"缺少分级指标设计值",""),IF(AND(P12&lt;&gt;"",Q12=""),"缺少辅助约束指标1设计值",""),IF(AND(R12&lt;&gt;"",S12=""),"缺少辅助约束指标2设计值",""),IF(AND(P12="",Q12&lt;&gt;""),"当前类别不使用辅助约束指标1",""),IF(AND(R12="",S12&lt;&gt;""),"当前类别不使用辅助约束指标2",""),IF(AND(OR(F12="低环境温度空气源热泵（冷水）机组",F12="蒸气压缩循环高温热泵机组"),L12=""),"当前类别缺少名义制热量",""),IF(AND(F12="水（地）源热泵机组",ISNUMBER(SEARCH("单热型",H12&amp;"")),L12=""),"单热型水（地）源热泵缺少名义制热量",""),IF(AND(F12="水（地）源热泵机组",NOT(ISNUMBER(SEARCH("单热型",H12&amp;""))),K12=""),"热泵型水（地）源热泵缺少名义制冷量","")),"")</f>
        <v/>
      </c>
    </row>
    <row r="13" ht="42" customHeight="1" s="184">
      <c r="A13" s="224">
        <f>IF(COUNTA(B13,C13,D13,E13,F13,G13,H13,I13,J13,K13,L13,M13,O13,Q13,S13,Z13,AA13)&gt;0,ROW()-3,"")</f>
        <v/>
      </c>
      <c r="B13" s="176" t="n"/>
      <c r="C13" s="176" t="n"/>
      <c r="D13" s="228" t="n"/>
      <c r="E13" s="176" t="n"/>
      <c r="F13" s="218" t="n"/>
      <c r="G13" s="176" t="n"/>
      <c r="H13" s="176" t="n"/>
      <c r="I13" s="176" t="n"/>
      <c r="J13" s="218" t="n"/>
      <c r="K13" s="229" t="n"/>
      <c r="L13" s="229" t="n"/>
      <c r="M13" s="229" t="n"/>
      <c r="N13" s="115">
        <f>IF(F13="","",IF(OR(F13="蒸气压缩循环冷水（热泵）机组-舒适型",F13="蒸气压缩循环冷水（热泵）机组-数据中心专用型"),IF(J13="制冷性能系数COPc指标体系（表2）","COPc",IF(F13="蒸气压缩循环冷水（热泵）机组-数据中心专用型","ACCOP",IF(I13="风冷式","CSPF","IPLV"))),IF(F13="低环境温度空气源热泵（冷水）机组",IF(H13="风机盘管型","APF","HSPF"),IF(F13="水（地）源热泵机组",IF(ISNUMBER(SEARCH("单热型",H13&amp;"")),"COP","ACOP"),IF(F13="溴化锂吸收式冷（温）水机组",IF(G13="GB/T 18431","单位制冷量加热源耗量","COP"),IF(F13="蒸气压缩循环高温热泵机组",IF(G13="GB/T 25861","COPH","COP"),IF(F13="间接蒸发冷却冷水机组",IF(G13="JB/T 14642","AEER","EER"),IF(F13="一体式冷水（热泵）机组","IPLV(I)",""))))))))</f>
        <v/>
      </c>
      <c r="O13" s="229" t="n"/>
      <c r="P13" s="115">
        <f>IF(F13="","",IF(OR(F13="蒸气压缩循环冷水（热泵）机组-舒适型",F13="蒸气压缩循环冷水（热泵）机组-数据中心专用型"),IF(J13="制冷性能系数COPc指标体系（表2）",IF(F13="蒸气压缩循环冷水（热泵）机组-数据中心专用型","ACCOP",IF(I13="风冷式","CSPF","IPLV")),"COPc"),IF(F13="低环境温度空气源热泵（冷水）机组","COPdh",IF(AND(F13="间接蒸发冷却冷水机组",G13="JB/T 14642"),"EER",IF(F13="一体式冷水（热泵）机组","COP(I)","")))))</f>
        <v/>
      </c>
      <c r="Q13" s="229" t="n"/>
      <c r="R13" s="115">
        <f>IF(F13="低环境温度空气源热泵（冷水）机组","COPh","")</f>
        <v/>
      </c>
      <c r="S13" s="229" t="n"/>
      <c r="T13" s="115">
        <f>IF(F13="","",IF(OR(F13="蒸气压缩循环冷水（热泵）机组-舒适型",F13="蒸气压缩循环冷水（热泵）机组-数据中心专用型"),IF(J13="制冷性能系数COPc指标体系（表2）","表2","表1"),IF(F13="低环境温度空气源热泵（冷水）机组","表3",IF(F13="水（地）源热泵机组","表4",IF(F13="溴化锂吸收式冷（温）水机组","表5",IF(F13="蒸气压缩循环高温热泵机组","表6",IF(F13="间接蒸发冷却冷水机组","表7",IF(F13="一体式冷水（热泵）机组","表8",""))))))))</f>
        <v/>
      </c>
      <c r="U13" s="115">
        <f>IF(F13="","",IF(F13="蒸气压缩循环冷水（热泵）机组-舒适型",IF(I13="风冷式",IF(K13="","",IF(K13&lt;=50,"≤50 kW","&gt;50 kW")),IF(K13="","",IF(K13&lt;=300,"≤300 kW",IF(K13&lt;=528,"300～528 kW",IF(K13&lt;=1163,"528～1163 kW","&gt;1163 kW"))))),IF(F13="蒸气压缩循环冷水（热泵）机组-数据中心专用型",IF(I13="风冷式","不分容量档",IF(K13="","",IF(K13&lt;=528,"≤528 kW",IF(K13&lt;=1163,"528～1163 kW","&gt;1163 kW")))),IF(F13="低环境温度空气源热泵（冷水）机组",IF(L13="","",IF(L13&lt;=35,"≤35 kW","&gt;35 kW")),IF(F13="水（地）源热泵机组",IF(ISNUMBER(SEARCH("冷热风型",H13&amp;"")),"不分容量档",IF(IF(ISNUMBER(SEARCH("单热型",H13&amp;"")),L13,K13)="","",IF(IF(ISNUMBER(SEARCH("单热型",H13&amp;"")),L13,K13)&lt;=260,"≤260 kW","&gt;260 kW"))),IF(F13="间接蒸发冷却冷水机组",IF(K13="","",IF(K13&lt;=100,"≤100 kW","&gt;100 kW")),IF(F13="一体式冷水（热泵）机组",IF(I13="风冷式",IF(K13="","",IF(K13&lt;=50,"≤50 kW","&gt;50 kW")),IF(K13="","",IF(K13&lt;=300,"≤300 kW",IF(K13&lt;=528,"300～528 kW",IF(K13&lt;=1163,"528～1163 kW","&gt;1163 kW"))))),"不分容量档")))))))</f>
        <v/>
      </c>
      <c r="V13" s="227" t="n"/>
      <c r="W13" s="227" t="n"/>
      <c r="X13" s="227" t="n"/>
      <c r="Y13" s="81" t="n"/>
      <c r="Z13" s="180" t="n"/>
      <c r="AA13" s="180" t="n"/>
      <c r="AB13" s="99">
        <f>IF(COUNTA(B13,C13,D13,E13,F13,G13,H13,I13,J13,K13,L13,M13,O13,Q13,S13,Z13,AA13)&gt;0,TEXTJOIN("；",TRUE,IF(B13="","缺少设备名称",""),IF(AND(ISTEXT(B13),OR(B13&lt;&gt;TRIM(B13),ISNUMBER(SEARCH("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",E13)))),"安装位置含首尾空格或全角空格",""),IF(F13="","缺少设备类别",""),IF(F13="","",IF(COUNTIF(EV_HP_CHILLER_CATEGORY,F13)=0,"设备类别不在标准枚举中","")),IF(AND(ISTEXT(F13),OR(F13&lt;&gt;TRIM(F13),ISNUMBER(SEARCH("　",F13)))),"设备类别含首尾空格或全角空格",""),IF(G13="","缺少产品标准",""),IF(G13="","",IF(COUNTIF(EV_HP_STD_ALL,G13)=0,"产品标准不在标准枚举中","")),IF(AND(ISTEXT(G13),OR(G13&lt;&gt;TRIM(G13),ISNUMBER(SEARCH("　",G13)))),"产品标准含首尾空格或全角空格",""),IF(H13="","缺少机组型式",""),IF(H13="","",IF(COUNTIF(EV_HP_UNIT_ALL,H13)=0,"机组型式不在标准枚举中","")),IF(AND(ISTEXT(H13),OR(H13&lt;&gt;TRIM(H13),ISNUMBER(SEARCH("　",H13)))),"机组型式含首尾空格或全角空格",""),IF(I13="","缺少冷却/热源方式",""),IF(I13="","",IF(COUNTIF(EV_HP_SOURCE_ALL,I13)=0,"冷却/热源方式不在标准枚举中","")),IF(AND(ISTEXT(I13),OR(I13&lt;&gt;TRIM(I13),ISNUMBER(SEARCH("　",I13)))),"冷却/热源方式含首尾空格或全角空格",""),IF(J13="","缺少能效评价指标体系",""),IF(J13="","",IF(COUNTIF(EV_HP_EVAL_SYSTEM,J13)=0,"能效评价指标体系不在标准枚举中","")),IF(AND(ISTEXT(J13),OR(J13&lt;&gt;TRIM(J13),ISNUMBER(SEARCH("　",J13)))),"能效评价指标体系含首尾空格或全角空格",""),IF(K13="","",IF(NOT(ISNUMBER(K13)),"名义制冷量应为数值",IF(K13&lt;=0,"名义制冷量应大于0",""))),IF(L13="","",IF(NOT(ISNUMBER(L13)),"名义制热量应为数值",IF(L13&lt;=0,"名义制热量应大于0",""))),IF(M13="","缺少额定功率",""),IF(M13="","",IF(NOT(ISNUMBER(M13)),"额定功率应为数值",IF(M13&lt;=0,"额定功率应大于0",""))),IF(O13="","缺少分级指标设计值",""),IF(O13="","",IF(NOT(ISNUMBER(O13)),"分级指标设计值应为数值",IF(O13&lt;=0,"分级指标设计值应大于0",""))),IF(Q13="","",IF(NOT(ISNUMBER(Q13)),"辅助约束指标1设计值应为数值",IF(Q13&lt;=0,"辅助约束指标1设计值应大于0",""))),IF(S13="","",IF(NOT(ISNUMBER(S13)),"辅助约束指标2设计值应为数值",IF(S13&lt;=0,"辅助约束指标2设计值应大于0",""))),IF(Z13="","缺少铭牌照片",""),IF(AND(ISTEXT(AA13),OR(AA13&lt;&gt;TRIM(AA13),ISNUMBER(SEARCH("　",AA13)))),"填表备注含首尾空格或全角空格",""),IF(AND(K13="",L13=""),"名义制冷量和名义制热量至少填写一项",""),IF(AND(OR(F13="蒸气压缩循环冷水（热泵）机组-舒适型",F13="蒸气压缩循环冷水（热泵）机组-数据中心专用型"),J13="对应产品类别指标体系（表3～表8）"),"蒸气压缩循环机组应选择表1或表2指标体系",""),IF(AND(F13&lt;&gt;"",F13&lt;&gt;"蒸气压缩循环冷水（热泵）机组-舒适型",F13&lt;&gt;"蒸气压缩循环冷水（热泵）机组-数据中心专用型",J13&lt;&gt;"对应产品类别指标体系（表3～表8）"),"当前设备类别应选择表3～表8对应指标体系",""),IF(AND(J13="制冷性能系数COPc指标体系（表2）",OR(F13="蒸气压缩循环冷水（热泵）机组-数据中心专用型",I13="蒸发冷却式",AND(I13="风冷式",ISNUMBER(K13),K13&lt;=50))),"所选机组组合不适用表2 COPc指标体系",""),IF(AND(N13&lt;&gt;"",O13=""),"缺少分级指标设计值",""),IF(AND(P13&lt;&gt;"",Q13=""),"缺少辅助约束指标1设计值",""),IF(AND(R13&lt;&gt;"",S13=""),"缺少辅助约束指标2设计值",""),IF(AND(P13="",Q13&lt;&gt;""),"当前类别不使用辅助约束指标1",""),IF(AND(R13="",S13&lt;&gt;""),"当前类别不使用辅助约束指标2",""),IF(AND(OR(F13="低环境温度空气源热泵（冷水）机组",F13="蒸气压缩循环高温热泵机组"),L13=""),"当前类别缺少名义制热量",""),IF(AND(F13="水（地）源热泵机组",ISNUMBER(SEARCH("单热型",H13&amp;"")),L13=""),"单热型水（地）源热泵缺少名义制热量",""),IF(AND(F13="水（地）源热泵机组",NOT(ISNUMBER(SEARCH("单热型",H13&amp;""))),K13=""),"热泵型水（地）源热泵缺少名义制冷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Z2:AB2"/>
    <mergeCell ref="T2:U2"/>
    <mergeCell ref="A2:E2"/>
    <mergeCell ref="F2:S2"/>
    <mergeCell ref="AA1:AB1"/>
    <mergeCell ref="Y1:Z1"/>
    <mergeCell ref="A1:X1"/>
    <mergeCell ref="V2:X2"/>
  </mergeCells>
  <dataValidations count="12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EV_HP_CHILLER_CATEGORY</formula1>
    </dataValidation>
    <dataValidation sqref="G4:G13" showDropDown="0" showInputMessage="0" showErrorMessage="1" allowBlank="1" type="list" errorStyle="stop">
      <formula1>INDIRECT(IF(F4="蒸气压缩循环冷水（热泵）机组-舒适型","EV_HP_STD_COMFORT",IF(F4="蒸气压缩循环冷水（热泵）机组-数据中心专用型","EV_HP_STD_DATA",IF(F4="低环境温度空气源热泵（冷水）机组","EV_HP_STD_LOWTEMP",IF(F4="水（地）源热泵机组","EV_HP_STD_WATER",IF(F4="溴化锂吸收式冷（温）水机组","EV_HP_STD_ABS",IF(F4="蒸气压缩循环高温热泵机组","EV_HP_STD_HIGH",IF(F4="间接蒸发冷却冷水机组","EV_HP_STD_EVAP","EV_HP_STD_INTEGRATED")))))))</formula1>
    </dataValidation>
    <dataValidation sqref="H4:H13" showDropDown="0" showInputMessage="0" showErrorMessage="1" allowBlank="1" type="list" errorStyle="stop">
      <formula1>INDIRECT(IF(F4="蒸气压缩循环冷水（热泵）机组-舒适型","EV_HP_UNIT_COMFORT",IF(F4="蒸气压缩循环冷水（热泵）机组-数据中心专用型","EV_HP_UNIT_DATA",IF(F4="低环境温度空气源热泵（冷水）机组","EV_HP_UNIT_LOWTEMP",IF(F4="水（地）源热泵机组","EV_HP_UNIT_WATER",IF(F4="溴化锂吸收式冷（温）水机组","EV_HP_UNIT_ABS",IF(F4="蒸气压缩循环高温热泵机组","EV_HP_UNIT_HIGH",IF(F4="间接蒸发冷却冷水机组","EV_HP_UNIT_EVAP","EV_HP_UNIT_INTEGRATED")))))))</formula1>
    </dataValidation>
    <dataValidation sqref="I4:I13" showDropDown="0" showInputMessage="0" showErrorMessage="1" allowBlank="1" type="list" errorStyle="stop">
      <formula1>INDIRECT(IF(F4="蒸气压缩循环冷水（热泵）机组-舒适型","EV_HP_SOURCE_COMFORT",IF(F4="蒸气压缩循环冷水（热泵）机组-数据中心专用型","EV_HP_SOURCE_DATA",IF(F4="低环境温度空气源热泵（冷水）机组","EV_HP_SOURCE_LOWTEMP",IF(F4="水（地）源热泵机组","EV_HP_SOURCE_WATER",IF(F4="溴化锂吸收式冷（温）水机组","EV_HP_SOURCE_ABS",IF(F4="蒸气压缩循环高温热泵机组","EV_HP_SOURCE_HIGH",IF(F4="间接蒸发冷却冷水机组","EV_HP_SOURCE_EVAP","EV_HP_SOURCE_INTEGRATED")))))))</formula1>
    </dataValidation>
    <dataValidation sqref="J4:J13" showDropDown="0" showInputMessage="0" showErrorMessage="1" allowBlank="1" type="list" errorStyle="stop">
      <formula1>EV_HP_EVAL_SYSTEM</formula1>
    </dataValidation>
    <dataValidation sqref="K4:K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Q4:Q13" showDropDown="0" showInputMessage="0" showErrorMessage="1" allowBlank="1" type="decimal" errorStyle="stop" operator="greaterThan">
      <formula1>0</formula1>
    </dataValidation>
    <dataValidation sqref="S4:S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3" customWidth="1" style="184" min="11" max="11"/>
    <col width="14" customWidth="1" style="184" min="12" max="12"/>
    <col width="14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热泵热水机（器） - 《热泵热水机（器）能效限定值及能效等级》（GB 29541-2013）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SUM(TblHeatPumpWaterHeater[数量])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3" t="n"/>
      <c r="L2" s="57" t="inlineStr">
        <is>
          <t>标准查询结果</t>
        </is>
      </c>
      <c r="M2" s="222" t="n"/>
      <c r="N2" s="222" t="n"/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加热方式</t>
        </is>
      </c>
      <c r="H3" s="45" t="inlineStr">
        <is>
          <t>是否提供水泵</t>
        </is>
      </c>
      <c r="I3" s="55" t="inlineStr">
        <is>
          <t>制热量
(kW)</t>
        </is>
      </c>
      <c r="J3" s="55" t="inlineStr">
        <is>
          <t>额定功率
(kW)</t>
        </is>
      </c>
      <c r="K3" s="55" t="inlineStr">
        <is>
          <t>性能系数
(W/W)</t>
        </is>
      </c>
      <c r="L3" s="63" t="inlineStr">
        <is>
          <t>1级性能系数
(W/W)</t>
        </is>
      </c>
      <c r="M3" s="63" t="inlineStr">
        <is>
          <t>2级性能系数
(W/W)</t>
        </is>
      </c>
      <c r="N3" s="63" t="inlineStr">
        <is>
          <t>3级性能系数
(W/W)</t>
        </is>
      </c>
      <c r="O3" s="63" t="inlineStr">
        <is>
          <t>4级性能系数
(W/W)</t>
        </is>
      </c>
      <c r="P3" s="63" t="inlineStr">
        <is>
          <t>5级性能系数
(W/W)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IF(COUNTA(B4,C4,D4,E4,F4,G4,H4,I4,J4,K4,R4,S4)&gt;0,ROW()-3,"")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229" t="n"/>
      <c r="L4" s="227" t="n"/>
      <c r="M4" s="227" t="n"/>
      <c r="N4" s="227" t="n"/>
      <c r="O4" s="227" t="n"/>
      <c r="P4" s="227" t="n"/>
      <c r="Q4" s="81" t="n"/>
      <c r="R4" s="180" t="n"/>
      <c r="S4" s="180" t="n"/>
      <c r="T4" s="99">
        <f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f>
        <v/>
      </c>
    </row>
    <row r="5" ht="42" customHeight="1" s="184">
      <c r="A5" s="224">
        <f>IF(COUNTA(B5,C5,D5,E5,F5,G5,H5,I5,J5,K5,R5,S5)&gt;0,ROW()-3,"")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229" t="n"/>
      <c r="L5" s="227" t="n"/>
      <c r="M5" s="227" t="n"/>
      <c r="N5" s="227" t="n"/>
      <c r="O5" s="227" t="n"/>
      <c r="P5" s="227" t="n"/>
      <c r="Q5" s="81" t="n"/>
      <c r="R5" s="180" t="n"/>
      <c r="S5" s="180" t="n"/>
      <c r="T5" s="99">
        <f>IF(COUNTA(B5,C5,D5,E5,F5,G5,H5,I5,J5,K5,R5,S5)&gt;0,TEXTJOIN("；",TRUE,IF(B5="","缺少设备名称",""),IF(AND(ISTEXT(B5),OR(B5&lt;&gt;TRIM(B5),ISNUMBER(SEARCH("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",E5)))),"安装位置含首尾空格或全角空格",""),IF(F5="","缺少设备类别",""),IF(F5="","",IF(COUNTIF(EV_HPWH_CATEGORY,F5)=0,"设备类别不在标准枚举中","")),IF(AND(ISTEXT(F5),OR(F5&lt;&gt;TRIM(F5),ISNUMBER(SEARCH("　",F5)))),"设备类别含首尾空格或全角空格",""),IF(G5="","缺少加热方式",""),IF(G5="","",IF(COUNTIF(EV_HEATING_METHOD,G5)=0,"加热方式不在标准枚举中","")),IF(AND(ISTEXT(G5),OR(G5&lt;&gt;TRIM(G5),ISNUMBER(SEARCH("　",G5)))),"加热方式含首尾空格或全角空格",""),IF(H5="","缺少是否提供水泵",""),IF(H5="","",IF(COUNTIF(EV_YES_NO,H5)=0,"是否提供水泵不在标准枚举中","")),IF(AND(ISTEXT(H5),OR(H5&lt;&gt;TRIM(H5),ISNUMBER(SEARCH("　",H5)))),"是否提供水泵含首尾空格或全角空格",""),IF(I5="","缺少制热量",""),IF(I5="","",IF(NOT(ISNUMBER(I5)),"制热量应为数值",IF(I5&lt;=0,"制热量应大于0",""))),IF(J5="","缺少额定功率",""),IF(J5="","",IF(NOT(ISNUMBER(J5)),"额定功率应为数值",IF(J5&lt;=0,"额定功率应大于0",""))),IF(K5="","缺少性能系数",""),IF(K5="","",IF(NOT(ISNUMBER(K5)),"性能系数应为数值",IF(K5&lt;=0,"性能系数应大于0",""))),IF(R5="","缺少铭牌照片",""),IF(AND(ISTEXT(S5),OR(S5&lt;&gt;TRIM(S5),ISNUMBER(SEARCH("　",S5)))),"填表备注含首尾空格或全角空格",""),IF(AND(F5="低温型",G5="静态加热式"),"低温型与静态加热式不在标准表组合中",""),IF(AND(ISNUMBER(I5),I5&lt;10,G5="循环加热式",H5="是"),"制热量小于10kW时标准表不区分是否提供水泵，请核对","")),"")</f>
        <v/>
      </c>
    </row>
    <row r="6" ht="42" customHeight="1" s="184">
      <c r="A6" s="224">
        <f>IF(COUNTA(B6,C6,D6,E6,F6,G6,H6,I6,J6,K6,R6,S6)&gt;0,ROW()-3,"")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229" t="n"/>
      <c r="L6" s="227" t="n"/>
      <c r="M6" s="227" t="n"/>
      <c r="N6" s="227" t="n"/>
      <c r="O6" s="227" t="n"/>
      <c r="P6" s="227" t="n"/>
      <c r="Q6" s="81" t="n"/>
      <c r="R6" s="180" t="n"/>
      <c r="S6" s="180" t="n"/>
      <c r="T6" s="99">
        <f>IF(COUNTA(B6,C6,D6,E6,F6,G6,H6,I6,J6,K6,R6,S6)&gt;0,TEXTJOIN("；",TRUE,IF(B6="","缺少设备名称",""),IF(AND(ISTEXT(B6),OR(B6&lt;&gt;TRIM(B6),ISNUMBER(SEARCH("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",E6)))),"安装位置含首尾空格或全角空格",""),IF(F6="","缺少设备类别",""),IF(F6="","",IF(COUNTIF(EV_HPWH_CATEGORY,F6)=0,"设备类别不在标准枚举中","")),IF(AND(ISTEXT(F6),OR(F6&lt;&gt;TRIM(F6),ISNUMBER(SEARCH("　",F6)))),"设备类别含首尾空格或全角空格",""),IF(G6="","缺少加热方式",""),IF(G6="","",IF(COUNTIF(EV_HEATING_METHOD,G6)=0,"加热方式不在标准枚举中","")),IF(AND(ISTEXT(G6),OR(G6&lt;&gt;TRIM(G6),ISNUMBER(SEARCH("　",G6)))),"加热方式含首尾空格或全角空格",""),IF(H6="","缺少是否提供水泵",""),IF(H6="","",IF(COUNTIF(EV_YES_NO,H6)=0,"是否提供水泵不在标准枚举中","")),IF(AND(ISTEXT(H6),OR(H6&lt;&gt;TRIM(H6),ISNUMBER(SEARCH("　",H6)))),"是否提供水泵含首尾空格或全角空格",""),IF(I6="","缺少制热量",""),IF(I6="","",IF(NOT(ISNUMBER(I6)),"制热量应为数值",IF(I6&lt;=0,"制热量应大于0",""))),IF(J6="","缺少额定功率",""),IF(J6="","",IF(NOT(ISNUMBER(J6)),"额定功率应为数值",IF(J6&lt;=0,"额定功率应大于0",""))),IF(K6="","缺少性能系数",""),IF(K6="","",IF(NOT(ISNUMBER(K6)),"性能系数应为数值",IF(K6&lt;=0,"性能系数应大于0",""))),IF(R6="","缺少铭牌照片",""),IF(AND(ISTEXT(S6),OR(S6&lt;&gt;TRIM(S6),ISNUMBER(SEARCH("　",S6)))),"填表备注含首尾空格或全角空格",""),IF(AND(F6="低温型",G6="静态加热式"),"低温型与静态加热式不在标准表组合中",""),IF(AND(ISNUMBER(I6),I6&lt;10,G6="循环加热式",H6="是"),"制热量小于10kW时标准表不区分是否提供水泵，请核对","")),"")</f>
        <v/>
      </c>
    </row>
    <row r="7" ht="42" customHeight="1" s="184">
      <c r="A7" s="224">
        <f>IF(COUNTA(B7,C7,D7,E7,F7,G7,H7,I7,J7,K7,R7,S7)&gt;0,ROW()-3,"")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229" t="n"/>
      <c r="L7" s="227" t="n"/>
      <c r="M7" s="227" t="n"/>
      <c r="N7" s="227" t="n"/>
      <c r="O7" s="227" t="n"/>
      <c r="P7" s="227" t="n"/>
      <c r="Q7" s="81" t="n"/>
      <c r="R7" s="180" t="n"/>
      <c r="S7" s="180" t="n"/>
      <c r="T7" s="99">
        <f>IF(COUNTA(B7,C7,D7,E7,F7,G7,H7,I7,J7,K7,R7,S7)&gt;0,TEXTJOIN("；",TRUE,IF(B7="","缺少设备名称",""),IF(AND(ISTEXT(B7),OR(B7&lt;&gt;TRIM(B7),ISNUMBER(SEARCH("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",E7)))),"安装位置含首尾空格或全角空格",""),IF(F7="","缺少设备类别",""),IF(F7="","",IF(COUNTIF(EV_HPWH_CATEGORY,F7)=0,"设备类别不在标准枚举中","")),IF(AND(ISTEXT(F7),OR(F7&lt;&gt;TRIM(F7),ISNUMBER(SEARCH("　",F7)))),"设备类别含首尾空格或全角空格",""),IF(G7="","缺少加热方式",""),IF(G7="","",IF(COUNTIF(EV_HEATING_METHOD,G7)=0,"加热方式不在标准枚举中","")),IF(AND(ISTEXT(G7),OR(G7&lt;&gt;TRIM(G7),ISNUMBER(SEARCH("　",G7)))),"加热方式含首尾空格或全角空格",""),IF(H7="","缺少是否提供水泵",""),IF(H7="","",IF(COUNTIF(EV_YES_NO,H7)=0,"是否提供水泵不在标准枚举中","")),IF(AND(ISTEXT(H7),OR(H7&lt;&gt;TRIM(H7),ISNUMBER(SEARCH("　",H7)))),"是否提供水泵含首尾空格或全角空格",""),IF(I7="","缺少制热量",""),IF(I7="","",IF(NOT(ISNUMBER(I7)),"制热量应为数值",IF(I7&lt;=0,"制热量应大于0",""))),IF(J7="","缺少额定功率",""),IF(J7="","",IF(NOT(ISNUMBER(J7)),"额定功率应为数值",IF(J7&lt;=0,"额定功率应大于0",""))),IF(K7="","缺少性能系数",""),IF(K7="","",IF(NOT(ISNUMBER(K7)),"性能系数应为数值",IF(K7&lt;=0,"性能系数应大于0",""))),IF(R7="","缺少铭牌照片",""),IF(AND(ISTEXT(S7),OR(S7&lt;&gt;TRIM(S7),ISNUMBER(SEARCH("　",S7)))),"填表备注含首尾空格或全角空格",""),IF(AND(F7="低温型",G7="静态加热式"),"低温型与静态加热式不在标准表组合中",""),IF(AND(ISNUMBER(I7),I7&lt;10,G7="循环加热式",H7="是"),"制热量小于10kW时标准表不区分是否提供水泵，请核对","")),"")</f>
        <v/>
      </c>
    </row>
    <row r="8" ht="42" customHeight="1" s="184">
      <c r="A8" s="224">
        <f>IF(COUNTA(B8,C8,D8,E8,F8,G8,H8,I8,J8,K8,R8,S8)&gt;0,ROW()-3,"")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229" t="n"/>
      <c r="L8" s="227" t="n"/>
      <c r="M8" s="227" t="n"/>
      <c r="N8" s="227" t="n"/>
      <c r="O8" s="227" t="n"/>
      <c r="P8" s="227" t="n"/>
      <c r="Q8" s="81" t="n"/>
      <c r="R8" s="180" t="n"/>
      <c r="S8" s="180" t="n"/>
      <c r="T8" s="99">
        <f>IF(COUNTA(B8,C8,D8,E8,F8,G8,H8,I8,J8,K8,R8,S8)&gt;0,TEXTJOIN("；",TRUE,IF(B8="","缺少设备名称",""),IF(AND(ISTEXT(B8),OR(B8&lt;&gt;TRIM(B8),ISNUMBER(SEARCH("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",E8)))),"安装位置含首尾空格或全角空格",""),IF(F8="","缺少设备类别",""),IF(F8="","",IF(COUNTIF(EV_HPWH_CATEGORY,F8)=0,"设备类别不在标准枚举中","")),IF(AND(ISTEXT(F8),OR(F8&lt;&gt;TRIM(F8),ISNUMBER(SEARCH("　",F8)))),"设备类别含首尾空格或全角空格",""),IF(G8="","缺少加热方式",""),IF(G8="","",IF(COUNTIF(EV_HEATING_METHOD,G8)=0,"加热方式不在标准枚举中","")),IF(AND(ISTEXT(G8),OR(G8&lt;&gt;TRIM(G8),ISNUMBER(SEARCH("　",G8)))),"加热方式含首尾空格或全角空格",""),IF(H8="","缺少是否提供水泵",""),IF(H8="","",IF(COUNTIF(EV_YES_NO,H8)=0,"是否提供水泵不在标准枚举中","")),IF(AND(ISTEXT(H8),OR(H8&lt;&gt;TRIM(H8),ISNUMBER(SEARCH("　",H8)))),"是否提供水泵含首尾空格或全角空格",""),IF(I8="","缺少制热量",""),IF(I8="","",IF(NOT(ISNUMBER(I8)),"制热量应为数值",IF(I8&lt;=0,"制热量应大于0",""))),IF(J8="","缺少额定功率",""),IF(J8="","",IF(NOT(ISNUMBER(J8)),"额定功率应为数值",IF(J8&lt;=0,"额定功率应大于0",""))),IF(K8="","缺少性能系数",""),IF(K8="","",IF(NOT(ISNUMBER(K8)),"性能系数应为数值",IF(K8&lt;=0,"性能系数应大于0",""))),IF(R8="","缺少铭牌照片",""),IF(AND(ISTEXT(S8),OR(S8&lt;&gt;TRIM(S8),ISNUMBER(SEARCH("　",S8)))),"填表备注含首尾空格或全角空格",""),IF(AND(F8="低温型",G8="静态加热式"),"低温型与静态加热式不在标准表组合中",""),IF(AND(ISNUMBER(I8),I8&lt;10,G8="循环加热式",H8="是"),"制热量小于10kW时标准表不区分是否提供水泵，请核对","")),"")</f>
        <v/>
      </c>
    </row>
    <row r="9" ht="42" customHeight="1" s="184">
      <c r="A9" s="224">
        <f>IF(COUNTA(B9,C9,D9,E9,F9,G9,H9,I9,J9,K9,R9,S9)&gt;0,ROW()-3,"")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229" t="n"/>
      <c r="L9" s="227" t="n"/>
      <c r="M9" s="227" t="n"/>
      <c r="N9" s="227" t="n"/>
      <c r="O9" s="227" t="n"/>
      <c r="P9" s="227" t="n"/>
      <c r="Q9" s="81" t="n"/>
      <c r="R9" s="180" t="n"/>
      <c r="S9" s="180" t="n"/>
      <c r="T9" s="99">
        <f>IF(COUNTA(B9,C9,D9,E9,F9,G9,H9,I9,J9,K9,R9,S9)&gt;0,TEXTJOIN("；",TRUE,IF(B9="","缺少设备名称",""),IF(AND(ISTEXT(B9),OR(B9&lt;&gt;TRIM(B9),ISNUMBER(SEARCH("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",E9)))),"安装位置含首尾空格或全角空格",""),IF(F9="","缺少设备类别",""),IF(F9="","",IF(COUNTIF(EV_HPWH_CATEGORY,F9)=0,"设备类别不在标准枚举中","")),IF(AND(ISTEXT(F9),OR(F9&lt;&gt;TRIM(F9),ISNUMBER(SEARCH("　",F9)))),"设备类别含首尾空格或全角空格",""),IF(G9="","缺少加热方式",""),IF(G9="","",IF(COUNTIF(EV_HEATING_METHOD,G9)=0,"加热方式不在标准枚举中","")),IF(AND(ISTEXT(G9),OR(G9&lt;&gt;TRIM(G9),ISNUMBER(SEARCH("　",G9)))),"加热方式含首尾空格或全角空格",""),IF(H9="","缺少是否提供水泵",""),IF(H9="","",IF(COUNTIF(EV_YES_NO,H9)=0,"是否提供水泵不在标准枚举中","")),IF(AND(ISTEXT(H9),OR(H9&lt;&gt;TRIM(H9),ISNUMBER(SEARCH("　",H9)))),"是否提供水泵含首尾空格或全角空格",""),IF(I9="","缺少制热量",""),IF(I9="","",IF(NOT(ISNUMBER(I9)),"制热量应为数值",IF(I9&lt;=0,"制热量应大于0",""))),IF(J9="","缺少额定功率",""),IF(J9="","",IF(NOT(ISNUMBER(J9)),"额定功率应为数值",IF(J9&lt;=0,"额定功率应大于0",""))),IF(K9="","缺少性能系数",""),IF(K9="","",IF(NOT(ISNUMBER(K9)),"性能系数应为数值",IF(K9&lt;=0,"性能系数应大于0",""))),IF(R9="","缺少铭牌照片",""),IF(AND(ISTEXT(S9),OR(S9&lt;&gt;TRIM(S9),ISNUMBER(SEARCH("　",S9)))),"填表备注含首尾空格或全角空格",""),IF(AND(F9="低温型",G9="静态加热式"),"低温型与静态加热式不在标准表组合中",""),IF(AND(ISNUMBER(I9),I9&lt;10,G9="循环加热式",H9="是"),"制热量小于10kW时标准表不区分是否提供水泵，请核对","")),"")</f>
        <v/>
      </c>
    </row>
    <row r="10" ht="42" customHeight="1" s="184">
      <c r="A10" s="224">
        <f>IF(COUNTA(B10,C10,D10,E10,F10,G10,H10,I10,J10,K10,R10,S10)&gt;0,ROW()-3,"")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229" t="n"/>
      <c r="L10" s="227" t="n"/>
      <c r="M10" s="227" t="n"/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IF(COUNTA(B10,C10,D10,E10,F10,G10,H10,I10,J10,K10,R10,S10)&gt;0,TEXTJOIN("；",TRUE,IF(B10="","缺少设备名称",""),IF(AND(ISTEXT(B10),OR(B10&lt;&gt;TRIM(B10),ISNUMBER(SEARCH("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",E10)))),"安装位置含首尾空格或全角空格",""),IF(F10="","缺少设备类别",""),IF(F10="","",IF(COUNTIF(EV_HPWH_CATEGORY,F10)=0,"设备类别不在标准枚举中","")),IF(AND(ISTEXT(F10),OR(F10&lt;&gt;TRIM(F10),ISNUMBER(SEARCH("　",F10)))),"设备类别含首尾空格或全角空格",""),IF(G10="","缺少加热方式",""),IF(G10="","",IF(COUNTIF(EV_HEATING_METHOD,G10)=0,"加热方式不在标准枚举中","")),IF(AND(ISTEXT(G10),OR(G10&lt;&gt;TRIM(G10),ISNUMBER(SEARCH("　",G10)))),"加热方式含首尾空格或全角空格",""),IF(H10="","缺少是否提供水泵",""),IF(H10="","",IF(COUNTIF(EV_YES_NO,H10)=0,"是否提供水泵不在标准枚举中","")),IF(AND(ISTEXT(H10),OR(H10&lt;&gt;TRIM(H10),ISNUMBER(SEARCH("　",H10)))),"是否提供水泵含首尾空格或全角空格",""),IF(I10="","缺少制热量",""),IF(I10="","",IF(NOT(ISNUMBER(I10)),"制热量应为数值",IF(I10&lt;=0,"制热量应大于0",""))),IF(J10="","缺少额定功率",""),IF(J10="","",IF(NOT(ISNUMBER(J10)),"额定功率应为数值",IF(J10&lt;=0,"额定功率应大于0",""))),IF(K10="","缺少性能系数",""),IF(K10="","",IF(NOT(ISNUMBER(K10)),"性能系数应为数值",IF(K10&lt;=0,"性能系数应大于0",""))),IF(R10="","缺少铭牌照片",""),IF(AND(ISTEXT(S10),OR(S10&lt;&gt;TRIM(S10),ISNUMBER(SEARCH("　",S10)))),"填表备注含首尾空格或全角空格",""),IF(AND(F10="低温型",G10="静态加热式"),"低温型与静态加热式不在标准表组合中",""),IF(AND(ISNUMBER(I10),I10&lt;10,G10="循环加热式",H10="是"),"制热量小于10kW时标准表不区分是否提供水泵，请核对","")),"")</f>
        <v/>
      </c>
    </row>
    <row r="11" ht="42" customHeight="1" s="184">
      <c r="A11" s="224">
        <f>IF(COUNTA(B11,C11,D11,E11,F11,G11,H11,I11,J11,K11,R11,S11)&gt;0,ROW()-3,"")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229" t="n"/>
      <c r="L11" s="227" t="n"/>
      <c r="M11" s="227" t="n"/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IF(COUNTA(B11,C11,D11,E11,F11,G11,H11,I11,J11,K11,R11,S11)&gt;0,TEXTJOIN("；",TRUE,IF(B11="","缺少设备名称",""),IF(AND(ISTEXT(B11),OR(B11&lt;&gt;TRIM(B11),ISNUMBER(SEARCH("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",E11)))),"安装位置含首尾空格或全角空格",""),IF(F11="","缺少设备类别",""),IF(F11="","",IF(COUNTIF(EV_HPWH_CATEGORY,F11)=0,"设备类别不在标准枚举中","")),IF(AND(ISTEXT(F11),OR(F11&lt;&gt;TRIM(F11),ISNUMBER(SEARCH("　",F11)))),"设备类别含首尾空格或全角空格",""),IF(G11="","缺少加热方式",""),IF(G11="","",IF(COUNTIF(EV_HEATING_METHOD,G11)=0,"加热方式不在标准枚举中","")),IF(AND(ISTEXT(G11),OR(G11&lt;&gt;TRIM(G11),ISNUMBER(SEARCH("　",G11)))),"加热方式含首尾空格或全角空格",""),IF(H11="","缺少是否提供水泵",""),IF(H11="","",IF(COUNTIF(EV_YES_NO,H11)=0,"是否提供水泵不在标准枚举中","")),IF(AND(ISTEXT(H11),OR(H11&lt;&gt;TRIM(H11),ISNUMBER(SEARCH("　",H11)))),"是否提供水泵含首尾空格或全角空格",""),IF(I11="","缺少制热量",""),IF(I11="","",IF(NOT(ISNUMBER(I11)),"制热量应为数值",IF(I11&lt;=0,"制热量应大于0",""))),IF(J11="","缺少额定功率",""),IF(J11="","",IF(NOT(ISNUMBER(J11)),"额定功率应为数值",IF(J11&lt;=0,"额定功率应大于0",""))),IF(K11="","缺少性能系数",""),IF(K11="","",IF(NOT(ISNUMBER(K11)),"性能系数应为数值",IF(K11&lt;=0,"性能系数应大于0",""))),IF(R11="","缺少铭牌照片",""),IF(AND(ISTEXT(S11),OR(S11&lt;&gt;TRIM(S11),ISNUMBER(SEARCH("　",S11)))),"填表备注含首尾空格或全角空格",""),IF(AND(F11="低温型",G11="静态加热式"),"低温型与静态加热式不在标准表组合中",""),IF(AND(ISNUMBER(I11),I11&lt;10,G11="循环加热式",H11="是"),"制热量小于10kW时标准表不区分是否提供水泵，请核对","")),"")</f>
        <v/>
      </c>
    </row>
    <row r="12" ht="42" customHeight="1" s="184">
      <c r="A12" s="224">
        <f>IF(COUNTA(B12,C12,D12,E12,F12,G12,H12,I12,J12,K12,R12,S12)&gt;0,ROW()-3,"")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229" t="n"/>
      <c r="L12" s="227" t="n"/>
      <c r="M12" s="227" t="n"/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IF(COUNTA(B12,C12,D12,E12,F12,G12,H12,I12,J12,K12,R12,S12)&gt;0,TEXTJOIN("；",TRUE,IF(B12="","缺少设备名称",""),IF(AND(ISTEXT(B12),OR(B12&lt;&gt;TRIM(B12),ISNUMBER(SEARCH("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",E12)))),"安装位置含首尾空格或全角空格",""),IF(F12="","缺少设备类别",""),IF(F12="","",IF(COUNTIF(EV_HPWH_CATEGORY,F12)=0,"设备类别不在标准枚举中","")),IF(AND(ISTEXT(F12),OR(F12&lt;&gt;TRIM(F12),ISNUMBER(SEARCH("　",F12)))),"设备类别含首尾空格或全角空格",""),IF(G12="","缺少加热方式",""),IF(G12="","",IF(COUNTIF(EV_HEATING_METHOD,G12)=0,"加热方式不在标准枚举中","")),IF(AND(ISTEXT(G12),OR(G12&lt;&gt;TRIM(G12),ISNUMBER(SEARCH("　",G12)))),"加热方式含首尾空格或全角空格",""),IF(H12="","缺少是否提供水泵",""),IF(H12="","",IF(COUNTIF(EV_YES_NO,H12)=0,"是否提供水泵不在标准枚举中","")),IF(AND(ISTEXT(H12),OR(H12&lt;&gt;TRIM(H12),ISNUMBER(SEARCH("　",H12)))),"是否提供水泵含首尾空格或全角空格",""),IF(I12="","缺少制热量",""),IF(I12="","",IF(NOT(ISNUMBER(I12)),"制热量应为数值",IF(I12&lt;=0,"制热量应大于0",""))),IF(J12="","缺少额定功率",""),IF(J12="","",IF(NOT(ISNUMBER(J12)),"额定功率应为数值",IF(J12&lt;=0,"额定功率应大于0",""))),IF(K12="","缺少性能系数",""),IF(K12="","",IF(NOT(ISNUMBER(K12)),"性能系数应为数值",IF(K12&lt;=0,"性能系数应大于0",""))),IF(R12="","缺少铭牌照片",""),IF(AND(ISTEXT(S12),OR(S12&lt;&gt;TRIM(S12),ISNUMBER(SEARCH("　",S12)))),"填表备注含首尾空格或全角空格",""),IF(AND(F12="低温型",G12="静态加热式"),"低温型与静态加热式不在标准表组合中",""),IF(AND(ISNUMBER(I12),I12&lt;10,G12="循环加热式",H12="是"),"制热量小于10kW时标准表不区分是否提供水泵，请核对","")),"")</f>
        <v/>
      </c>
    </row>
    <row r="13" ht="42" customHeight="1" s="184">
      <c r="A13" s="224">
        <f>IF(COUNTA(B13,C13,D13,E13,F13,G13,H13,I13,J13,K13,R13,S13)&gt;0,ROW()-3,"")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229" t="n"/>
      <c r="L13" s="227" t="n"/>
      <c r="M13" s="227" t="n"/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IF(COUNTA(B13,C13,D13,E13,F13,G13,H13,I13,J13,K13,R13,S13)&gt;0,TEXTJOIN("；",TRUE,IF(B13="","缺少设备名称",""),IF(AND(ISTEXT(B13),OR(B13&lt;&gt;TRIM(B13),ISNUMBER(SEARCH("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",E13)))),"安装位置含首尾空格或全角空格",""),IF(F13="","缺少设备类别",""),IF(F13="","",IF(COUNTIF(EV_HPWH_CATEGORY,F13)=0,"设备类别不在标准枚举中","")),IF(AND(ISTEXT(F13),OR(F13&lt;&gt;TRIM(F13),ISNUMBER(SEARCH("　",F13)))),"设备类别含首尾空格或全角空格",""),IF(G13="","缺少加热方式",""),IF(G13="","",IF(COUNTIF(EV_HEATING_METHOD,G13)=0,"加热方式不在标准枚举中","")),IF(AND(ISTEXT(G13),OR(G13&lt;&gt;TRIM(G13),ISNUMBER(SEARCH("　",G13)))),"加热方式含首尾空格或全角空格",""),IF(H13="","缺少是否提供水泵",""),IF(H13="","",IF(COUNTIF(EV_YES_NO,H13)=0,"是否提供水泵不在标准枚举中","")),IF(AND(ISTEXT(H13),OR(H13&lt;&gt;TRIM(H13),ISNUMBER(SEARCH("　",H13)))),"是否提供水泵含首尾空格或全角空格",""),IF(I13="","缺少制热量",""),IF(I13="","",IF(NOT(ISNUMBER(I13)),"制热量应为数值",IF(I13&lt;=0,"制热量应大于0",""))),IF(J13="","缺少额定功率",""),IF(J13="","",IF(NOT(ISNUMBER(J13)),"额定功率应为数值",IF(J13&lt;=0,"额定功率应大于0",""))),IF(K13="","缺少性能系数",""),IF(K13="","",IF(NOT(ISNUMBER(K13)),"性能系数应为数值",IF(K13&lt;=0,"性能系数应大于0",""))),IF(R13="","缺少铭牌照片",""),IF(AND(ISTEXT(S13),OR(S13&lt;&gt;TRIM(S13),ISNUMBER(SEARCH("　",S13)))),"填表备注含首尾空格或全角空格",""),IF(AND(F13="低温型",G13="静态加热式"),"低温型与静态加热式不在标准表组合中",""),IF(AND(ISNUMBER(I13),I13&lt;10,G13="循环加热式",H13="是"),"制热量小于10kW时标准表不区分是否提供水泵，请核对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L2:P2"/>
    <mergeCell ref="Q1:R1"/>
    <mergeCell ref="A2:E2"/>
    <mergeCell ref="R2:T2"/>
    <mergeCell ref="A1:P1"/>
    <mergeCell ref="S1:T1"/>
    <mergeCell ref="F2:K2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EV_HPWH_CATEGORY</formula1>
    </dataValidation>
    <dataValidation sqref="G4:G13" showDropDown="0" showInputMessage="0" showErrorMessage="1" allowBlank="1" type="list" errorStyle="stop">
      <formula1>EV_HEATING_METHOD</formula1>
    </dataValidation>
    <dataValidation sqref="H4:H13" showDropDown="0" showInputMessage="0" showErrorMessage="1" allowBlank="1" type="list" errorStyle="stop">
      <formula1>EV_YES_NO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6" customWidth="1" style="184" min="9" max="9"/>
    <col width="13" customWidth="1" style="184" min="10" max="10"/>
    <col width="13" customWidth="1" style="184" min="11" max="11"/>
    <col width="18" customWidth="1" style="184" min="12" max="12"/>
    <col width="13" customWidth="1" style="184" min="13" max="13"/>
    <col width="13" customWidth="1" style="184" min="14" max="14"/>
    <col width="14" customWidth="1" style="184" min="15" max="15"/>
    <col width="14" customWidth="1" style="184" min="16" max="16"/>
    <col width="14" customWidth="1" style="184" min="17" max="17"/>
    <col width="14" customWidth="1" style="184" min="18" max="18"/>
    <col width="15" customWidth="1" style="184" min="19" max="19"/>
    <col width="24" customWidth="1" style="184" min="20" max="20"/>
    <col width="42" customWidth="1" style="184" min="21" max="21"/>
  </cols>
  <sheetData>
    <row r="1" ht="32" customHeight="1" s="184">
      <c r="A1" s="12" t="inlineStr">
        <is>
          <t>风管送风式空调机组 - 《风管送风式空调机组能效限定值及能效等级》（GB 37479-2019）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10" t="inlineStr">
        <is>
          <t>数量合计</t>
        </is>
      </c>
      <c r="S1" s="220" t="n"/>
      <c r="T1" s="11">
        <f>SUM(TblDuctAC[数量])</f>
        <v/>
      </c>
      <c r="U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3" t="n"/>
      <c r="O2" s="57" t="inlineStr">
        <is>
          <t>标准查询结果</t>
        </is>
      </c>
      <c r="P2" s="222" t="n"/>
      <c r="Q2" s="223" t="n"/>
      <c r="R2" s="70" t="inlineStr">
        <is>
          <t>结论</t>
        </is>
      </c>
      <c r="S2" s="82" t="inlineStr">
        <is>
          <t>附件备注</t>
        </is>
      </c>
      <c r="T2" s="222" t="n"/>
      <c r="U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45" t="inlineStr">
        <is>
          <t>焓差类型</t>
        </is>
      </c>
      <c r="J3" s="55" t="inlineStr">
        <is>
          <t>名义制冷量
(kW)</t>
        </is>
      </c>
      <c r="K3" s="55" t="inlineStr">
        <is>
          <t>额定功率
(kW)</t>
        </is>
      </c>
      <c r="L3" s="108" t="inlineStr">
        <is>
          <t>设计指标名称</t>
        </is>
      </c>
      <c r="M3" s="55" t="inlineStr">
        <is>
          <t>设计指标值
(按指标)</t>
        </is>
      </c>
      <c r="N3" s="108" t="inlineStr">
        <is>
          <t>设计指标单位</t>
        </is>
      </c>
      <c r="O3" s="63" t="inlineStr">
        <is>
          <t>1级对应指标
(按指标)</t>
        </is>
      </c>
      <c r="P3" s="63" t="inlineStr">
        <is>
          <t>2级对应指标
(按指标)</t>
        </is>
      </c>
      <c r="Q3" s="63" t="inlineStr">
        <is>
          <t>3级对应指标
(按指标)</t>
        </is>
      </c>
      <c r="R3" s="76" t="inlineStr">
        <is>
          <t>能效等级</t>
        </is>
      </c>
      <c r="S3" s="88" t="inlineStr">
        <is>
          <t>铭牌照片</t>
        </is>
      </c>
      <c r="T3" s="88" t="inlineStr">
        <is>
          <t>填表备注</t>
        </is>
      </c>
      <c r="U3" s="88" t="inlineStr">
        <is>
          <t>自动备注</t>
        </is>
      </c>
    </row>
    <row r="4" ht="42" customHeight="1" s="184">
      <c r="A4" s="224">
        <f>IF(COUNTA(B4,C4,D4,E4,F4,G4,H4,I4,J4,K4,M4,S4,T4)&gt;0,ROW()-3,"")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18" t="n"/>
      <c r="J4" s="229" t="n"/>
      <c r="K4" s="229" t="n"/>
      <c r="L4" s="115">
        <f>IF(F4="","",IF(F4="直接蒸发式全新风空气处理机组","EER",IF(G4="水冷式（水环式）","IPLV",IF(H4="单冷型","SEER",IF(H4="热泵型","APF","")))))</f>
        <v/>
      </c>
      <c r="M4" s="229" t="n"/>
      <c r="N4" s="115">
        <f>IF(L4="","","W/W")</f>
        <v/>
      </c>
      <c r="O4" s="227" t="n"/>
      <c r="P4" s="227" t="n"/>
      <c r="Q4" s="227" t="n"/>
      <c r="R4" s="81" t="n"/>
      <c r="S4" s="180" t="n"/>
      <c r="T4" s="180" t="n"/>
      <c r="U4" s="99">
        <f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f>
        <v/>
      </c>
    </row>
    <row r="5" ht="42" customHeight="1" s="184">
      <c r="A5" s="224">
        <f>IF(COUNTA(B5,C5,D5,E5,F5,G5,H5,I5,J5,K5,M5,S5,T5)&gt;0,ROW()-3,"")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18" t="n"/>
      <c r="J5" s="229" t="n"/>
      <c r="K5" s="229" t="n"/>
      <c r="L5" s="115">
        <f>IF(F5="","",IF(F5="直接蒸发式全新风空气处理机组","EER",IF(G5="水冷式（水环式）","IPLV",IF(H5="单冷型","SEER",IF(H5="热泵型","APF","")))))</f>
        <v/>
      </c>
      <c r="M5" s="229" t="n"/>
      <c r="N5" s="115">
        <f>IF(L5="","","W/W")</f>
        <v/>
      </c>
      <c r="O5" s="227" t="n"/>
      <c r="P5" s="227" t="n"/>
      <c r="Q5" s="227" t="n"/>
      <c r="R5" s="81" t="n"/>
      <c r="S5" s="180" t="n"/>
      <c r="T5" s="180" t="n"/>
      <c r="U5" s="99">
        <f>IF(COUNTA(B5,C5,D5,E5,F5,G5,H5,I5,J5,K5,M5,S5,T5)&gt;0,TEXTJOIN("；",TRUE,IF(B5="","缺少设备名称",""),IF(AND(ISTEXT(B5),OR(B5&lt;&gt;TRIM(B5),ISNUMBER(SEARCH("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",E5)))),"安装位置含首尾空格或全角空格",""),IF(F5="","缺少设备类别",""),IF(F5="","",IF(COUNTIF(EV_DUCT_CATEGORY,F5)=0,"设备类别不在标准枚举中","")),IF(AND(ISTEXT(F5),OR(F5&lt;&gt;TRIM(F5),ISNUMBER(SEARCH("　",F5)))),"设备类别含首尾空格或全角空格",""),IF(G5="","缺少冷却方式",""),IF(G5="","",IF(COUNTIF(EV_AC_COOLING_DUCT,G5)=0,"冷却方式不在标准枚举中","")),IF(AND(ISTEXT(G5),OR(G5&lt;&gt;TRIM(G5),ISNUMBER(SEARCH("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",H5)))),"机组类型含首尾空格或全角空格",""),IF(I5="","缺少焓差类型",""),IF(I5="","",IF(COUNTIF(EV_ENTHALPY,I5)=0,"焓差类型不在标准枚举中","")),IF(AND(ISTEXT(I5),OR(I5&lt;&gt;TRIM(I5),ISNUMBER(SEARCH("　",I5)))),"焓差类型含首尾空格或全角空格",""),IF(J5="","缺少名义制冷量",""),IF(J5="","",IF(NOT(ISNUMBER(J5)),"名义制冷量应为数值",IF(J5&lt;=0,"名义制冷量应大于0",""))),IF(K5="","缺少额定功率",""),IF(K5="","",IF(NOT(ISNUMBER(K5)),"额定功率应为数值",IF(K5&lt;=0,"额定功率应大于0",""))),IF(M5="","缺少设计指标值",""),IF(M5="","",IF(NOT(ISNUMBER(M5)),"设计指标值应为数值",IF(M5&lt;=0,"设计指标值应大于0",""))),IF(S5="","缺少铭牌照片",""),IF(AND(ISTEXT(T5),OR(T5&lt;&gt;TRIM(T5),ISNUMBER(SEARCH("　",T5)))),"填表备注含首尾空格或全角空格",""),IF(AND(F5="直接蒸发式全新风空气处理机组",I5="不适用"),"全新风空气处理机组应选择大小焓差",""),IF(AND(F5="风管送风式空调（热泵）机组",I5&lt;&gt;"",I5&lt;&gt;"不适用"),"风管送风式机组不使用焓差分类",""),IF(AND(F5="直接蒸发式全新风空气处理机组",H5&lt;&gt;"",H5&lt;&gt;"不适用"),"全新风空气处理机组不使用单冷/热泵分类","")),"")</f>
        <v/>
      </c>
    </row>
    <row r="6" ht="42" customHeight="1" s="184">
      <c r="A6" s="224">
        <f>IF(COUNTA(B6,C6,D6,E6,F6,G6,H6,I6,J6,K6,M6,S6,T6)&gt;0,ROW()-3,"")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18" t="n"/>
      <c r="J6" s="229" t="n"/>
      <c r="K6" s="229" t="n"/>
      <c r="L6" s="115">
        <f>IF(F6="","",IF(F6="直接蒸发式全新风空气处理机组","EER",IF(G6="水冷式（水环式）","IPLV",IF(H6="单冷型","SEER",IF(H6="热泵型","APF","")))))</f>
        <v/>
      </c>
      <c r="M6" s="229" t="n"/>
      <c r="N6" s="115">
        <f>IF(L6="","","W/W")</f>
        <v/>
      </c>
      <c r="O6" s="227" t="n"/>
      <c r="P6" s="227" t="n"/>
      <c r="Q6" s="227" t="n"/>
      <c r="R6" s="81" t="n"/>
      <c r="S6" s="180" t="n"/>
      <c r="T6" s="180" t="n"/>
      <c r="U6" s="99">
        <f>IF(COUNTA(B6,C6,D6,E6,F6,G6,H6,I6,J6,K6,M6,S6,T6)&gt;0,TEXTJOIN("；",TRUE,IF(B6="","缺少设备名称",""),IF(AND(ISTEXT(B6),OR(B6&lt;&gt;TRIM(B6),ISNUMBER(SEARCH("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",E6)))),"安装位置含首尾空格或全角空格",""),IF(F6="","缺少设备类别",""),IF(F6="","",IF(COUNTIF(EV_DUCT_CATEGORY,F6)=0,"设备类别不在标准枚举中","")),IF(AND(ISTEXT(F6),OR(F6&lt;&gt;TRIM(F6),ISNUMBER(SEARCH("　",F6)))),"设备类别含首尾空格或全角空格",""),IF(G6="","缺少冷却方式",""),IF(G6="","",IF(COUNTIF(EV_AC_COOLING_DUCT,G6)=0,"冷却方式不在标准枚举中","")),IF(AND(ISTEXT(G6),OR(G6&lt;&gt;TRIM(G6),ISNUMBER(SEARCH("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",H6)))),"机组类型含首尾空格或全角空格",""),IF(I6="","缺少焓差类型",""),IF(I6="","",IF(COUNTIF(EV_ENTHALPY,I6)=0,"焓差类型不在标准枚举中","")),IF(AND(ISTEXT(I6),OR(I6&lt;&gt;TRIM(I6),ISNUMBER(SEARCH("　",I6)))),"焓差类型含首尾空格或全角空格",""),IF(J6="","缺少名义制冷量",""),IF(J6="","",IF(NOT(ISNUMBER(J6)),"名义制冷量应为数值",IF(J6&lt;=0,"名义制冷量应大于0",""))),IF(K6="","缺少额定功率",""),IF(K6="","",IF(NOT(ISNUMBER(K6)),"额定功率应为数值",IF(K6&lt;=0,"额定功率应大于0",""))),IF(M6="","缺少设计指标值",""),IF(M6="","",IF(NOT(ISNUMBER(M6)),"设计指标值应为数值",IF(M6&lt;=0,"设计指标值应大于0",""))),IF(S6="","缺少铭牌照片",""),IF(AND(ISTEXT(T6),OR(T6&lt;&gt;TRIM(T6),ISNUMBER(SEARCH("　",T6)))),"填表备注含首尾空格或全角空格",""),IF(AND(F6="直接蒸发式全新风空气处理机组",I6="不适用"),"全新风空气处理机组应选择大小焓差",""),IF(AND(F6="风管送风式空调（热泵）机组",I6&lt;&gt;"",I6&lt;&gt;"不适用"),"风管送风式机组不使用焓差分类",""),IF(AND(F6="直接蒸发式全新风空气处理机组",H6&lt;&gt;"",H6&lt;&gt;"不适用"),"全新风空气处理机组不使用单冷/热泵分类","")),"")</f>
        <v/>
      </c>
    </row>
    <row r="7" ht="42" customHeight="1" s="184">
      <c r="A7" s="224">
        <f>IF(COUNTA(B7,C7,D7,E7,F7,G7,H7,I7,J7,K7,M7,S7,T7)&gt;0,ROW()-3,"")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18" t="n"/>
      <c r="J7" s="229" t="n"/>
      <c r="K7" s="229" t="n"/>
      <c r="L7" s="115">
        <f>IF(F7="","",IF(F7="直接蒸发式全新风空气处理机组","EER",IF(G7="水冷式（水环式）","IPLV",IF(H7="单冷型","SEER",IF(H7="热泵型","APF","")))))</f>
        <v/>
      </c>
      <c r="M7" s="229" t="n"/>
      <c r="N7" s="115">
        <f>IF(L7="","","W/W")</f>
        <v/>
      </c>
      <c r="O7" s="227" t="n"/>
      <c r="P7" s="227" t="n"/>
      <c r="Q7" s="227" t="n"/>
      <c r="R7" s="81" t="n"/>
      <c r="S7" s="180" t="n"/>
      <c r="T7" s="180" t="n"/>
      <c r="U7" s="99">
        <f>IF(COUNTA(B7,C7,D7,E7,F7,G7,H7,I7,J7,K7,M7,S7,T7)&gt;0,TEXTJOIN("；",TRUE,IF(B7="","缺少设备名称",""),IF(AND(ISTEXT(B7),OR(B7&lt;&gt;TRIM(B7),ISNUMBER(SEARCH("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",E7)))),"安装位置含首尾空格或全角空格",""),IF(F7="","缺少设备类别",""),IF(F7="","",IF(COUNTIF(EV_DUCT_CATEGORY,F7)=0,"设备类别不在标准枚举中","")),IF(AND(ISTEXT(F7),OR(F7&lt;&gt;TRIM(F7),ISNUMBER(SEARCH("　",F7)))),"设备类别含首尾空格或全角空格",""),IF(G7="","缺少冷却方式",""),IF(G7="","",IF(COUNTIF(EV_AC_COOLING_DUCT,G7)=0,"冷却方式不在标准枚举中","")),IF(AND(ISTEXT(G7),OR(G7&lt;&gt;TRIM(G7),ISNUMBER(SEARCH("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",H7)))),"机组类型含首尾空格或全角空格",""),IF(I7="","缺少焓差类型",""),IF(I7="","",IF(COUNTIF(EV_ENTHALPY,I7)=0,"焓差类型不在标准枚举中","")),IF(AND(ISTEXT(I7),OR(I7&lt;&gt;TRIM(I7),ISNUMBER(SEARCH("　",I7)))),"焓差类型含首尾空格或全角空格",""),IF(J7="","缺少名义制冷量",""),IF(J7="","",IF(NOT(ISNUMBER(J7)),"名义制冷量应为数值",IF(J7&lt;=0,"名义制冷量应大于0",""))),IF(K7="","缺少额定功率",""),IF(K7="","",IF(NOT(ISNUMBER(K7)),"额定功率应为数值",IF(K7&lt;=0,"额定功率应大于0",""))),IF(M7="","缺少设计指标值",""),IF(M7="","",IF(NOT(ISNUMBER(M7)),"设计指标值应为数值",IF(M7&lt;=0,"设计指标值应大于0",""))),IF(S7="","缺少铭牌照片",""),IF(AND(ISTEXT(T7),OR(T7&lt;&gt;TRIM(T7),ISNUMBER(SEARCH("　",T7)))),"填表备注含首尾空格或全角空格",""),IF(AND(F7="直接蒸发式全新风空气处理机组",I7="不适用"),"全新风空气处理机组应选择大小焓差",""),IF(AND(F7="风管送风式空调（热泵）机组",I7&lt;&gt;"",I7&lt;&gt;"不适用"),"风管送风式机组不使用焓差分类",""),IF(AND(F7="直接蒸发式全新风空气处理机组",H7&lt;&gt;"",H7&lt;&gt;"不适用"),"全新风空气处理机组不使用单冷/热泵分类","")),"")</f>
        <v/>
      </c>
    </row>
    <row r="8" ht="42" customHeight="1" s="184">
      <c r="A8" s="224">
        <f>IF(COUNTA(B8,C8,D8,E8,F8,G8,H8,I8,J8,K8,M8,S8,T8)&gt;0,ROW()-3,"")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18" t="n"/>
      <c r="J8" s="229" t="n"/>
      <c r="K8" s="229" t="n"/>
      <c r="L8" s="115">
        <f>IF(F8="","",IF(F8="直接蒸发式全新风空气处理机组","EER",IF(G8="水冷式（水环式）","IPLV",IF(H8="单冷型","SEER",IF(H8="热泵型","APF","")))))</f>
        <v/>
      </c>
      <c r="M8" s="229" t="n"/>
      <c r="N8" s="115">
        <f>IF(L8="","","W/W")</f>
        <v/>
      </c>
      <c r="O8" s="227" t="n"/>
      <c r="P8" s="227" t="n"/>
      <c r="Q8" s="227" t="n"/>
      <c r="R8" s="81" t="n"/>
      <c r="S8" s="180" t="n"/>
      <c r="T8" s="180" t="n"/>
      <c r="U8" s="99">
        <f>IF(COUNTA(B8,C8,D8,E8,F8,G8,H8,I8,J8,K8,M8,S8,T8)&gt;0,TEXTJOIN("；",TRUE,IF(B8="","缺少设备名称",""),IF(AND(ISTEXT(B8),OR(B8&lt;&gt;TRIM(B8),ISNUMBER(SEARCH("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",E8)))),"安装位置含首尾空格或全角空格",""),IF(F8="","缺少设备类别",""),IF(F8="","",IF(COUNTIF(EV_DUCT_CATEGORY,F8)=0,"设备类别不在标准枚举中","")),IF(AND(ISTEXT(F8),OR(F8&lt;&gt;TRIM(F8),ISNUMBER(SEARCH("　",F8)))),"设备类别含首尾空格或全角空格",""),IF(G8="","缺少冷却方式",""),IF(G8="","",IF(COUNTIF(EV_AC_COOLING_DUCT,G8)=0,"冷却方式不在标准枚举中","")),IF(AND(ISTEXT(G8),OR(G8&lt;&gt;TRIM(G8),ISNUMBER(SEARCH("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",H8)))),"机组类型含首尾空格或全角空格",""),IF(I8="","缺少焓差类型",""),IF(I8="","",IF(COUNTIF(EV_ENTHALPY,I8)=0,"焓差类型不在标准枚举中","")),IF(AND(ISTEXT(I8),OR(I8&lt;&gt;TRIM(I8),ISNUMBER(SEARCH("　",I8)))),"焓差类型含首尾空格或全角空格",""),IF(J8="","缺少名义制冷量",""),IF(J8="","",IF(NOT(ISNUMBER(J8)),"名义制冷量应为数值",IF(J8&lt;=0,"名义制冷量应大于0",""))),IF(K8="","缺少额定功率",""),IF(K8="","",IF(NOT(ISNUMBER(K8)),"额定功率应为数值",IF(K8&lt;=0,"额定功率应大于0",""))),IF(M8="","缺少设计指标值",""),IF(M8="","",IF(NOT(ISNUMBER(M8)),"设计指标值应为数值",IF(M8&lt;=0,"设计指标值应大于0",""))),IF(S8="","缺少铭牌照片",""),IF(AND(ISTEXT(T8),OR(T8&lt;&gt;TRIM(T8),ISNUMBER(SEARCH("　",T8)))),"填表备注含首尾空格或全角空格",""),IF(AND(F8="直接蒸发式全新风空气处理机组",I8="不适用"),"全新风空气处理机组应选择大小焓差",""),IF(AND(F8="风管送风式空调（热泵）机组",I8&lt;&gt;"",I8&lt;&gt;"不适用"),"风管送风式机组不使用焓差分类",""),IF(AND(F8="直接蒸发式全新风空气处理机组",H8&lt;&gt;"",H8&lt;&gt;"不适用"),"全新风空气处理机组不使用单冷/热泵分类","")),"")</f>
        <v/>
      </c>
    </row>
    <row r="9" ht="42" customHeight="1" s="184">
      <c r="A9" s="224">
        <f>IF(COUNTA(B9,C9,D9,E9,F9,G9,H9,I9,J9,K9,M9,S9,T9)&gt;0,ROW()-3,"")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18" t="n"/>
      <c r="J9" s="229" t="n"/>
      <c r="K9" s="229" t="n"/>
      <c r="L9" s="115">
        <f>IF(F9="","",IF(F9="直接蒸发式全新风空气处理机组","EER",IF(G9="水冷式（水环式）","IPLV",IF(H9="单冷型","SEER",IF(H9="热泵型","APF","")))))</f>
        <v/>
      </c>
      <c r="M9" s="229" t="n"/>
      <c r="N9" s="115">
        <f>IF(L9="","","W/W")</f>
        <v/>
      </c>
      <c r="O9" s="227" t="n"/>
      <c r="P9" s="227" t="n"/>
      <c r="Q9" s="227" t="n"/>
      <c r="R9" s="81" t="n"/>
      <c r="S9" s="180" t="n"/>
      <c r="T9" s="180" t="n"/>
      <c r="U9" s="99">
        <f>IF(COUNTA(B9,C9,D9,E9,F9,G9,H9,I9,J9,K9,M9,S9,T9)&gt;0,TEXTJOIN("；",TRUE,IF(B9="","缺少设备名称",""),IF(AND(ISTEXT(B9),OR(B9&lt;&gt;TRIM(B9),ISNUMBER(SEARCH("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",E9)))),"安装位置含首尾空格或全角空格",""),IF(F9="","缺少设备类别",""),IF(F9="","",IF(COUNTIF(EV_DUCT_CATEGORY,F9)=0,"设备类别不在标准枚举中","")),IF(AND(ISTEXT(F9),OR(F9&lt;&gt;TRIM(F9),ISNUMBER(SEARCH("　",F9)))),"设备类别含首尾空格或全角空格",""),IF(G9="","缺少冷却方式",""),IF(G9="","",IF(COUNTIF(EV_AC_COOLING_DUCT,G9)=0,"冷却方式不在标准枚举中","")),IF(AND(ISTEXT(G9),OR(G9&lt;&gt;TRIM(G9),ISNUMBER(SEARCH("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",H9)))),"机组类型含首尾空格或全角空格",""),IF(I9="","缺少焓差类型",""),IF(I9="","",IF(COUNTIF(EV_ENTHALPY,I9)=0,"焓差类型不在标准枚举中","")),IF(AND(ISTEXT(I9),OR(I9&lt;&gt;TRIM(I9),ISNUMBER(SEARCH("　",I9)))),"焓差类型含首尾空格或全角空格",""),IF(J9="","缺少名义制冷量",""),IF(J9="","",IF(NOT(ISNUMBER(J9)),"名义制冷量应为数值",IF(J9&lt;=0,"名义制冷量应大于0",""))),IF(K9="","缺少额定功率",""),IF(K9="","",IF(NOT(ISNUMBER(K9)),"额定功率应为数值",IF(K9&lt;=0,"额定功率应大于0",""))),IF(M9="","缺少设计指标值",""),IF(M9="","",IF(NOT(ISNUMBER(M9)),"设计指标值应为数值",IF(M9&lt;=0,"设计指标值应大于0",""))),IF(S9="","缺少铭牌照片",""),IF(AND(ISTEXT(T9),OR(T9&lt;&gt;TRIM(T9),ISNUMBER(SEARCH("　",T9)))),"填表备注含首尾空格或全角空格",""),IF(AND(F9="直接蒸发式全新风空气处理机组",I9="不适用"),"全新风空气处理机组应选择大小焓差",""),IF(AND(F9="风管送风式空调（热泵）机组",I9&lt;&gt;"",I9&lt;&gt;"不适用"),"风管送风式机组不使用焓差分类",""),IF(AND(F9="直接蒸发式全新风空气处理机组",H9&lt;&gt;"",H9&lt;&gt;"不适用"),"全新风空气处理机组不使用单冷/热泵分类","")),"")</f>
        <v/>
      </c>
    </row>
    <row r="10" ht="42" customHeight="1" s="184">
      <c r="A10" s="224">
        <f>IF(COUNTA(B10,C10,D10,E10,F10,G10,H10,I10,J10,K10,M10,S10,T10)&gt;0,ROW()-3,"")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18" t="n"/>
      <c r="J10" s="229" t="n"/>
      <c r="K10" s="229" t="n"/>
      <c r="L10" s="115">
        <f>IF(F10="","",IF(F10="直接蒸发式全新风空气处理机组","EER",IF(G10="水冷式（水环式）","IPLV",IF(H10="单冷型","SEER",IF(H10="热泵型","APF","")))))</f>
        <v/>
      </c>
      <c r="M10" s="229" t="n"/>
      <c r="N10" s="115">
        <f>IF(L10="","","W/W")</f>
        <v/>
      </c>
      <c r="O10" s="227" t="n"/>
      <c r="P10" s="227" t="n"/>
      <c r="Q10" s="227" t="n"/>
      <c r="R10" s="81" t="n"/>
      <c r="S10" s="180" t="n"/>
      <c r="T10" s="180" t="n"/>
      <c r="U10" s="99">
        <f>IF(COUNTA(B10,C10,D10,E10,F10,G10,H10,I10,J10,K10,M10,S10,T10)&gt;0,TEXTJOIN("；",TRUE,IF(B10="","缺少设备名称",""),IF(AND(ISTEXT(B10),OR(B10&lt;&gt;TRIM(B10),ISNUMBER(SEARCH("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",E10)))),"安装位置含首尾空格或全角空格",""),IF(F10="","缺少设备类别",""),IF(F10="","",IF(COUNTIF(EV_DUCT_CATEGORY,F10)=0,"设备类别不在标准枚举中","")),IF(AND(ISTEXT(F10),OR(F10&lt;&gt;TRIM(F10),ISNUMBER(SEARCH("　",F10)))),"设备类别含首尾空格或全角空格",""),IF(G10="","缺少冷却方式",""),IF(G10="","",IF(COUNTIF(EV_AC_COOLING_DUCT,G10)=0,"冷却方式不在标准枚举中","")),IF(AND(ISTEXT(G10),OR(G10&lt;&gt;TRIM(G10),ISNUMBER(SEARCH("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",H10)))),"机组类型含首尾空格或全角空格",""),IF(I10="","缺少焓差类型",""),IF(I10="","",IF(COUNTIF(EV_ENTHALPY,I10)=0,"焓差类型不在标准枚举中","")),IF(AND(ISTEXT(I10),OR(I10&lt;&gt;TRIM(I10),ISNUMBER(SEARCH("　",I10)))),"焓差类型含首尾空格或全角空格",""),IF(J10="","缺少名义制冷量",""),IF(J10="","",IF(NOT(ISNUMBER(J10)),"名义制冷量应为数值",IF(J10&lt;=0,"名义制冷量应大于0",""))),IF(K10="","缺少额定功率",""),IF(K10="","",IF(NOT(ISNUMBER(K10)),"额定功率应为数值",IF(K10&lt;=0,"额定功率应大于0",""))),IF(M10="","缺少设计指标值",""),IF(M10="","",IF(NOT(ISNUMBER(M10)),"设计指标值应为数值",IF(M10&lt;=0,"设计指标值应大于0",""))),IF(S10="","缺少铭牌照片",""),IF(AND(ISTEXT(T10),OR(T10&lt;&gt;TRIM(T10),ISNUMBER(SEARCH("　",T10)))),"填表备注含首尾空格或全角空格",""),IF(AND(F10="直接蒸发式全新风空气处理机组",I10="不适用"),"全新风空气处理机组应选择大小焓差",""),IF(AND(F10="风管送风式空调（热泵）机组",I10&lt;&gt;"",I10&lt;&gt;"不适用"),"风管送风式机组不使用焓差分类",""),IF(AND(F10="直接蒸发式全新风空气处理机组",H10&lt;&gt;"",H10&lt;&gt;"不适用"),"全新风空气处理机组不使用单冷/热泵分类","")),"")</f>
        <v/>
      </c>
    </row>
    <row r="11" ht="42" customHeight="1" s="184">
      <c r="A11" s="224">
        <f>IF(COUNTA(B11,C11,D11,E11,F11,G11,H11,I11,J11,K11,M11,S11,T11)&gt;0,ROW()-3,"")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18" t="n"/>
      <c r="J11" s="229" t="n"/>
      <c r="K11" s="229" t="n"/>
      <c r="L11" s="115">
        <f>IF(F11="","",IF(F11="直接蒸发式全新风空气处理机组","EER",IF(G11="水冷式（水环式）","IPLV",IF(H11="单冷型","SEER",IF(H11="热泵型","APF","")))))</f>
        <v/>
      </c>
      <c r="M11" s="229" t="n"/>
      <c r="N11" s="115">
        <f>IF(L11="","","W/W")</f>
        <v/>
      </c>
      <c r="O11" s="227" t="n"/>
      <c r="P11" s="227" t="n"/>
      <c r="Q11" s="227" t="n"/>
      <c r="R11" s="81" t="n"/>
      <c r="S11" s="180" t="n"/>
      <c r="T11" s="180" t="n"/>
      <c r="U11" s="99">
        <f>IF(COUNTA(B11,C11,D11,E11,F11,G11,H11,I11,J11,K11,M11,S11,T11)&gt;0,TEXTJOIN("；",TRUE,IF(B11="","缺少设备名称",""),IF(AND(ISTEXT(B11),OR(B11&lt;&gt;TRIM(B11),ISNUMBER(SEARCH("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",E11)))),"安装位置含首尾空格或全角空格",""),IF(F11="","缺少设备类别",""),IF(F11="","",IF(COUNTIF(EV_DUCT_CATEGORY,F11)=0,"设备类别不在标准枚举中","")),IF(AND(ISTEXT(F11),OR(F11&lt;&gt;TRIM(F11),ISNUMBER(SEARCH("　",F11)))),"设备类别含首尾空格或全角空格",""),IF(G11="","缺少冷却方式",""),IF(G11="","",IF(COUNTIF(EV_AC_COOLING_DUCT,G11)=0,"冷却方式不在标准枚举中","")),IF(AND(ISTEXT(G11),OR(G11&lt;&gt;TRIM(G11),ISNUMBER(SEARCH("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",H11)))),"机组类型含首尾空格或全角空格",""),IF(I11="","缺少焓差类型",""),IF(I11="","",IF(COUNTIF(EV_ENTHALPY,I11)=0,"焓差类型不在标准枚举中","")),IF(AND(ISTEXT(I11),OR(I11&lt;&gt;TRIM(I11),ISNUMBER(SEARCH("　",I11)))),"焓差类型含首尾空格或全角空格",""),IF(J11="","缺少名义制冷量",""),IF(J11="","",IF(NOT(ISNUMBER(J11)),"名义制冷量应为数值",IF(J11&lt;=0,"名义制冷量应大于0",""))),IF(K11="","缺少额定功率",""),IF(K11="","",IF(NOT(ISNUMBER(K11)),"额定功率应为数值",IF(K11&lt;=0,"额定功率应大于0",""))),IF(M11="","缺少设计指标值",""),IF(M11="","",IF(NOT(ISNUMBER(M11)),"设计指标值应为数值",IF(M11&lt;=0,"设计指标值应大于0",""))),IF(S11="","缺少铭牌照片",""),IF(AND(ISTEXT(T11),OR(T11&lt;&gt;TRIM(T11),ISNUMBER(SEARCH("　",T11)))),"填表备注含首尾空格或全角空格",""),IF(AND(F11="直接蒸发式全新风空气处理机组",I11="不适用"),"全新风空气处理机组应选择大小焓差",""),IF(AND(F11="风管送风式空调（热泵）机组",I11&lt;&gt;"",I11&lt;&gt;"不适用"),"风管送风式机组不使用焓差分类",""),IF(AND(F11="直接蒸发式全新风空气处理机组",H11&lt;&gt;"",H11&lt;&gt;"不适用"),"全新风空气处理机组不使用单冷/热泵分类","")),"")</f>
        <v/>
      </c>
    </row>
    <row r="12" ht="42" customHeight="1" s="184">
      <c r="A12" s="224">
        <f>IF(COUNTA(B12,C12,D12,E12,F12,G12,H12,I12,J12,K12,M12,S12,T12)&gt;0,ROW()-3,"")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18" t="n"/>
      <c r="J12" s="229" t="n"/>
      <c r="K12" s="229" t="n"/>
      <c r="L12" s="115">
        <f>IF(F12="","",IF(F12="直接蒸发式全新风空气处理机组","EER",IF(G12="水冷式（水环式）","IPLV",IF(H12="单冷型","SEER",IF(H12="热泵型","APF","")))))</f>
        <v/>
      </c>
      <c r="M12" s="229" t="n"/>
      <c r="N12" s="115">
        <f>IF(L12="","","W/W")</f>
        <v/>
      </c>
      <c r="O12" s="227" t="n"/>
      <c r="P12" s="227" t="n"/>
      <c r="Q12" s="227" t="n"/>
      <c r="R12" s="81" t="n"/>
      <c r="S12" s="180" t="n"/>
      <c r="T12" s="180" t="n"/>
      <c r="U12" s="99">
        <f>IF(COUNTA(B12,C12,D12,E12,F12,G12,H12,I12,J12,K12,M12,S12,T12)&gt;0,TEXTJOIN("；",TRUE,IF(B12="","缺少设备名称",""),IF(AND(ISTEXT(B12),OR(B12&lt;&gt;TRIM(B12),ISNUMBER(SEARCH("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",E12)))),"安装位置含首尾空格或全角空格",""),IF(F12="","缺少设备类别",""),IF(F12="","",IF(COUNTIF(EV_DUCT_CATEGORY,F12)=0,"设备类别不在标准枚举中","")),IF(AND(ISTEXT(F12),OR(F12&lt;&gt;TRIM(F12),ISNUMBER(SEARCH("　",F12)))),"设备类别含首尾空格或全角空格",""),IF(G12="","缺少冷却方式",""),IF(G12="","",IF(COUNTIF(EV_AC_COOLING_DUCT,G12)=0,"冷却方式不在标准枚举中","")),IF(AND(ISTEXT(G12),OR(G12&lt;&gt;TRIM(G12),ISNUMBER(SEARCH("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",H12)))),"机组类型含首尾空格或全角空格",""),IF(I12="","缺少焓差类型",""),IF(I12="","",IF(COUNTIF(EV_ENTHALPY,I12)=0,"焓差类型不在标准枚举中","")),IF(AND(ISTEXT(I12),OR(I12&lt;&gt;TRIM(I12),ISNUMBER(SEARCH("　",I12)))),"焓差类型含首尾空格或全角空格",""),IF(J12="","缺少名义制冷量",""),IF(J12="","",IF(NOT(ISNUMBER(J12)),"名义制冷量应为数值",IF(J12&lt;=0,"名义制冷量应大于0",""))),IF(K12="","缺少额定功率",""),IF(K12="","",IF(NOT(ISNUMBER(K12)),"额定功率应为数值",IF(K12&lt;=0,"额定功率应大于0",""))),IF(M12="","缺少设计指标值",""),IF(M12="","",IF(NOT(ISNUMBER(M12)),"设计指标值应为数值",IF(M12&lt;=0,"设计指标值应大于0",""))),IF(S12="","缺少铭牌照片",""),IF(AND(ISTEXT(T12),OR(T12&lt;&gt;TRIM(T12),ISNUMBER(SEARCH("　",T12)))),"填表备注含首尾空格或全角空格",""),IF(AND(F12="直接蒸发式全新风空气处理机组",I12="不适用"),"全新风空气处理机组应选择大小焓差",""),IF(AND(F12="风管送风式空调（热泵）机组",I12&lt;&gt;"",I12&lt;&gt;"不适用"),"风管送风式机组不使用焓差分类",""),IF(AND(F12="直接蒸发式全新风空气处理机组",H12&lt;&gt;"",H12&lt;&gt;"不适用"),"全新风空气处理机组不使用单冷/热泵分类","")),"")</f>
        <v/>
      </c>
    </row>
    <row r="13" ht="42" customHeight="1" s="184">
      <c r="A13" s="224">
        <f>IF(COUNTA(B13,C13,D13,E13,F13,G13,H13,I13,J13,K13,M13,S13,T13)&gt;0,ROW()-3,"")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18" t="n"/>
      <c r="J13" s="229" t="n"/>
      <c r="K13" s="229" t="n"/>
      <c r="L13" s="115">
        <f>IF(F13="","",IF(F13="直接蒸发式全新风空气处理机组","EER",IF(G13="水冷式（水环式）","IPLV",IF(H13="单冷型","SEER",IF(H13="热泵型","APF","")))))</f>
        <v/>
      </c>
      <c r="M13" s="229" t="n"/>
      <c r="N13" s="115">
        <f>IF(L13="","","W/W")</f>
        <v/>
      </c>
      <c r="O13" s="227" t="n"/>
      <c r="P13" s="227" t="n"/>
      <c r="Q13" s="227" t="n"/>
      <c r="R13" s="81" t="n"/>
      <c r="S13" s="180" t="n"/>
      <c r="T13" s="180" t="n"/>
      <c r="U13" s="99">
        <f>IF(COUNTA(B13,C13,D13,E13,F13,G13,H13,I13,J13,K13,M13,S13,T13)&gt;0,TEXTJOIN("；",TRUE,IF(B13="","缺少设备名称",""),IF(AND(ISTEXT(B13),OR(B13&lt;&gt;TRIM(B13),ISNUMBER(SEARCH("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",E13)))),"安装位置含首尾空格或全角空格",""),IF(F13="","缺少设备类别",""),IF(F13="","",IF(COUNTIF(EV_DUCT_CATEGORY,F13)=0,"设备类别不在标准枚举中","")),IF(AND(ISTEXT(F13),OR(F13&lt;&gt;TRIM(F13),ISNUMBER(SEARCH("　",F13)))),"设备类别含首尾空格或全角空格",""),IF(G13="","缺少冷却方式",""),IF(G13="","",IF(COUNTIF(EV_AC_COOLING_DUCT,G13)=0,"冷却方式不在标准枚举中","")),IF(AND(ISTEXT(G13),OR(G13&lt;&gt;TRIM(G13),ISNUMBER(SEARCH("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",H13)))),"机组类型含首尾空格或全角空格",""),IF(I13="","缺少焓差类型",""),IF(I13="","",IF(COUNTIF(EV_ENTHALPY,I13)=0,"焓差类型不在标准枚举中","")),IF(AND(ISTEXT(I13),OR(I13&lt;&gt;TRIM(I13),ISNUMBER(SEARCH("　",I13)))),"焓差类型含首尾空格或全角空格",""),IF(J13="","缺少名义制冷量",""),IF(J13="","",IF(NOT(ISNUMBER(J13)),"名义制冷量应为数值",IF(J13&lt;=0,"名义制冷量应大于0",""))),IF(K13="","缺少额定功率",""),IF(K13="","",IF(NOT(ISNUMBER(K13)),"额定功率应为数值",IF(K13&lt;=0,"额定功率应大于0",""))),IF(M13="","缺少设计指标值",""),IF(M13="","",IF(NOT(ISNUMBER(M13)),"设计指标值应为数值",IF(M13&lt;=0,"设计指标值应大于0",""))),IF(S13="","缺少铭牌照片",""),IF(AND(ISTEXT(T13),OR(T13&lt;&gt;TRIM(T13),ISNUMBER(SEARCH("　",T13)))),"填表备注含首尾空格或全角空格",""),IF(AND(F13="直接蒸发式全新风空气处理机组",I13="不适用"),"全新风空气处理机组应选择大小焓差",""),IF(AND(F13="风管送风式空调（热泵）机组",I13&lt;&gt;"",I13&lt;&gt;"不适用"),"风管送风式机组不使用焓差分类",""),IF(AND(F13="直接蒸发式全新风空气处理机组",H13&lt;&gt;"",H13&lt;&gt;"不适用"),"全新风空气处理机组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N2"/>
    <mergeCell ref="A2:E2"/>
    <mergeCell ref="T1:U1"/>
    <mergeCell ref="R1:S1"/>
    <mergeCell ref="O2:Q2"/>
    <mergeCell ref="A1:Q1"/>
    <mergeCell ref="S2:U2"/>
  </mergeCells>
  <dataValidations count="8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EV_DUCT_CATEGORY</formula1>
    </dataValidation>
    <dataValidation sqref="G4:G13" showDropDown="0" showInputMessage="0" showErrorMessage="1" allowBlank="1" type="list" errorStyle="stop">
      <formula1>EV_AC_COOLING_DUCT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list" errorStyle="stop">
      <formula1>EV_ENTHALPY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">
      <formula1>0</formula1>
    </dataValidation>
    <dataValidation sqref="M4:M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6" customWidth="1" style="184" min="8" max="8"/>
    <col width="13" customWidth="1" style="184" min="9" max="9"/>
    <col width="13" customWidth="1" style="184" min="10" max="10"/>
    <col width="18" customWidth="1" style="184" min="11" max="11"/>
    <col width="13" customWidth="1" style="184" min="12" max="12"/>
    <col width="13" customWidth="1" style="184" min="13" max="13"/>
    <col width="14" customWidth="1" style="184" min="14" max="14"/>
    <col width="14" customWidth="1" style="184" min="15" max="15"/>
    <col width="14" customWidth="1" style="184" min="16" max="16"/>
    <col width="14" customWidth="1" style="184" min="17" max="17"/>
    <col width="15" customWidth="1" style="184" min="18" max="18"/>
    <col width="24" customWidth="1" style="184" min="19" max="19"/>
    <col width="42" customWidth="1" style="184" min="20" max="20"/>
  </cols>
  <sheetData>
    <row r="1" ht="32" customHeight="1" s="184">
      <c r="A1" s="12" t="inlineStr">
        <is>
          <t>单元式空气调节机 - 《单元式空气调节机能效限定值及能效等级》（GB 19576-2019）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10" t="inlineStr">
        <is>
          <t>数量合计</t>
        </is>
      </c>
      <c r="R1" s="220" t="n"/>
      <c r="S1" s="11">
        <f>SUM(TblUnitaryAC[数量])</f>
        <v/>
      </c>
      <c r="T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3" t="n"/>
      <c r="N2" s="57" t="inlineStr">
        <is>
          <t>标准查询结果</t>
        </is>
      </c>
      <c r="O2" s="222" t="n"/>
      <c r="P2" s="223" t="n"/>
      <c r="Q2" s="70" t="inlineStr">
        <is>
          <t>结论</t>
        </is>
      </c>
      <c r="R2" s="82" t="inlineStr">
        <is>
          <t>附件备注</t>
        </is>
      </c>
      <c r="S2" s="222" t="n"/>
      <c r="T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45" t="inlineStr">
        <is>
          <t>冷却方式</t>
        </is>
      </c>
      <c r="H3" s="45" t="inlineStr">
        <is>
          <t>机组类型</t>
        </is>
      </c>
      <c r="I3" s="55" t="inlineStr">
        <is>
          <t>名义制冷量
(kW)</t>
        </is>
      </c>
      <c r="J3" s="55" t="inlineStr">
        <is>
          <t>额定功率
(kW)</t>
        </is>
      </c>
      <c r="K3" s="108" t="inlineStr">
        <is>
          <t>设计指标名称</t>
        </is>
      </c>
      <c r="L3" s="55" t="inlineStr">
        <is>
          <t>设计指标值
(按指标)</t>
        </is>
      </c>
      <c r="M3" s="108" t="inlineStr">
        <is>
          <t>设计指标单位</t>
        </is>
      </c>
      <c r="N3" s="63" t="inlineStr">
        <is>
          <t>1级对应指标
(按指标)</t>
        </is>
      </c>
      <c r="O3" s="63" t="inlineStr">
        <is>
          <t>2级对应指标
(按指标)</t>
        </is>
      </c>
      <c r="P3" s="63" t="inlineStr">
        <is>
          <t>3级对应指标
(按指标)</t>
        </is>
      </c>
      <c r="Q3" s="76" t="inlineStr">
        <is>
          <t>能效等级</t>
        </is>
      </c>
      <c r="R3" s="88" t="inlineStr">
        <is>
          <t>铭牌照片</t>
        </is>
      </c>
      <c r="S3" s="88" t="inlineStr">
        <is>
          <t>填表备注</t>
        </is>
      </c>
      <c r="T3" s="88" t="inlineStr">
        <is>
          <t>自动备注</t>
        </is>
      </c>
    </row>
    <row r="4" ht="42" customHeight="1" s="184">
      <c r="A4" s="224">
        <f>IF(COUNTA(B4,C4,D4,E4,F4,G4,H4,I4,J4,L4,R4,S4)&gt;0,ROW()-3,"")</f>
        <v/>
      </c>
      <c r="B4" s="176" t="n"/>
      <c r="C4" s="176" t="n"/>
      <c r="D4" s="228" t="n"/>
      <c r="E4" s="176" t="n"/>
      <c r="F4" s="218" t="n"/>
      <c r="G4" s="218" t="n"/>
      <c r="H4" s="218" t="n"/>
      <c r="I4" s="229" t="n"/>
      <c r="J4" s="229" t="n"/>
      <c r="K4" s="115">
        <f>IF(F4="","",IF(F4="计算机和数据处理机房用单元式空调机","AEER",IF(F4="通讯基站用单元式空气调节机","COP",IF(F4="恒温恒湿型单元式空气调节机","AEER",IF(G4="水冷式","IPLV",IF(H4="单冷型","SEER",IF(H4="热泵型","APF","")))))))</f>
        <v/>
      </c>
      <c r="L4" s="229" t="n"/>
      <c r="M4" s="115">
        <f>IF(K4="","","W/W")</f>
        <v/>
      </c>
      <c r="N4" s="227" t="n"/>
      <c r="O4" s="227" t="n"/>
      <c r="P4" s="227" t="n"/>
      <c r="Q4" s="81" t="n"/>
      <c r="R4" s="180" t="n"/>
      <c r="S4" s="180" t="n"/>
      <c r="T4" s="99">
        <f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f>
        <v/>
      </c>
    </row>
    <row r="5" ht="42" customHeight="1" s="184">
      <c r="A5" s="224">
        <f>IF(COUNTA(B5,C5,D5,E5,F5,G5,H5,I5,J5,L5,R5,S5)&gt;0,ROW()-3,"")</f>
        <v/>
      </c>
      <c r="B5" s="176" t="n"/>
      <c r="C5" s="176" t="n"/>
      <c r="D5" s="228" t="n"/>
      <c r="E5" s="176" t="n"/>
      <c r="F5" s="218" t="n"/>
      <c r="G5" s="218" t="n"/>
      <c r="H5" s="218" t="n"/>
      <c r="I5" s="229" t="n"/>
      <c r="J5" s="229" t="n"/>
      <c r="K5" s="115">
        <f>IF(F5="","",IF(F5="计算机和数据处理机房用单元式空调机","AEER",IF(F5="通讯基站用单元式空气调节机","COP",IF(F5="恒温恒湿型单元式空气调节机","AEER",IF(G5="水冷式","IPLV",IF(H5="单冷型","SEER",IF(H5="热泵型","APF","")))))))</f>
        <v/>
      </c>
      <c r="L5" s="229" t="n"/>
      <c r="M5" s="115">
        <f>IF(K5="","","W/W")</f>
        <v/>
      </c>
      <c r="N5" s="227" t="n"/>
      <c r="O5" s="227" t="n"/>
      <c r="P5" s="227" t="n"/>
      <c r="Q5" s="81" t="n"/>
      <c r="R5" s="180" t="n"/>
      <c r="S5" s="180" t="n"/>
      <c r="T5" s="99">
        <f>IF(COUNTA(B5,C5,D5,E5,F5,G5,H5,I5,J5,L5,R5,S5)&gt;0,TEXTJOIN("；",TRUE,IF(B5="","缺少设备名称",""),IF(AND(ISTEXT(B5),OR(B5&lt;&gt;TRIM(B5),ISNUMBER(SEARCH("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",E5)))),"安装位置含首尾空格或全角空格",""),IF(F5="","缺少设备类别",""),IF(F5="","",IF(COUNTIF(EV_UNITARY_CATEGORY,F5)=0,"设备类别不在标准枚举中","")),IF(AND(ISTEXT(F5),OR(F5&lt;&gt;TRIM(F5),ISNUMBER(SEARCH("　",F5)))),"设备类别含首尾空格或全角空格",""),IF(G5="","缺少冷却方式",""),IF(G5="","",IF(COUNTIF(EV_AC_COOLING_UNITARY,G5)=0,"冷却方式不在标准枚举中","")),IF(AND(ISTEXT(G5),OR(G5&lt;&gt;TRIM(G5),ISNUMBER(SEARCH("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名义制冷量",""),IF(I5="","",IF(NOT(ISNUMBER(I5)),"名义制冷量应为数值",IF(I5&lt;=0,"名义制冷量应大于0",""))),IF(J5="","缺少额定功率",""),IF(J5="","",IF(NOT(ISNUMBER(J5)),"额定功率应为数值",IF(J5&lt;=0,"额定功率应大于0",""))),IF(L5="","缺少设计指标值",""),IF(L5="","",IF(NOT(ISNUMBER(L5)),"设计指标值应为数值",IF(L5&lt;=0,"设计指标值应大于0",""))),IF(R5="","缺少铭牌照片",""),IF(AND(ISTEXT(S5),OR(S5&lt;&gt;TRIM(S5),ISNUMBER(SEARCH("　",S5)))),"填表备注含首尾空格或全角空格",""),IF(AND(F5="普通单元式空调机",ISNUMBER(I5),I5&lt;7),"普通单元式空调机名义制冷量低于标准表范围7kW",""),IF(AND(F5&lt;&gt;"普通单元式空调机",H5&lt;&gt;"",H5&lt;&gt;"不适用"),"专用单元式空调机不使用单冷/热泵分类","")),"")</f>
        <v/>
      </c>
    </row>
    <row r="6" ht="42" customHeight="1" s="184">
      <c r="A6" s="224">
        <f>IF(COUNTA(B6,C6,D6,E6,F6,G6,H6,I6,J6,L6,R6,S6)&gt;0,ROW()-3,"")</f>
        <v/>
      </c>
      <c r="B6" s="176" t="n"/>
      <c r="C6" s="176" t="n"/>
      <c r="D6" s="228" t="n"/>
      <c r="E6" s="176" t="n"/>
      <c r="F6" s="218" t="n"/>
      <c r="G6" s="218" t="n"/>
      <c r="H6" s="218" t="n"/>
      <c r="I6" s="229" t="n"/>
      <c r="J6" s="229" t="n"/>
      <c r="K6" s="115">
        <f>IF(F6="","",IF(F6="计算机和数据处理机房用单元式空调机","AEER",IF(F6="通讯基站用单元式空气调节机","COP",IF(F6="恒温恒湿型单元式空气调节机","AEER",IF(G6="水冷式","IPLV",IF(H6="单冷型","SEER",IF(H6="热泵型","APF","")))))))</f>
        <v/>
      </c>
      <c r="L6" s="229" t="n"/>
      <c r="M6" s="115">
        <f>IF(K6="","","W/W")</f>
        <v/>
      </c>
      <c r="N6" s="227" t="n"/>
      <c r="O6" s="227" t="n"/>
      <c r="P6" s="227" t="n"/>
      <c r="Q6" s="81" t="n"/>
      <c r="R6" s="180" t="n"/>
      <c r="S6" s="180" t="n"/>
      <c r="T6" s="99">
        <f>IF(COUNTA(B6,C6,D6,E6,F6,G6,H6,I6,J6,L6,R6,S6)&gt;0,TEXTJOIN("；",TRUE,IF(B6="","缺少设备名称",""),IF(AND(ISTEXT(B6),OR(B6&lt;&gt;TRIM(B6),ISNUMBER(SEARCH("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",E6)))),"安装位置含首尾空格或全角空格",""),IF(F6="","缺少设备类别",""),IF(F6="","",IF(COUNTIF(EV_UNITARY_CATEGORY,F6)=0,"设备类别不在标准枚举中","")),IF(AND(ISTEXT(F6),OR(F6&lt;&gt;TRIM(F6),ISNUMBER(SEARCH("　",F6)))),"设备类别含首尾空格或全角空格",""),IF(G6="","缺少冷却方式",""),IF(G6="","",IF(COUNTIF(EV_AC_COOLING_UNITARY,G6)=0,"冷却方式不在标准枚举中","")),IF(AND(ISTEXT(G6),OR(G6&lt;&gt;TRIM(G6),ISNUMBER(SEARCH("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名义制冷量",""),IF(I6="","",IF(NOT(ISNUMBER(I6)),"名义制冷量应为数值",IF(I6&lt;=0,"名义制冷量应大于0",""))),IF(J6="","缺少额定功率",""),IF(J6="","",IF(NOT(ISNUMBER(J6)),"额定功率应为数值",IF(J6&lt;=0,"额定功率应大于0",""))),IF(L6="","缺少设计指标值",""),IF(L6="","",IF(NOT(ISNUMBER(L6)),"设计指标值应为数值",IF(L6&lt;=0,"设计指标值应大于0",""))),IF(R6="","缺少铭牌照片",""),IF(AND(ISTEXT(S6),OR(S6&lt;&gt;TRIM(S6),ISNUMBER(SEARCH("　",S6)))),"填表备注含首尾空格或全角空格",""),IF(AND(F6="普通单元式空调机",ISNUMBER(I6),I6&lt;7),"普通单元式空调机名义制冷量低于标准表范围7kW",""),IF(AND(F6&lt;&gt;"普通单元式空调机",H6&lt;&gt;"",H6&lt;&gt;"不适用"),"专用单元式空调机不使用单冷/热泵分类","")),"")</f>
        <v/>
      </c>
    </row>
    <row r="7" ht="42" customHeight="1" s="184">
      <c r="A7" s="224">
        <f>IF(COUNTA(B7,C7,D7,E7,F7,G7,H7,I7,J7,L7,R7,S7)&gt;0,ROW()-3,"")</f>
        <v/>
      </c>
      <c r="B7" s="176" t="n"/>
      <c r="C7" s="176" t="n"/>
      <c r="D7" s="228" t="n"/>
      <c r="E7" s="176" t="n"/>
      <c r="F7" s="218" t="n"/>
      <c r="G7" s="218" t="n"/>
      <c r="H7" s="218" t="n"/>
      <c r="I7" s="229" t="n"/>
      <c r="J7" s="229" t="n"/>
      <c r="K7" s="115">
        <f>IF(F7="","",IF(F7="计算机和数据处理机房用单元式空调机","AEER",IF(F7="通讯基站用单元式空气调节机","COP",IF(F7="恒温恒湿型单元式空气调节机","AEER",IF(G7="水冷式","IPLV",IF(H7="单冷型","SEER",IF(H7="热泵型","APF","")))))))</f>
        <v/>
      </c>
      <c r="L7" s="229" t="n"/>
      <c r="M7" s="115">
        <f>IF(K7="","","W/W")</f>
        <v/>
      </c>
      <c r="N7" s="227" t="n"/>
      <c r="O7" s="227" t="n"/>
      <c r="P7" s="227" t="n"/>
      <c r="Q7" s="81" t="n"/>
      <c r="R7" s="180" t="n"/>
      <c r="S7" s="180" t="n"/>
      <c r="T7" s="99">
        <f>IF(COUNTA(B7,C7,D7,E7,F7,G7,H7,I7,J7,L7,R7,S7)&gt;0,TEXTJOIN("；",TRUE,IF(B7="","缺少设备名称",""),IF(AND(ISTEXT(B7),OR(B7&lt;&gt;TRIM(B7),ISNUMBER(SEARCH("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",E7)))),"安装位置含首尾空格或全角空格",""),IF(F7="","缺少设备类别",""),IF(F7="","",IF(COUNTIF(EV_UNITARY_CATEGORY,F7)=0,"设备类别不在标准枚举中","")),IF(AND(ISTEXT(F7),OR(F7&lt;&gt;TRIM(F7),ISNUMBER(SEARCH("　",F7)))),"设备类别含首尾空格或全角空格",""),IF(G7="","缺少冷却方式",""),IF(G7="","",IF(COUNTIF(EV_AC_COOLING_UNITARY,G7)=0,"冷却方式不在标准枚举中","")),IF(AND(ISTEXT(G7),OR(G7&lt;&gt;TRIM(G7),ISNUMBER(SEARCH("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名义制冷量",""),IF(I7="","",IF(NOT(ISNUMBER(I7)),"名义制冷量应为数值",IF(I7&lt;=0,"名义制冷量应大于0",""))),IF(J7="","缺少额定功率",""),IF(J7="","",IF(NOT(ISNUMBER(J7)),"额定功率应为数值",IF(J7&lt;=0,"额定功率应大于0",""))),IF(L7="","缺少设计指标值",""),IF(L7="","",IF(NOT(ISNUMBER(L7)),"设计指标值应为数值",IF(L7&lt;=0,"设计指标值应大于0",""))),IF(R7="","缺少铭牌照片",""),IF(AND(ISTEXT(S7),OR(S7&lt;&gt;TRIM(S7),ISNUMBER(SEARCH("　",S7)))),"填表备注含首尾空格或全角空格",""),IF(AND(F7="普通单元式空调机",ISNUMBER(I7),I7&lt;7),"普通单元式空调机名义制冷量低于标准表范围7kW",""),IF(AND(F7&lt;&gt;"普通单元式空调机",H7&lt;&gt;"",H7&lt;&gt;"不适用"),"专用单元式空调机不使用单冷/热泵分类","")),"")</f>
        <v/>
      </c>
    </row>
    <row r="8" ht="42" customHeight="1" s="184">
      <c r="A8" s="224">
        <f>IF(COUNTA(B8,C8,D8,E8,F8,G8,H8,I8,J8,L8,R8,S8)&gt;0,ROW()-3,"")</f>
        <v/>
      </c>
      <c r="B8" s="176" t="n"/>
      <c r="C8" s="176" t="n"/>
      <c r="D8" s="228" t="n"/>
      <c r="E8" s="176" t="n"/>
      <c r="F8" s="218" t="n"/>
      <c r="G8" s="218" t="n"/>
      <c r="H8" s="218" t="n"/>
      <c r="I8" s="229" t="n"/>
      <c r="J8" s="229" t="n"/>
      <c r="K8" s="115">
        <f>IF(F8="","",IF(F8="计算机和数据处理机房用单元式空调机","AEER",IF(F8="通讯基站用单元式空气调节机","COP",IF(F8="恒温恒湿型单元式空气调节机","AEER",IF(G8="水冷式","IPLV",IF(H8="单冷型","SEER",IF(H8="热泵型","APF","")))))))</f>
        <v/>
      </c>
      <c r="L8" s="229" t="n"/>
      <c r="M8" s="115">
        <f>IF(K8="","","W/W")</f>
        <v/>
      </c>
      <c r="N8" s="227" t="n"/>
      <c r="O8" s="227" t="n"/>
      <c r="P8" s="227" t="n"/>
      <c r="Q8" s="81" t="n"/>
      <c r="R8" s="180" t="n"/>
      <c r="S8" s="180" t="n"/>
      <c r="T8" s="99">
        <f>IF(COUNTA(B8,C8,D8,E8,F8,G8,H8,I8,J8,L8,R8,S8)&gt;0,TEXTJOIN("；",TRUE,IF(B8="","缺少设备名称",""),IF(AND(ISTEXT(B8),OR(B8&lt;&gt;TRIM(B8),ISNUMBER(SEARCH("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",E8)))),"安装位置含首尾空格或全角空格",""),IF(F8="","缺少设备类别",""),IF(F8="","",IF(COUNTIF(EV_UNITARY_CATEGORY,F8)=0,"设备类别不在标准枚举中","")),IF(AND(ISTEXT(F8),OR(F8&lt;&gt;TRIM(F8),ISNUMBER(SEARCH("　",F8)))),"设备类别含首尾空格或全角空格",""),IF(G8="","缺少冷却方式",""),IF(G8="","",IF(COUNTIF(EV_AC_COOLING_UNITARY,G8)=0,"冷却方式不在标准枚举中","")),IF(AND(ISTEXT(G8),OR(G8&lt;&gt;TRIM(G8),ISNUMBER(SEARCH("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名义制冷量",""),IF(I8="","",IF(NOT(ISNUMBER(I8)),"名义制冷量应为数值",IF(I8&lt;=0,"名义制冷量应大于0",""))),IF(J8="","缺少额定功率",""),IF(J8="","",IF(NOT(ISNUMBER(J8)),"额定功率应为数值",IF(J8&lt;=0,"额定功率应大于0",""))),IF(L8="","缺少设计指标值",""),IF(L8="","",IF(NOT(ISNUMBER(L8)),"设计指标值应为数值",IF(L8&lt;=0,"设计指标值应大于0",""))),IF(R8="","缺少铭牌照片",""),IF(AND(ISTEXT(S8),OR(S8&lt;&gt;TRIM(S8),ISNUMBER(SEARCH("　",S8)))),"填表备注含首尾空格或全角空格",""),IF(AND(F8="普通单元式空调机",ISNUMBER(I8),I8&lt;7),"普通单元式空调机名义制冷量低于标准表范围7kW",""),IF(AND(F8&lt;&gt;"普通单元式空调机",H8&lt;&gt;"",H8&lt;&gt;"不适用"),"专用单元式空调机不使用单冷/热泵分类","")),"")</f>
        <v/>
      </c>
    </row>
    <row r="9" ht="42" customHeight="1" s="184">
      <c r="A9" s="224">
        <f>IF(COUNTA(B9,C9,D9,E9,F9,G9,H9,I9,J9,L9,R9,S9)&gt;0,ROW()-3,"")</f>
        <v/>
      </c>
      <c r="B9" s="176" t="n"/>
      <c r="C9" s="176" t="n"/>
      <c r="D9" s="228" t="n"/>
      <c r="E9" s="176" t="n"/>
      <c r="F9" s="218" t="n"/>
      <c r="G9" s="218" t="n"/>
      <c r="H9" s="218" t="n"/>
      <c r="I9" s="229" t="n"/>
      <c r="J9" s="229" t="n"/>
      <c r="K9" s="115">
        <f>IF(F9="","",IF(F9="计算机和数据处理机房用单元式空调机","AEER",IF(F9="通讯基站用单元式空气调节机","COP",IF(F9="恒温恒湿型单元式空气调节机","AEER",IF(G9="水冷式","IPLV",IF(H9="单冷型","SEER",IF(H9="热泵型","APF","")))))))</f>
        <v/>
      </c>
      <c r="L9" s="229" t="n"/>
      <c r="M9" s="115">
        <f>IF(K9="","","W/W")</f>
        <v/>
      </c>
      <c r="N9" s="227" t="n"/>
      <c r="O9" s="227" t="n"/>
      <c r="P9" s="227" t="n"/>
      <c r="Q9" s="81" t="n"/>
      <c r="R9" s="180" t="n"/>
      <c r="S9" s="180" t="n"/>
      <c r="T9" s="99">
        <f>IF(COUNTA(B9,C9,D9,E9,F9,G9,H9,I9,J9,L9,R9,S9)&gt;0,TEXTJOIN("；",TRUE,IF(B9="","缺少设备名称",""),IF(AND(ISTEXT(B9),OR(B9&lt;&gt;TRIM(B9),ISNUMBER(SEARCH("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",E9)))),"安装位置含首尾空格或全角空格",""),IF(F9="","缺少设备类别",""),IF(F9="","",IF(COUNTIF(EV_UNITARY_CATEGORY,F9)=0,"设备类别不在标准枚举中","")),IF(AND(ISTEXT(F9),OR(F9&lt;&gt;TRIM(F9),ISNUMBER(SEARCH("　",F9)))),"设备类别含首尾空格或全角空格",""),IF(G9="","缺少冷却方式",""),IF(G9="","",IF(COUNTIF(EV_AC_COOLING_UNITARY,G9)=0,"冷却方式不在标准枚举中","")),IF(AND(ISTEXT(G9),OR(G9&lt;&gt;TRIM(G9),ISNUMBER(SEARCH("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名义制冷量",""),IF(I9="","",IF(NOT(ISNUMBER(I9)),"名义制冷量应为数值",IF(I9&lt;=0,"名义制冷量应大于0",""))),IF(J9="","缺少额定功率",""),IF(J9="","",IF(NOT(ISNUMBER(J9)),"额定功率应为数值",IF(J9&lt;=0,"额定功率应大于0",""))),IF(L9="","缺少设计指标值",""),IF(L9="","",IF(NOT(ISNUMBER(L9)),"设计指标值应为数值",IF(L9&lt;=0,"设计指标值应大于0",""))),IF(R9="","缺少铭牌照片",""),IF(AND(ISTEXT(S9),OR(S9&lt;&gt;TRIM(S9),ISNUMBER(SEARCH("　",S9)))),"填表备注含首尾空格或全角空格",""),IF(AND(F9="普通单元式空调机",ISNUMBER(I9),I9&lt;7),"普通单元式空调机名义制冷量低于标准表范围7kW",""),IF(AND(F9&lt;&gt;"普通单元式空调机",H9&lt;&gt;"",H9&lt;&gt;"不适用"),"专用单元式空调机不使用单冷/热泵分类","")),"")</f>
        <v/>
      </c>
    </row>
    <row r="10" ht="42" customHeight="1" s="184">
      <c r="A10" s="224">
        <f>IF(COUNTA(B10,C10,D10,E10,F10,G10,H10,I10,J10,L10,R10,S10)&gt;0,ROW()-3,"")</f>
        <v/>
      </c>
      <c r="B10" s="176" t="n"/>
      <c r="C10" s="176" t="n"/>
      <c r="D10" s="228" t="n"/>
      <c r="E10" s="176" t="n"/>
      <c r="F10" s="218" t="n"/>
      <c r="G10" s="218" t="n"/>
      <c r="H10" s="218" t="n"/>
      <c r="I10" s="229" t="n"/>
      <c r="J10" s="229" t="n"/>
      <c r="K10" s="115">
        <f>IF(F10="","",IF(F10="计算机和数据处理机房用单元式空调机","AEER",IF(F10="通讯基站用单元式空气调节机","COP",IF(F10="恒温恒湿型单元式空气调节机","AEER",IF(G10="水冷式","IPLV",IF(H10="单冷型","SEER",IF(H10="热泵型","APF","")))))))</f>
        <v/>
      </c>
      <c r="L10" s="229" t="n"/>
      <c r="M10" s="115">
        <f>IF(K10="","","W/W")</f>
        <v/>
      </c>
      <c r="N10" s="227" t="n"/>
      <c r="O10" s="227" t="n"/>
      <c r="P10" s="227" t="n"/>
      <c r="Q10" s="81" t="n"/>
      <c r="R10" s="180" t="n"/>
      <c r="S10" s="180" t="n"/>
      <c r="T10" s="99">
        <f>IF(COUNTA(B10,C10,D10,E10,F10,G10,H10,I10,J10,L10,R10,S10)&gt;0,TEXTJOIN("；",TRUE,IF(B10="","缺少设备名称",""),IF(AND(ISTEXT(B10),OR(B10&lt;&gt;TRIM(B10),ISNUMBER(SEARCH("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",E10)))),"安装位置含首尾空格或全角空格",""),IF(F10="","缺少设备类别",""),IF(F10="","",IF(COUNTIF(EV_UNITARY_CATEGORY,F10)=0,"设备类别不在标准枚举中","")),IF(AND(ISTEXT(F10),OR(F10&lt;&gt;TRIM(F10),ISNUMBER(SEARCH("　",F10)))),"设备类别含首尾空格或全角空格",""),IF(G10="","缺少冷却方式",""),IF(G10="","",IF(COUNTIF(EV_AC_COOLING_UNITARY,G10)=0,"冷却方式不在标准枚举中","")),IF(AND(ISTEXT(G10),OR(G10&lt;&gt;TRIM(G10),ISNUMBER(SEARCH("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名义制冷量",""),IF(I10="","",IF(NOT(ISNUMBER(I10)),"名义制冷量应为数值",IF(I10&lt;=0,"名义制冷量应大于0",""))),IF(J10="","缺少额定功率",""),IF(J10="","",IF(NOT(ISNUMBER(J10)),"额定功率应为数值",IF(J10&lt;=0,"额定功率应大于0",""))),IF(L10="","缺少设计指标值",""),IF(L10="","",IF(NOT(ISNUMBER(L10)),"设计指标值应为数值",IF(L10&lt;=0,"设计指标值应大于0",""))),IF(R10="","缺少铭牌照片",""),IF(AND(ISTEXT(S10),OR(S10&lt;&gt;TRIM(S10),ISNUMBER(SEARCH("　",S10)))),"填表备注含首尾空格或全角空格",""),IF(AND(F10="普通单元式空调机",ISNUMBER(I10),I10&lt;7),"普通单元式空调机名义制冷量低于标准表范围7kW",""),IF(AND(F10&lt;&gt;"普通单元式空调机",H10&lt;&gt;"",H10&lt;&gt;"不适用"),"专用单元式空调机不使用单冷/热泵分类","")),"")</f>
        <v/>
      </c>
    </row>
    <row r="11" ht="42" customHeight="1" s="184">
      <c r="A11" s="224">
        <f>IF(COUNTA(B11,C11,D11,E11,F11,G11,H11,I11,J11,L11,R11,S11)&gt;0,ROW()-3,"")</f>
        <v/>
      </c>
      <c r="B11" s="176" t="n"/>
      <c r="C11" s="176" t="n"/>
      <c r="D11" s="228" t="n"/>
      <c r="E11" s="176" t="n"/>
      <c r="F11" s="218" t="n"/>
      <c r="G11" s="218" t="n"/>
      <c r="H11" s="218" t="n"/>
      <c r="I11" s="229" t="n"/>
      <c r="J11" s="229" t="n"/>
      <c r="K11" s="115">
        <f>IF(F11="","",IF(F11="计算机和数据处理机房用单元式空调机","AEER",IF(F11="通讯基站用单元式空气调节机","COP",IF(F11="恒温恒湿型单元式空气调节机","AEER",IF(G11="水冷式","IPLV",IF(H11="单冷型","SEER",IF(H11="热泵型","APF","")))))))</f>
        <v/>
      </c>
      <c r="L11" s="229" t="n"/>
      <c r="M11" s="115">
        <f>IF(K11="","","W/W")</f>
        <v/>
      </c>
      <c r="N11" s="227" t="n"/>
      <c r="O11" s="227" t="n"/>
      <c r="P11" s="227" t="n"/>
      <c r="Q11" s="81" t="n"/>
      <c r="R11" s="180" t="n"/>
      <c r="S11" s="180" t="n"/>
      <c r="T11" s="99">
        <f>IF(COUNTA(B11,C11,D11,E11,F11,G11,H11,I11,J11,L11,R11,S11)&gt;0,TEXTJOIN("；",TRUE,IF(B11="","缺少设备名称",""),IF(AND(ISTEXT(B11),OR(B11&lt;&gt;TRIM(B11),ISNUMBER(SEARCH("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",E11)))),"安装位置含首尾空格或全角空格",""),IF(F11="","缺少设备类别",""),IF(F11="","",IF(COUNTIF(EV_UNITARY_CATEGORY,F11)=0,"设备类别不在标准枚举中","")),IF(AND(ISTEXT(F11),OR(F11&lt;&gt;TRIM(F11),ISNUMBER(SEARCH("　",F11)))),"设备类别含首尾空格或全角空格",""),IF(G11="","缺少冷却方式",""),IF(G11="","",IF(COUNTIF(EV_AC_COOLING_UNITARY,G11)=0,"冷却方式不在标准枚举中","")),IF(AND(ISTEXT(G11),OR(G11&lt;&gt;TRIM(G11),ISNUMBER(SEARCH("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名义制冷量",""),IF(I11="","",IF(NOT(ISNUMBER(I11)),"名义制冷量应为数值",IF(I11&lt;=0,"名义制冷量应大于0",""))),IF(J11="","缺少额定功率",""),IF(J11="","",IF(NOT(ISNUMBER(J11)),"额定功率应为数值",IF(J11&lt;=0,"额定功率应大于0",""))),IF(L11="","缺少设计指标值",""),IF(L11="","",IF(NOT(ISNUMBER(L11)),"设计指标值应为数值",IF(L11&lt;=0,"设计指标值应大于0",""))),IF(R11="","缺少铭牌照片",""),IF(AND(ISTEXT(S11),OR(S11&lt;&gt;TRIM(S11),ISNUMBER(SEARCH("　",S11)))),"填表备注含首尾空格或全角空格",""),IF(AND(F11="普通单元式空调机",ISNUMBER(I11),I11&lt;7),"普通单元式空调机名义制冷量低于标准表范围7kW",""),IF(AND(F11&lt;&gt;"普通单元式空调机",H11&lt;&gt;"",H11&lt;&gt;"不适用"),"专用单元式空调机不使用单冷/热泵分类","")),"")</f>
        <v/>
      </c>
    </row>
    <row r="12" ht="42" customHeight="1" s="184">
      <c r="A12" s="224">
        <f>IF(COUNTA(B12,C12,D12,E12,F12,G12,H12,I12,J12,L12,R12,S12)&gt;0,ROW()-3,"")</f>
        <v/>
      </c>
      <c r="B12" s="176" t="n"/>
      <c r="C12" s="176" t="n"/>
      <c r="D12" s="228" t="n"/>
      <c r="E12" s="176" t="n"/>
      <c r="F12" s="218" t="n"/>
      <c r="G12" s="218" t="n"/>
      <c r="H12" s="218" t="n"/>
      <c r="I12" s="229" t="n"/>
      <c r="J12" s="229" t="n"/>
      <c r="K12" s="115">
        <f>IF(F12="","",IF(F12="计算机和数据处理机房用单元式空调机","AEER",IF(F12="通讯基站用单元式空气调节机","COP",IF(F12="恒温恒湿型单元式空气调节机","AEER",IF(G12="水冷式","IPLV",IF(H12="单冷型","SEER",IF(H12="热泵型","APF","")))))))</f>
        <v/>
      </c>
      <c r="L12" s="229" t="n"/>
      <c r="M12" s="115">
        <f>IF(K12="","","W/W")</f>
        <v/>
      </c>
      <c r="N12" s="227" t="n"/>
      <c r="O12" s="227" t="n"/>
      <c r="P12" s="227" t="n"/>
      <c r="Q12" s="81" t="n"/>
      <c r="R12" s="180" t="n"/>
      <c r="S12" s="180" t="n"/>
      <c r="T12" s="99">
        <f>IF(COUNTA(B12,C12,D12,E12,F12,G12,H12,I12,J12,L12,R12,S12)&gt;0,TEXTJOIN("；",TRUE,IF(B12="","缺少设备名称",""),IF(AND(ISTEXT(B12),OR(B12&lt;&gt;TRIM(B12),ISNUMBER(SEARCH("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",E12)))),"安装位置含首尾空格或全角空格",""),IF(F12="","缺少设备类别",""),IF(F12="","",IF(COUNTIF(EV_UNITARY_CATEGORY,F12)=0,"设备类别不在标准枚举中","")),IF(AND(ISTEXT(F12),OR(F12&lt;&gt;TRIM(F12),ISNUMBER(SEARCH("　",F12)))),"设备类别含首尾空格或全角空格",""),IF(G12="","缺少冷却方式",""),IF(G12="","",IF(COUNTIF(EV_AC_COOLING_UNITARY,G12)=0,"冷却方式不在标准枚举中","")),IF(AND(ISTEXT(G12),OR(G12&lt;&gt;TRIM(G12),ISNUMBER(SEARCH("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名义制冷量",""),IF(I12="","",IF(NOT(ISNUMBER(I12)),"名义制冷量应为数值",IF(I12&lt;=0,"名义制冷量应大于0",""))),IF(J12="","缺少额定功率",""),IF(J12="","",IF(NOT(ISNUMBER(J12)),"额定功率应为数值",IF(J12&lt;=0,"额定功率应大于0",""))),IF(L12="","缺少设计指标值",""),IF(L12="","",IF(NOT(ISNUMBER(L12)),"设计指标值应为数值",IF(L12&lt;=0,"设计指标值应大于0",""))),IF(R12="","缺少铭牌照片",""),IF(AND(ISTEXT(S12),OR(S12&lt;&gt;TRIM(S12),ISNUMBER(SEARCH("　",S12)))),"填表备注含首尾空格或全角空格",""),IF(AND(F12="普通单元式空调机",ISNUMBER(I12),I12&lt;7),"普通单元式空调机名义制冷量低于标准表范围7kW",""),IF(AND(F12&lt;&gt;"普通单元式空调机",H12&lt;&gt;"",H12&lt;&gt;"不适用"),"专用单元式空调机不使用单冷/热泵分类","")),"")</f>
        <v/>
      </c>
    </row>
    <row r="13" ht="42" customHeight="1" s="184">
      <c r="A13" s="224">
        <f>IF(COUNTA(B13,C13,D13,E13,F13,G13,H13,I13,J13,L13,R13,S13)&gt;0,ROW()-3,"")</f>
        <v/>
      </c>
      <c r="B13" s="176" t="n"/>
      <c r="C13" s="176" t="n"/>
      <c r="D13" s="228" t="n"/>
      <c r="E13" s="176" t="n"/>
      <c r="F13" s="218" t="n"/>
      <c r="G13" s="218" t="n"/>
      <c r="H13" s="218" t="n"/>
      <c r="I13" s="229" t="n"/>
      <c r="J13" s="229" t="n"/>
      <c r="K13" s="115">
        <f>IF(F13="","",IF(F13="计算机和数据处理机房用单元式空调机","AEER",IF(F13="通讯基站用单元式空气调节机","COP",IF(F13="恒温恒湿型单元式空气调节机","AEER",IF(G13="水冷式","IPLV",IF(H13="单冷型","SEER",IF(H13="热泵型","APF","")))))))</f>
        <v/>
      </c>
      <c r="L13" s="229" t="n"/>
      <c r="M13" s="115">
        <f>IF(K13="","","W/W")</f>
        <v/>
      </c>
      <c r="N13" s="227" t="n"/>
      <c r="O13" s="227" t="n"/>
      <c r="P13" s="227" t="n"/>
      <c r="Q13" s="81" t="n"/>
      <c r="R13" s="180" t="n"/>
      <c r="S13" s="180" t="n"/>
      <c r="T13" s="99">
        <f>IF(COUNTA(B13,C13,D13,E13,F13,G13,H13,I13,J13,L13,R13,S13)&gt;0,TEXTJOIN("；",TRUE,IF(B13="","缺少设备名称",""),IF(AND(ISTEXT(B13),OR(B13&lt;&gt;TRIM(B13),ISNUMBER(SEARCH("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",E13)))),"安装位置含首尾空格或全角空格",""),IF(F13="","缺少设备类别",""),IF(F13="","",IF(COUNTIF(EV_UNITARY_CATEGORY,F13)=0,"设备类别不在标准枚举中","")),IF(AND(ISTEXT(F13),OR(F13&lt;&gt;TRIM(F13),ISNUMBER(SEARCH("　",F13)))),"设备类别含首尾空格或全角空格",""),IF(G13="","缺少冷却方式",""),IF(G13="","",IF(COUNTIF(EV_AC_COOLING_UNITARY,G13)=0,"冷却方式不在标准枚举中","")),IF(AND(ISTEXT(G13),OR(G13&lt;&gt;TRIM(G13),ISNUMBER(SEARCH("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名义制冷量",""),IF(I13="","",IF(NOT(ISNUMBER(I13)),"名义制冷量应为数值",IF(I13&lt;=0,"名义制冷量应大于0",""))),IF(J13="","缺少额定功率",""),IF(J13="","",IF(NOT(ISNUMBER(J13)),"额定功率应为数值",IF(J13&lt;=0,"额定功率应大于0",""))),IF(L13="","缺少设计指标值",""),IF(L13="","",IF(NOT(ISNUMBER(L13)),"设计指标值应为数值",IF(L13&lt;=0,"设计指标值应大于0",""))),IF(R13="","缺少铭牌照片",""),IF(AND(ISTEXT(S13),OR(S13&lt;&gt;TRIM(S13),ISNUMBER(SEARCH("　",S13)))),"填表备注含首尾空格或全角空格",""),IF(AND(F13="普通单元式空调机",ISNUMBER(I13),I13&lt;7),"普通单元式空调机名义制冷量低于标准表范围7kW",""),IF(AND(F13&lt;&gt;"普通单元式空调机",H13&lt;&gt;"",H13&lt;&gt;"不适用"),"专用单元式空调机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F2:M2"/>
    <mergeCell ref="N2:P2"/>
    <mergeCell ref="Q1:R1"/>
    <mergeCell ref="A2:E2"/>
    <mergeCell ref="R2:T2"/>
    <mergeCell ref="A1:P1"/>
    <mergeCell ref="S1:T1"/>
  </mergeCells>
  <dataValidations count="7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EV_UNITARY_CATEGORY</formula1>
    </dataValidation>
    <dataValidation sqref="G4:G13" showDropDown="0" showInputMessage="0" showErrorMessage="1" allowBlank="1" type="list" errorStyle="stop">
      <formula1>EV_AC_COOLING_UNITARY</formula1>
    </dataValidation>
    <dataValidation sqref="H4:H13" showDropDown="0" showInputMessage="0" showErrorMessage="1" allowBlank="1" type="list" errorStyle="stop">
      <formula1>EV_AC_MODE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L4:L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selection activeCell="A1" sqref="A1"/>
    </sheetView>
  </sheetViews>
  <sheetFormatPr baseColWidth="8" defaultRowHeight="15"/>
  <cols>
    <col width="7" customWidth="1" style="184" min="1" max="1"/>
    <col width="16" customWidth="1" style="184" min="2" max="2"/>
    <col width="17" customWidth="1" style="184" min="3" max="3"/>
    <col width="9" customWidth="1" style="184" min="4" max="4"/>
    <col width="16" customWidth="1" style="184" min="5" max="5"/>
    <col width="32" customWidth="1" style="184" min="6" max="6"/>
    <col width="16" customWidth="1" style="184" min="7" max="7"/>
    <col width="13" customWidth="1" style="184" min="8" max="8"/>
    <col width="13" customWidth="1" style="184" min="9" max="9"/>
    <col width="13" customWidth="1" style="184" min="10" max="10"/>
    <col width="13" customWidth="1" style="184" min="11" max="11"/>
    <col width="22" customWidth="1" style="184" min="12" max="12"/>
    <col width="15" customWidth="1" style="184" min="13" max="13"/>
    <col width="22" customWidth="1" style="184" min="14" max="14"/>
    <col width="18" customWidth="1" style="184" min="15" max="15"/>
    <col width="18" customWidth="1" style="184" min="16" max="16"/>
    <col width="16" customWidth="1" style="184" min="17" max="17"/>
    <col width="18" customWidth="1" style="184" min="18" max="18"/>
    <col width="22" customWidth="1" style="184" min="19" max="19"/>
    <col width="14" customWidth="1" style="184" min="20" max="20"/>
    <col width="14" customWidth="1" style="184" min="21" max="21"/>
    <col width="14" customWidth="1" style="184" min="22" max="22"/>
    <col width="14" customWidth="1" style="184" min="23" max="23"/>
    <col width="14" customWidth="1" style="184" min="24" max="24"/>
    <col width="14" customWidth="1" style="184" min="25" max="25"/>
    <col width="14" customWidth="1" style="184" min="26" max="26"/>
    <col width="14" customWidth="1" style="184" min="27" max="27"/>
    <col width="14" customWidth="1" style="184" min="28" max="28"/>
    <col width="15" customWidth="1" style="184" min="29" max="29"/>
    <col width="24" customWidth="1" style="184" min="30" max="30"/>
    <col width="42" customWidth="1" style="184" min="31" max="31"/>
  </cols>
  <sheetData>
    <row r="1" ht="32" customHeight="1" s="184">
      <c r="A1" s="12" t="inlineStr">
        <is>
          <t>多联式空调（热泵）机组 - 《多联式空调（热泵）机组能效限定值及能效等级》（GB 21454-2021）</t>
        </is>
      </c>
      <c r="B1" s="220" t="n"/>
      <c r="C1" s="220" t="n"/>
      <c r="D1" s="220" t="n"/>
      <c r="E1" s="220" t="n"/>
      <c r="F1" s="220" t="n"/>
      <c r="G1" s="220" t="n"/>
      <c r="H1" s="220" t="n"/>
      <c r="I1" s="220" t="n"/>
      <c r="J1" s="220" t="n"/>
      <c r="K1" s="220" t="n"/>
      <c r="L1" s="220" t="n"/>
      <c r="M1" s="220" t="n"/>
      <c r="N1" s="220" t="n"/>
      <c r="O1" s="220" t="n"/>
      <c r="P1" s="220" t="n"/>
      <c r="Q1" s="220" t="n"/>
      <c r="R1" s="220" t="n"/>
      <c r="S1" s="220" t="n"/>
      <c r="T1" s="220" t="n"/>
      <c r="U1" s="220" t="n"/>
      <c r="V1" s="220" t="n"/>
      <c r="W1" s="220" t="n"/>
      <c r="X1" s="220" t="n"/>
      <c r="Y1" s="220" t="n"/>
      <c r="Z1" s="220" t="n"/>
      <c r="AA1" s="220" t="n"/>
      <c r="AB1" s="10" t="inlineStr">
        <is>
          <t>数量合计</t>
        </is>
      </c>
      <c r="AC1" s="220" t="n"/>
      <c r="AD1" s="11">
        <f>SUM(TblMultiAC[数量])</f>
        <v/>
      </c>
      <c r="AE1" s="221" t="n"/>
    </row>
    <row r="2" ht="25" customHeight="1" s="184">
      <c r="A2" s="198" t="inlineStr">
        <is>
          <t>基础信息</t>
        </is>
      </c>
      <c r="B2" s="222" t="n"/>
      <c r="C2" s="222" t="n"/>
      <c r="D2" s="222" t="n"/>
      <c r="E2" s="223" t="n"/>
      <c r="F2" s="39" t="inlineStr">
        <is>
          <t>设备参数</t>
        </is>
      </c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3" t="n"/>
      <c r="Q2" s="102" t="inlineStr">
        <is>
          <t>计算辅助结果</t>
        </is>
      </c>
      <c r="R2" s="223" t="n"/>
      <c r="S2" s="57" t="inlineStr">
        <is>
          <t>标准查询结果</t>
        </is>
      </c>
      <c r="T2" s="222" t="n"/>
      <c r="U2" s="222" t="n"/>
      <c r="V2" s="222" t="n"/>
      <c r="W2" s="222" t="n"/>
      <c r="X2" s="222" t="n"/>
      <c r="Y2" s="222" t="n"/>
      <c r="Z2" s="222" t="n"/>
      <c r="AA2" s="223" t="n"/>
      <c r="AB2" s="70" t="inlineStr">
        <is>
          <t>结论</t>
        </is>
      </c>
      <c r="AC2" s="82" t="inlineStr">
        <is>
          <t>附件备注</t>
        </is>
      </c>
      <c r="AD2" s="222" t="n"/>
      <c r="AE2" s="223" t="n"/>
    </row>
    <row r="3" ht="58" customHeight="1" s="184">
      <c r="A3" s="206" t="inlineStr">
        <is>
          <t>序号</t>
        </is>
      </c>
      <c r="B3" s="206" t="inlineStr">
        <is>
          <t>设备名称</t>
        </is>
      </c>
      <c r="C3" s="206" t="inlineStr">
        <is>
          <t>型号</t>
        </is>
      </c>
      <c r="D3" s="206" t="inlineStr">
        <is>
          <t>数量</t>
        </is>
      </c>
      <c r="E3" s="206" t="inlineStr">
        <is>
          <t>安装位置</t>
        </is>
      </c>
      <c r="F3" s="45" t="inlineStr">
        <is>
          <t>设备类别</t>
        </is>
      </c>
      <c r="G3" s="55" t="inlineStr">
        <is>
          <t>水冷式类型</t>
        </is>
      </c>
      <c r="H3" s="55" t="inlineStr">
        <is>
          <t>名义制冷量
(kW)</t>
        </is>
      </c>
      <c r="I3" s="55" t="inlineStr">
        <is>
          <t>名义制热量
(kW)</t>
        </is>
      </c>
      <c r="J3" s="55" t="inlineStr">
        <is>
          <t>额定功率
(kW)</t>
        </is>
      </c>
      <c r="K3" s="55" t="inlineStr">
        <is>
          <t>机外静压
(Pa)</t>
        </is>
      </c>
      <c r="L3" s="108" t="inlineStr">
        <is>
          <t>分级指标名称（自动）</t>
        </is>
      </c>
      <c r="M3" s="55" t="inlineStr">
        <is>
          <t>分级指标设计值
(无量纲)</t>
        </is>
      </c>
      <c r="N3" s="55" t="inlineStr">
        <is>
          <t>EER设计值（用于EERmin校核）
(W/W)</t>
        </is>
      </c>
      <c r="O3" s="55" t="inlineStr">
        <is>
          <t>COP(-12℃)设计值
(W/W)</t>
        </is>
      </c>
      <c r="P3" s="55" t="inlineStr">
        <is>
          <t>COP(-20℃)设计值
(W/W)</t>
        </is>
      </c>
      <c r="Q3" s="108" t="inlineStr">
        <is>
          <t>适用标准表（自动）</t>
        </is>
      </c>
      <c r="R3" s="108" t="inlineStr">
        <is>
          <t>容量分档（自动）</t>
        </is>
      </c>
      <c r="S3" s="63" t="inlineStr">
        <is>
          <t>分级查询指标（自动）</t>
        </is>
      </c>
      <c r="T3" s="63" t="inlineStr">
        <is>
          <t>分级指标1级标准值
(无量纲)</t>
        </is>
      </c>
      <c r="U3" s="63" t="inlineStr">
        <is>
          <t>分级指标2级标准值
(无量纲)</t>
        </is>
      </c>
      <c r="V3" s="63" t="inlineStr">
        <is>
          <t>分级指标3级标准值
(无量纲)</t>
        </is>
      </c>
      <c r="W3" s="63" t="inlineStr">
        <is>
          <t>EERmin 1级标准值
(W/W)</t>
        </is>
      </c>
      <c r="X3" s="63" t="inlineStr">
        <is>
          <t>EERmin 2级标准值
(W/W)</t>
        </is>
      </c>
      <c r="Y3" s="63" t="inlineStr">
        <is>
          <t>EERmin 3级标准值
(W/W)</t>
        </is>
      </c>
      <c r="Z3" s="63" t="inlineStr">
        <is>
          <t>COP(-12℃)最低标准值
(W/W)</t>
        </is>
      </c>
      <c r="AA3" s="63" t="inlineStr">
        <is>
          <t>COP(-20℃)最低标准值
(W/W)</t>
        </is>
      </c>
      <c r="AB3" s="76" t="inlineStr">
        <is>
          <t>能效等级</t>
        </is>
      </c>
      <c r="AC3" s="88" t="inlineStr">
        <is>
          <t>铭牌照片</t>
        </is>
      </c>
      <c r="AD3" s="88" t="inlineStr">
        <is>
          <t>填表备注</t>
        </is>
      </c>
      <c r="AE3" s="88" t="inlineStr">
        <is>
          <t>自动备注</t>
        </is>
      </c>
    </row>
    <row r="4" ht="42" customHeight="1" s="184">
      <c r="A4" s="224">
        <f>IF(COUNTA(B4,C4,D4,E4,F4,G4,H4,I4,J4,K4,M4,N4,O4,P4,AC4,AD4)&gt;0,ROW()-3,"")</f>
        <v/>
      </c>
      <c r="B4" s="176" t="n"/>
      <c r="C4" s="176" t="n"/>
      <c r="D4" s="228" t="n"/>
      <c r="E4" s="176" t="n"/>
      <c r="F4" s="218" t="n"/>
      <c r="G4" s="176" t="n"/>
      <c r="H4" s="229" t="n"/>
      <c r="I4" s="229" t="n"/>
      <c r="J4" s="229" t="n"/>
      <c r="K4" s="229" t="n"/>
      <c r="L4" s="115">
        <f>IF(F4="风冷式单冷型多联机","SEER",IF(F4="风冷式热泵型多联机","APF",IF(F4="水冷式多联机",IF(G4="","",IF(G4="水环式","IPLV(C)","EER")),IF(F4="低温多联机","HSPF",""))))</f>
        <v/>
      </c>
      <c r="M4" s="229" t="n"/>
      <c r="N4" s="229" t="n"/>
      <c r="O4" s="229" t="n"/>
      <c r="P4" s="229" t="n"/>
      <c r="Q4" s="115">
        <f>IF(F4="风冷式单冷型多联机","表1",IF(F4="风冷式热泵型多联机","表2",IF(F4="水冷式多联机","表3",IF(F4="低温多联机","表4",""))))</f>
        <v/>
      </c>
      <c r="R4" s="115">
        <f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f>
        <v/>
      </c>
      <c r="S4" s="68">
        <f>IF(F4="风冷式单冷型多联机","SEER",IF(F4="风冷式热泵型多联机","APF",IF(F4="水冷式多联机",IF(G4="","",IF(G4="水环式","IPLV(C)","EER")),IF(F4="低温多联机","HSPF",""))))</f>
        <v/>
      </c>
      <c r="T4" s="227" t="n"/>
      <c r="U4" s="227" t="n"/>
      <c r="V4" s="227" t="n"/>
      <c r="W4" s="227" t="n"/>
      <c r="X4" s="227" t="n"/>
      <c r="Y4" s="227" t="n"/>
      <c r="Z4" s="227" t="n"/>
      <c r="AA4" s="227" t="n"/>
      <c r="AB4" s="81" t="n"/>
      <c r="AC4" s="180" t="n"/>
      <c r="AD4" s="180" t="n"/>
      <c r="AE4" s="99">
        <f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f>
        <v/>
      </c>
    </row>
    <row r="5" ht="42" customHeight="1" s="184">
      <c r="A5" s="224">
        <f>IF(COUNTA(B5,C5,D5,E5,F5,G5,H5,I5,J5,K5,M5,N5,O5,P5,AC5,AD5)&gt;0,ROW()-3,"")</f>
        <v/>
      </c>
      <c r="B5" s="176" t="n"/>
      <c r="C5" s="176" t="n"/>
      <c r="D5" s="228" t="n"/>
      <c r="E5" s="176" t="n"/>
      <c r="F5" s="218" t="n"/>
      <c r="G5" s="176" t="n"/>
      <c r="H5" s="229" t="n"/>
      <c r="I5" s="229" t="n"/>
      <c r="J5" s="229" t="n"/>
      <c r="K5" s="229" t="n"/>
      <c r="L5" s="115">
        <f>IF(F5="风冷式单冷型多联机","SEER",IF(F5="风冷式热泵型多联机","APF",IF(F5="水冷式多联机",IF(G5="","",IF(G5="水环式","IPLV(C)","EER")),IF(F5="低温多联机","HSPF",""))))</f>
        <v/>
      </c>
      <c r="M5" s="229" t="n"/>
      <c r="N5" s="229" t="n"/>
      <c r="O5" s="229" t="n"/>
      <c r="P5" s="229" t="n"/>
      <c r="Q5" s="115">
        <f>IF(F5="风冷式单冷型多联机","表1",IF(F5="风冷式热泵型多联机","表2",IF(F5="水冷式多联机","表3",IF(F5="低温多联机","表4",""))))</f>
        <v/>
      </c>
      <c r="R5" s="115">
        <f>IF(F5="","",IF(OR(F5="风冷式单冷型多联机",F5="风冷式热泵型多联机"),IF(H5="","",IF(H5&lt;=14,"≤14 kW",IF(H5&lt;=28,"14～28 kW",IF(H5&lt;=50,"28～50 kW",IF(H5&lt;=68,"50～68 kW","&gt;68 kW"))))),IF(F5="水冷式多联机",IF(G5="水环式",IF(H5="","",IF(H5&lt;=28,"≤28 kW","&gt;28 kW")),"不分容量档"),IF(F5="低温多联机",IF(I5="","",IF(I5&lt;=18,"≤18 kW","&gt;18 kW")),""))))</f>
        <v/>
      </c>
      <c r="S5" s="68">
        <f>IF(F5="风冷式单冷型多联机","SEER",IF(F5="风冷式热泵型多联机","APF",IF(F5="水冷式多联机",IF(G5="","",IF(G5="水环式","IPLV(C)","EER")),IF(F5="低温多联机","HSPF",""))))</f>
        <v/>
      </c>
      <c r="T5" s="227" t="n"/>
      <c r="U5" s="227" t="n"/>
      <c r="V5" s="227" t="n"/>
      <c r="W5" s="227" t="n"/>
      <c r="X5" s="227" t="n"/>
      <c r="Y5" s="227" t="n"/>
      <c r="Z5" s="227" t="n"/>
      <c r="AA5" s="227" t="n"/>
      <c r="AB5" s="81" t="n"/>
      <c r="AC5" s="180" t="n"/>
      <c r="AD5" s="180" t="n"/>
      <c r="AE5" s="99">
        <f>IF(COUNTA(B5,C5,D5,E5,F5,G5,H5,I5,J5,K5,M5,N5,O5,P5,AC5,AD5)&gt;0,TEXTJOIN("；",TRUE,IF(B5="","缺少设备名称",""),IF(AND(ISTEXT(B5),OR(B5&lt;&gt;TRIM(B5),ISNUMBER(SEARCH("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",C5)))),"型号含首尾空格或全角空格",""),IF(D5="","缺少数量",""),IF(D5="","",IF(NOT(ISNUMBER(D5)),"数量应为数值",IF(OR(D5&lt;=0,MOD(D5,1)&lt;&gt;0),"数量应为正整数",""))),IF(AND(ISTEXT(E5),OR(E5&lt;&gt;TRIM(E5),ISNUMBER(SEARCH("　",E5)))),"安装位置含首尾空格或全角空格",""),IF(F5="","缺少设备类别",""),IF(F5="","",IF(COUNTIF(EV_MULTI_CATEGORY,F5)=0,"设备类别不在标准枚举中","")),IF(AND(ISTEXT(F5),OR(F5&lt;&gt;TRIM(F5),ISNUMBER(SEARCH("　",F5)))),"设备类别含首尾空格或全角空格",""),IF(G5="","",IF(COUNTIF(EV_WATER_SOURCE,G5)=0,"水冷式类型不在标准枚举中","")),IF(AND(ISTEXT(G5),OR(G5&lt;&gt;TRIM(G5),ISNUMBER(SEARCH("　",G5)))),"水冷式类型含首尾空格或全角空格",""),IF(H5="","",IF(NOT(ISNUMBER(H5)),"名义制冷量应为数值",IF(H5&lt;=0,"名义制冷量应大于0",""))),IF(I5="","",IF(NOT(ISNUMBER(I5)),"名义制热量应为数值",IF(I5&lt;=0,"名义制热量应大于0",""))),IF(J5="","缺少额定功率",""),IF(J5="","",IF(NOT(ISNUMBER(J5)),"额定功率应为数值",IF(J5&lt;=0,"额定功率应大于0",""))),IF(K5="","缺少机外静压",""),IF(K5="","",IF(NOT(ISNUMBER(K5)),"机外静压应为数值",IF(K5&lt;0,"机外静压不得为负数",""))),IF(M5="","缺少分级指标设计值",""),IF(M5="","",IF(NOT(ISNUMBER(M5)),"分级指标设计值应为数值",IF(M5&lt;=0,"分级指标设计值应大于0",""))),IF(N5="","",IF(NOT(ISNUMBER(N5)),"EER设计值（用于EERmin校核）应为数值",IF(N5&lt;=0,"EER设计值（用于EERmin校核）应大于0",""))),IF(O5="","",IF(NOT(ISNUMBER(O5)),"COP(-12℃)设计值应为数值",IF(O5&lt;=0,"COP(-12℃)设计值应大于0",""))),IF(P5="","",IF(NOT(ISNUMBER(P5)),"COP(-20℃)设计值应为数值",IF(P5&lt;=0,"COP(-20℃)设计值应大于0",""))),IF(AC5="","缺少铭牌照片",""),IF(AND(ISTEXT(AD5),OR(AD5&lt;&gt;TRIM(AD5),ISNUMBER(SEARCH("　",AD5)))),"填表备注含首尾空格或全角空格",""),IF(AND(F5="水冷式多联机",OR(G5="",G5="不适用")),"水冷式多联机缺少水冷式类型",""),IF(AND(F5&lt;&gt;"水冷式多联机",G5&lt;&gt;"",G5&lt;&gt;"不适用"),"当前类别不应填写水冷式类型",""),IF(AND(F5="低温多联机",I5=""),"低温多联机缺少名义制热量",""),IF(AND(F5&lt;&gt;"低温多联机",H5=""),"当前类别缺少名义制冷量",""),IF(AND(L5&lt;&gt;"",M5=""),"缺少分级指标设计值",""),IF(AND(OR(F5="风冷式单冷型多联机",F5="风冷式热泵型多联机"),ISNUMBER(H5),H5&lt;=14,N5=""),"制冷量≤14kW的风冷式多联机缺少EER设计值",""),IF(AND(NOT(AND(OR(F5="风冷式单冷型多联机",F5="风冷式热泵型多联机"),ISNUMBER(H5),H5&lt;=14)),N5&lt;&gt;""),"当前类别或容量不使用EERmin校核值",""),IF(AND(F5="低温多联机",O5=""),"低温多联机缺少COP(-12℃)设计值",""),IF(AND(F5="低温多联机",P5=""),"低温多联机缺少COP(-20℃)设计值",""),IF(AND(F5&lt;&gt;"低温多联机",OR(O5&lt;&gt;"",P5&lt;&gt;"")),"非低温多联机不使用低温COP校核值","")),"")</f>
        <v/>
      </c>
    </row>
    <row r="6" ht="42" customHeight="1" s="184">
      <c r="A6" s="224">
        <f>IF(COUNTA(B6,C6,D6,E6,F6,G6,H6,I6,J6,K6,M6,N6,O6,P6,AC6,AD6)&gt;0,ROW()-3,"")</f>
        <v/>
      </c>
      <c r="B6" s="176" t="n"/>
      <c r="C6" s="176" t="n"/>
      <c r="D6" s="228" t="n"/>
      <c r="E6" s="176" t="n"/>
      <c r="F6" s="218" t="n"/>
      <c r="G6" s="176" t="n"/>
      <c r="H6" s="229" t="n"/>
      <c r="I6" s="229" t="n"/>
      <c r="J6" s="229" t="n"/>
      <c r="K6" s="229" t="n"/>
      <c r="L6" s="115">
        <f>IF(F6="风冷式单冷型多联机","SEER",IF(F6="风冷式热泵型多联机","APF",IF(F6="水冷式多联机",IF(G6="","",IF(G6="水环式","IPLV(C)","EER")),IF(F6="低温多联机","HSPF",""))))</f>
        <v/>
      </c>
      <c r="M6" s="229" t="n"/>
      <c r="N6" s="229" t="n"/>
      <c r="O6" s="229" t="n"/>
      <c r="P6" s="229" t="n"/>
      <c r="Q6" s="115">
        <f>IF(F6="风冷式单冷型多联机","表1",IF(F6="风冷式热泵型多联机","表2",IF(F6="水冷式多联机","表3",IF(F6="低温多联机","表4",""))))</f>
        <v/>
      </c>
      <c r="R6" s="115">
        <f>IF(F6="","",IF(OR(F6="风冷式单冷型多联机",F6="风冷式热泵型多联机"),IF(H6="","",IF(H6&lt;=14,"≤14 kW",IF(H6&lt;=28,"14～28 kW",IF(H6&lt;=50,"28～50 kW",IF(H6&lt;=68,"50～68 kW","&gt;68 kW"))))),IF(F6="水冷式多联机",IF(G6="水环式",IF(H6="","",IF(H6&lt;=28,"≤28 kW","&gt;28 kW")),"不分容量档"),IF(F6="低温多联机",IF(I6="","",IF(I6&lt;=18,"≤18 kW","&gt;18 kW")),""))))</f>
        <v/>
      </c>
      <c r="S6" s="68">
        <f>IF(F6="风冷式单冷型多联机","SEER",IF(F6="风冷式热泵型多联机","APF",IF(F6="水冷式多联机",IF(G6="","",IF(G6="水环式","IPLV(C)","EER")),IF(F6="低温多联机","HSPF",""))))</f>
        <v/>
      </c>
      <c r="T6" s="227" t="n"/>
      <c r="U6" s="227" t="n"/>
      <c r="V6" s="227" t="n"/>
      <c r="W6" s="227" t="n"/>
      <c r="X6" s="227" t="n"/>
      <c r="Y6" s="227" t="n"/>
      <c r="Z6" s="227" t="n"/>
      <c r="AA6" s="227" t="n"/>
      <c r="AB6" s="81" t="n"/>
      <c r="AC6" s="180" t="n"/>
      <c r="AD6" s="180" t="n"/>
      <c r="AE6" s="99">
        <f>IF(COUNTA(B6,C6,D6,E6,F6,G6,H6,I6,J6,K6,M6,N6,O6,P6,AC6,AD6)&gt;0,TEXTJOIN("；",TRUE,IF(B6="","缺少设备名称",""),IF(AND(ISTEXT(B6),OR(B6&lt;&gt;TRIM(B6),ISNUMBER(SEARCH("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",C6)))),"型号含首尾空格或全角空格",""),IF(D6="","缺少数量",""),IF(D6="","",IF(NOT(ISNUMBER(D6)),"数量应为数值",IF(OR(D6&lt;=0,MOD(D6,1)&lt;&gt;0),"数量应为正整数",""))),IF(AND(ISTEXT(E6),OR(E6&lt;&gt;TRIM(E6),ISNUMBER(SEARCH("　",E6)))),"安装位置含首尾空格或全角空格",""),IF(F6="","缺少设备类别",""),IF(F6="","",IF(COUNTIF(EV_MULTI_CATEGORY,F6)=0,"设备类别不在标准枚举中","")),IF(AND(ISTEXT(F6),OR(F6&lt;&gt;TRIM(F6),ISNUMBER(SEARCH("　",F6)))),"设备类别含首尾空格或全角空格",""),IF(G6="","",IF(COUNTIF(EV_WATER_SOURCE,G6)=0,"水冷式类型不在标准枚举中","")),IF(AND(ISTEXT(G6),OR(G6&lt;&gt;TRIM(G6),ISNUMBER(SEARCH("　",G6)))),"水冷式类型含首尾空格或全角空格",""),IF(H6="","",IF(NOT(ISNUMBER(H6)),"名义制冷量应为数值",IF(H6&lt;=0,"名义制冷量应大于0",""))),IF(I6="","",IF(NOT(ISNUMBER(I6)),"名义制热量应为数值",IF(I6&lt;=0,"名义制热量应大于0",""))),IF(J6="","缺少额定功率",""),IF(J6="","",IF(NOT(ISNUMBER(J6)),"额定功率应为数值",IF(J6&lt;=0,"额定功率应大于0",""))),IF(K6="","缺少机外静压",""),IF(K6="","",IF(NOT(ISNUMBER(K6)),"机外静压应为数值",IF(K6&lt;0,"机外静压不得为负数",""))),IF(M6="","缺少分级指标设计值",""),IF(M6="","",IF(NOT(ISNUMBER(M6)),"分级指标设计值应为数值",IF(M6&lt;=0,"分级指标设计值应大于0",""))),IF(N6="","",IF(NOT(ISNUMBER(N6)),"EER设计值（用于EERmin校核）应为数值",IF(N6&lt;=0,"EER设计值（用于EERmin校核）应大于0",""))),IF(O6="","",IF(NOT(ISNUMBER(O6)),"COP(-12℃)设计值应为数值",IF(O6&lt;=0,"COP(-12℃)设计值应大于0",""))),IF(P6="","",IF(NOT(ISNUMBER(P6)),"COP(-20℃)设计值应为数值",IF(P6&lt;=0,"COP(-20℃)设计值应大于0",""))),IF(AC6="","缺少铭牌照片",""),IF(AND(ISTEXT(AD6),OR(AD6&lt;&gt;TRIM(AD6),ISNUMBER(SEARCH("　",AD6)))),"填表备注含首尾空格或全角空格",""),IF(AND(F6="水冷式多联机",OR(G6="",G6="不适用")),"水冷式多联机缺少水冷式类型",""),IF(AND(F6&lt;&gt;"水冷式多联机",G6&lt;&gt;"",G6&lt;&gt;"不适用"),"当前类别不应填写水冷式类型",""),IF(AND(F6="低温多联机",I6=""),"低温多联机缺少名义制热量",""),IF(AND(F6&lt;&gt;"低温多联机",H6=""),"当前类别缺少名义制冷量",""),IF(AND(L6&lt;&gt;"",M6=""),"缺少分级指标设计值",""),IF(AND(OR(F6="风冷式单冷型多联机",F6="风冷式热泵型多联机"),ISNUMBER(H6),H6&lt;=14,N6=""),"制冷量≤14kW的风冷式多联机缺少EER设计值",""),IF(AND(NOT(AND(OR(F6="风冷式单冷型多联机",F6="风冷式热泵型多联机"),ISNUMBER(H6),H6&lt;=14)),N6&lt;&gt;""),"当前类别或容量不使用EERmin校核值",""),IF(AND(F6="低温多联机",O6=""),"低温多联机缺少COP(-12℃)设计值",""),IF(AND(F6="低温多联机",P6=""),"低温多联机缺少COP(-20℃)设计值",""),IF(AND(F6&lt;&gt;"低温多联机",OR(O6&lt;&gt;"",P6&lt;&gt;"")),"非低温多联机不使用低温COP校核值","")),"")</f>
        <v/>
      </c>
    </row>
    <row r="7" ht="42" customHeight="1" s="184">
      <c r="A7" s="224">
        <f>IF(COUNTA(B7,C7,D7,E7,F7,G7,H7,I7,J7,K7,M7,N7,O7,P7,AC7,AD7)&gt;0,ROW()-3,"")</f>
        <v/>
      </c>
      <c r="B7" s="176" t="n"/>
      <c r="C7" s="176" t="n"/>
      <c r="D7" s="228" t="n"/>
      <c r="E7" s="176" t="n"/>
      <c r="F7" s="218" t="n"/>
      <c r="G7" s="176" t="n"/>
      <c r="H7" s="229" t="n"/>
      <c r="I7" s="229" t="n"/>
      <c r="J7" s="229" t="n"/>
      <c r="K7" s="229" t="n"/>
      <c r="L7" s="115">
        <f>IF(F7="风冷式单冷型多联机","SEER",IF(F7="风冷式热泵型多联机","APF",IF(F7="水冷式多联机",IF(G7="","",IF(G7="水环式","IPLV(C)","EER")),IF(F7="低温多联机","HSPF",""))))</f>
        <v/>
      </c>
      <c r="M7" s="229" t="n"/>
      <c r="N7" s="229" t="n"/>
      <c r="O7" s="229" t="n"/>
      <c r="P7" s="229" t="n"/>
      <c r="Q7" s="115">
        <f>IF(F7="风冷式单冷型多联机","表1",IF(F7="风冷式热泵型多联机","表2",IF(F7="水冷式多联机","表3",IF(F7="低温多联机","表4",""))))</f>
        <v/>
      </c>
      <c r="R7" s="115">
        <f>IF(F7="","",IF(OR(F7="风冷式单冷型多联机",F7="风冷式热泵型多联机"),IF(H7="","",IF(H7&lt;=14,"≤14 kW",IF(H7&lt;=28,"14～28 kW",IF(H7&lt;=50,"28～50 kW",IF(H7&lt;=68,"50～68 kW","&gt;68 kW"))))),IF(F7="水冷式多联机",IF(G7="水环式",IF(H7="","",IF(H7&lt;=28,"≤28 kW","&gt;28 kW")),"不分容量档"),IF(F7="低温多联机",IF(I7="","",IF(I7&lt;=18,"≤18 kW","&gt;18 kW")),""))))</f>
        <v/>
      </c>
      <c r="S7" s="68">
        <f>IF(F7="风冷式单冷型多联机","SEER",IF(F7="风冷式热泵型多联机","APF",IF(F7="水冷式多联机",IF(G7="","",IF(G7="水环式","IPLV(C)","EER")),IF(F7="低温多联机","HSPF",""))))</f>
        <v/>
      </c>
      <c r="T7" s="227" t="n"/>
      <c r="U7" s="227" t="n"/>
      <c r="V7" s="227" t="n"/>
      <c r="W7" s="227" t="n"/>
      <c r="X7" s="227" t="n"/>
      <c r="Y7" s="227" t="n"/>
      <c r="Z7" s="227" t="n"/>
      <c r="AA7" s="227" t="n"/>
      <c r="AB7" s="81" t="n"/>
      <c r="AC7" s="180" t="n"/>
      <c r="AD7" s="180" t="n"/>
      <c r="AE7" s="99">
        <f>IF(COUNTA(B7,C7,D7,E7,F7,G7,H7,I7,J7,K7,M7,N7,O7,P7,AC7,AD7)&gt;0,TEXTJOIN("；",TRUE,IF(B7="","缺少设备名称",""),IF(AND(ISTEXT(B7),OR(B7&lt;&gt;TRIM(B7),ISNUMBER(SEARCH("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",C7)))),"型号含首尾空格或全角空格",""),IF(D7="","缺少数量",""),IF(D7="","",IF(NOT(ISNUMBER(D7)),"数量应为数值",IF(OR(D7&lt;=0,MOD(D7,1)&lt;&gt;0),"数量应为正整数",""))),IF(AND(ISTEXT(E7),OR(E7&lt;&gt;TRIM(E7),ISNUMBER(SEARCH("　",E7)))),"安装位置含首尾空格或全角空格",""),IF(F7="","缺少设备类别",""),IF(F7="","",IF(COUNTIF(EV_MULTI_CATEGORY,F7)=0,"设备类别不在标准枚举中","")),IF(AND(ISTEXT(F7),OR(F7&lt;&gt;TRIM(F7),ISNUMBER(SEARCH("　",F7)))),"设备类别含首尾空格或全角空格",""),IF(G7="","",IF(COUNTIF(EV_WATER_SOURCE,G7)=0,"水冷式类型不在标准枚举中","")),IF(AND(ISTEXT(G7),OR(G7&lt;&gt;TRIM(G7),ISNUMBER(SEARCH("　",G7)))),"水冷式类型含首尾空格或全角空格",""),IF(H7="","",IF(NOT(ISNUMBER(H7)),"名义制冷量应为数值",IF(H7&lt;=0,"名义制冷量应大于0",""))),IF(I7="","",IF(NOT(ISNUMBER(I7)),"名义制热量应为数值",IF(I7&lt;=0,"名义制热量应大于0",""))),IF(J7="","缺少额定功率",""),IF(J7="","",IF(NOT(ISNUMBER(J7)),"额定功率应为数值",IF(J7&lt;=0,"额定功率应大于0",""))),IF(K7="","缺少机外静压",""),IF(K7="","",IF(NOT(ISNUMBER(K7)),"机外静压应为数值",IF(K7&lt;0,"机外静压不得为负数",""))),IF(M7="","缺少分级指标设计值",""),IF(M7="","",IF(NOT(ISNUMBER(M7)),"分级指标设计值应为数值",IF(M7&lt;=0,"分级指标设计值应大于0",""))),IF(N7="","",IF(NOT(ISNUMBER(N7)),"EER设计值（用于EERmin校核）应为数值",IF(N7&lt;=0,"EER设计值（用于EERmin校核）应大于0",""))),IF(O7="","",IF(NOT(ISNUMBER(O7)),"COP(-12℃)设计值应为数值",IF(O7&lt;=0,"COP(-12℃)设计值应大于0",""))),IF(P7="","",IF(NOT(ISNUMBER(P7)),"COP(-20℃)设计值应为数值",IF(P7&lt;=0,"COP(-20℃)设计值应大于0",""))),IF(AC7="","缺少铭牌照片",""),IF(AND(ISTEXT(AD7),OR(AD7&lt;&gt;TRIM(AD7),ISNUMBER(SEARCH("　",AD7)))),"填表备注含首尾空格或全角空格",""),IF(AND(F7="水冷式多联机",OR(G7="",G7="不适用")),"水冷式多联机缺少水冷式类型",""),IF(AND(F7&lt;&gt;"水冷式多联机",G7&lt;&gt;"",G7&lt;&gt;"不适用"),"当前类别不应填写水冷式类型",""),IF(AND(F7="低温多联机",I7=""),"低温多联机缺少名义制热量",""),IF(AND(F7&lt;&gt;"低温多联机",H7=""),"当前类别缺少名义制冷量",""),IF(AND(L7&lt;&gt;"",M7=""),"缺少分级指标设计值",""),IF(AND(OR(F7="风冷式单冷型多联机",F7="风冷式热泵型多联机"),ISNUMBER(H7),H7&lt;=14,N7=""),"制冷量≤14kW的风冷式多联机缺少EER设计值",""),IF(AND(NOT(AND(OR(F7="风冷式单冷型多联机",F7="风冷式热泵型多联机"),ISNUMBER(H7),H7&lt;=14)),N7&lt;&gt;""),"当前类别或容量不使用EERmin校核值",""),IF(AND(F7="低温多联机",O7=""),"低温多联机缺少COP(-12℃)设计值",""),IF(AND(F7="低温多联机",P7=""),"低温多联机缺少COP(-20℃)设计值",""),IF(AND(F7&lt;&gt;"低温多联机",OR(O7&lt;&gt;"",P7&lt;&gt;"")),"非低温多联机不使用低温COP校核值","")),"")</f>
        <v/>
      </c>
    </row>
    <row r="8" ht="42" customHeight="1" s="184">
      <c r="A8" s="224">
        <f>IF(COUNTA(B8,C8,D8,E8,F8,G8,H8,I8,J8,K8,M8,N8,O8,P8,AC8,AD8)&gt;0,ROW()-3,"")</f>
        <v/>
      </c>
      <c r="B8" s="176" t="n"/>
      <c r="C8" s="176" t="n"/>
      <c r="D8" s="228" t="n"/>
      <c r="E8" s="176" t="n"/>
      <c r="F8" s="218" t="n"/>
      <c r="G8" s="176" t="n"/>
      <c r="H8" s="229" t="n"/>
      <c r="I8" s="229" t="n"/>
      <c r="J8" s="229" t="n"/>
      <c r="K8" s="229" t="n"/>
      <c r="L8" s="115">
        <f>IF(F8="风冷式单冷型多联机","SEER",IF(F8="风冷式热泵型多联机","APF",IF(F8="水冷式多联机",IF(G8="","",IF(G8="水环式","IPLV(C)","EER")),IF(F8="低温多联机","HSPF",""))))</f>
        <v/>
      </c>
      <c r="M8" s="229" t="n"/>
      <c r="N8" s="229" t="n"/>
      <c r="O8" s="229" t="n"/>
      <c r="P8" s="229" t="n"/>
      <c r="Q8" s="115">
        <f>IF(F8="风冷式单冷型多联机","表1",IF(F8="风冷式热泵型多联机","表2",IF(F8="水冷式多联机","表3",IF(F8="低温多联机","表4",""))))</f>
        <v/>
      </c>
      <c r="R8" s="115">
        <f>IF(F8="","",IF(OR(F8="风冷式单冷型多联机",F8="风冷式热泵型多联机"),IF(H8="","",IF(H8&lt;=14,"≤14 kW",IF(H8&lt;=28,"14～28 kW",IF(H8&lt;=50,"28～50 kW",IF(H8&lt;=68,"50～68 kW","&gt;68 kW"))))),IF(F8="水冷式多联机",IF(G8="水环式",IF(H8="","",IF(H8&lt;=28,"≤28 kW","&gt;28 kW")),"不分容量档"),IF(F8="低温多联机",IF(I8="","",IF(I8&lt;=18,"≤18 kW","&gt;18 kW")),""))))</f>
        <v/>
      </c>
      <c r="S8" s="68">
        <f>IF(F8="风冷式单冷型多联机","SEER",IF(F8="风冷式热泵型多联机","APF",IF(F8="水冷式多联机",IF(G8="","",IF(G8="水环式","IPLV(C)","EER")),IF(F8="低温多联机","HSPF",""))))</f>
        <v/>
      </c>
      <c r="T8" s="227" t="n"/>
      <c r="U8" s="227" t="n"/>
      <c r="V8" s="227" t="n"/>
      <c r="W8" s="227" t="n"/>
      <c r="X8" s="227" t="n"/>
      <c r="Y8" s="227" t="n"/>
      <c r="Z8" s="227" t="n"/>
      <c r="AA8" s="227" t="n"/>
      <c r="AB8" s="81" t="n"/>
      <c r="AC8" s="180" t="n"/>
      <c r="AD8" s="180" t="n"/>
      <c r="AE8" s="99">
        <f>IF(COUNTA(B8,C8,D8,E8,F8,G8,H8,I8,J8,K8,M8,N8,O8,P8,AC8,AD8)&gt;0,TEXTJOIN("；",TRUE,IF(B8="","缺少设备名称",""),IF(AND(ISTEXT(B8),OR(B8&lt;&gt;TRIM(B8),ISNUMBER(SEARCH("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",C8)))),"型号含首尾空格或全角空格",""),IF(D8="","缺少数量",""),IF(D8="","",IF(NOT(ISNUMBER(D8)),"数量应为数值",IF(OR(D8&lt;=0,MOD(D8,1)&lt;&gt;0),"数量应为正整数",""))),IF(AND(ISTEXT(E8),OR(E8&lt;&gt;TRIM(E8),ISNUMBER(SEARCH("　",E8)))),"安装位置含首尾空格或全角空格",""),IF(F8="","缺少设备类别",""),IF(F8="","",IF(COUNTIF(EV_MULTI_CATEGORY,F8)=0,"设备类别不在标准枚举中","")),IF(AND(ISTEXT(F8),OR(F8&lt;&gt;TRIM(F8),ISNUMBER(SEARCH("　",F8)))),"设备类别含首尾空格或全角空格",""),IF(G8="","",IF(COUNTIF(EV_WATER_SOURCE,G8)=0,"水冷式类型不在标准枚举中","")),IF(AND(ISTEXT(G8),OR(G8&lt;&gt;TRIM(G8),ISNUMBER(SEARCH("　",G8)))),"水冷式类型含首尾空格或全角空格",""),IF(H8="","",IF(NOT(ISNUMBER(H8)),"名义制冷量应为数值",IF(H8&lt;=0,"名义制冷量应大于0",""))),IF(I8="","",IF(NOT(ISNUMBER(I8)),"名义制热量应为数值",IF(I8&lt;=0,"名义制热量应大于0",""))),IF(J8="","缺少额定功率",""),IF(J8="","",IF(NOT(ISNUMBER(J8)),"额定功率应为数值",IF(J8&lt;=0,"额定功率应大于0",""))),IF(K8="","缺少机外静压",""),IF(K8="","",IF(NOT(ISNUMBER(K8)),"机外静压应为数值",IF(K8&lt;0,"机外静压不得为负数",""))),IF(M8="","缺少分级指标设计值",""),IF(M8="","",IF(NOT(ISNUMBER(M8)),"分级指标设计值应为数值",IF(M8&lt;=0,"分级指标设计值应大于0",""))),IF(N8="","",IF(NOT(ISNUMBER(N8)),"EER设计值（用于EERmin校核）应为数值",IF(N8&lt;=0,"EER设计值（用于EERmin校核）应大于0",""))),IF(O8="","",IF(NOT(ISNUMBER(O8)),"COP(-12℃)设计值应为数值",IF(O8&lt;=0,"COP(-12℃)设计值应大于0",""))),IF(P8="","",IF(NOT(ISNUMBER(P8)),"COP(-20℃)设计值应为数值",IF(P8&lt;=0,"COP(-20℃)设计值应大于0",""))),IF(AC8="","缺少铭牌照片",""),IF(AND(ISTEXT(AD8),OR(AD8&lt;&gt;TRIM(AD8),ISNUMBER(SEARCH("　",AD8)))),"填表备注含首尾空格或全角空格",""),IF(AND(F8="水冷式多联机",OR(G8="",G8="不适用")),"水冷式多联机缺少水冷式类型",""),IF(AND(F8&lt;&gt;"水冷式多联机",G8&lt;&gt;"",G8&lt;&gt;"不适用"),"当前类别不应填写水冷式类型",""),IF(AND(F8="低温多联机",I8=""),"低温多联机缺少名义制热量",""),IF(AND(F8&lt;&gt;"低温多联机",H8=""),"当前类别缺少名义制冷量",""),IF(AND(L8&lt;&gt;"",M8=""),"缺少分级指标设计值",""),IF(AND(OR(F8="风冷式单冷型多联机",F8="风冷式热泵型多联机"),ISNUMBER(H8),H8&lt;=14,N8=""),"制冷量≤14kW的风冷式多联机缺少EER设计值",""),IF(AND(NOT(AND(OR(F8="风冷式单冷型多联机",F8="风冷式热泵型多联机"),ISNUMBER(H8),H8&lt;=14)),N8&lt;&gt;""),"当前类别或容量不使用EERmin校核值",""),IF(AND(F8="低温多联机",O8=""),"低温多联机缺少COP(-12℃)设计值",""),IF(AND(F8="低温多联机",P8=""),"低温多联机缺少COP(-20℃)设计值",""),IF(AND(F8&lt;&gt;"低温多联机",OR(O8&lt;&gt;"",P8&lt;&gt;"")),"非低温多联机不使用低温COP校核值","")),"")</f>
        <v/>
      </c>
    </row>
    <row r="9" ht="42" customHeight="1" s="184">
      <c r="A9" s="224">
        <f>IF(COUNTA(B9,C9,D9,E9,F9,G9,H9,I9,J9,K9,M9,N9,O9,P9,AC9,AD9)&gt;0,ROW()-3,"")</f>
        <v/>
      </c>
      <c r="B9" s="176" t="n"/>
      <c r="C9" s="176" t="n"/>
      <c r="D9" s="228" t="n"/>
      <c r="E9" s="176" t="n"/>
      <c r="F9" s="218" t="n"/>
      <c r="G9" s="176" t="n"/>
      <c r="H9" s="229" t="n"/>
      <c r="I9" s="229" t="n"/>
      <c r="J9" s="229" t="n"/>
      <c r="K9" s="229" t="n"/>
      <c r="L9" s="115">
        <f>IF(F9="风冷式单冷型多联机","SEER",IF(F9="风冷式热泵型多联机","APF",IF(F9="水冷式多联机",IF(G9="","",IF(G9="水环式","IPLV(C)","EER")),IF(F9="低温多联机","HSPF",""))))</f>
        <v/>
      </c>
      <c r="M9" s="229" t="n"/>
      <c r="N9" s="229" t="n"/>
      <c r="O9" s="229" t="n"/>
      <c r="P9" s="229" t="n"/>
      <c r="Q9" s="115">
        <f>IF(F9="风冷式单冷型多联机","表1",IF(F9="风冷式热泵型多联机","表2",IF(F9="水冷式多联机","表3",IF(F9="低温多联机","表4",""))))</f>
        <v/>
      </c>
      <c r="R9" s="115">
        <f>IF(F9="","",IF(OR(F9="风冷式单冷型多联机",F9="风冷式热泵型多联机"),IF(H9="","",IF(H9&lt;=14,"≤14 kW",IF(H9&lt;=28,"14～28 kW",IF(H9&lt;=50,"28～50 kW",IF(H9&lt;=68,"50～68 kW","&gt;68 kW"))))),IF(F9="水冷式多联机",IF(G9="水环式",IF(H9="","",IF(H9&lt;=28,"≤28 kW","&gt;28 kW")),"不分容量档"),IF(F9="低温多联机",IF(I9="","",IF(I9&lt;=18,"≤18 kW","&gt;18 kW")),""))))</f>
        <v/>
      </c>
      <c r="S9" s="68">
        <f>IF(F9="风冷式单冷型多联机","SEER",IF(F9="风冷式热泵型多联机","APF",IF(F9="水冷式多联机",IF(G9="","",IF(G9="水环式","IPLV(C)","EER")),IF(F9="低温多联机","HSPF",""))))</f>
        <v/>
      </c>
      <c r="T9" s="227" t="n"/>
      <c r="U9" s="227" t="n"/>
      <c r="V9" s="227" t="n"/>
      <c r="W9" s="227" t="n"/>
      <c r="X9" s="227" t="n"/>
      <c r="Y9" s="227" t="n"/>
      <c r="Z9" s="227" t="n"/>
      <c r="AA9" s="227" t="n"/>
      <c r="AB9" s="81" t="n"/>
      <c r="AC9" s="180" t="n"/>
      <c r="AD9" s="180" t="n"/>
      <c r="AE9" s="99">
        <f>IF(COUNTA(B9,C9,D9,E9,F9,G9,H9,I9,J9,K9,M9,N9,O9,P9,AC9,AD9)&gt;0,TEXTJOIN("；",TRUE,IF(B9="","缺少设备名称",""),IF(AND(ISTEXT(B9),OR(B9&lt;&gt;TRIM(B9),ISNUMBER(SEARCH("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",C9)))),"型号含首尾空格或全角空格",""),IF(D9="","缺少数量",""),IF(D9="","",IF(NOT(ISNUMBER(D9)),"数量应为数值",IF(OR(D9&lt;=0,MOD(D9,1)&lt;&gt;0),"数量应为正整数",""))),IF(AND(ISTEXT(E9),OR(E9&lt;&gt;TRIM(E9),ISNUMBER(SEARCH("　",E9)))),"安装位置含首尾空格或全角空格",""),IF(F9="","缺少设备类别",""),IF(F9="","",IF(COUNTIF(EV_MULTI_CATEGORY,F9)=0,"设备类别不在标准枚举中","")),IF(AND(ISTEXT(F9),OR(F9&lt;&gt;TRIM(F9),ISNUMBER(SEARCH("　",F9)))),"设备类别含首尾空格或全角空格",""),IF(G9="","",IF(COUNTIF(EV_WATER_SOURCE,G9)=0,"水冷式类型不在标准枚举中","")),IF(AND(ISTEXT(G9),OR(G9&lt;&gt;TRIM(G9),ISNUMBER(SEARCH("　",G9)))),"水冷式类型含首尾空格或全角空格",""),IF(H9="","",IF(NOT(ISNUMBER(H9)),"名义制冷量应为数值",IF(H9&lt;=0,"名义制冷量应大于0",""))),IF(I9="","",IF(NOT(ISNUMBER(I9)),"名义制热量应为数值",IF(I9&lt;=0,"名义制热量应大于0",""))),IF(J9="","缺少额定功率",""),IF(J9="","",IF(NOT(ISNUMBER(J9)),"额定功率应为数值",IF(J9&lt;=0,"额定功率应大于0",""))),IF(K9="","缺少机外静压",""),IF(K9="","",IF(NOT(ISNUMBER(K9)),"机外静压应为数值",IF(K9&lt;0,"机外静压不得为负数",""))),IF(M9="","缺少分级指标设计值",""),IF(M9="","",IF(NOT(ISNUMBER(M9)),"分级指标设计值应为数值",IF(M9&lt;=0,"分级指标设计值应大于0",""))),IF(N9="","",IF(NOT(ISNUMBER(N9)),"EER设计值（用于EERmin校核）应为数值",IF(N9&lt;=0,"EER设计值（用于EERmin校核）应大于0",""))),IF(O9="","",IF(NOT(ISNUMBER(O9)),"COP(-12℃)设计值应为数值",IF(O9&lt;=0,"COP(-12℃)设计值应大于0",""))),IF(P9="","",IF(NOT(ISNUMBER(P9)),"COP(-20℃)设计值应为数值",IF(P9&lt;=0,"COP(-20℃)设计值应大于0",""))),IF(AC9="","缺少铭牌照片",""),IF(AND(ISTEXT(AD9),OR(AD9&lt;&gt;TRIM(AD9),ISNUMBER(SEARCH("　",AD9)))),"填表备注含首尾空格或全角空格",""),IF(AND(F9="水冷式多联机",OR(G9="",G9="不适用")),"水冷式多联机缺少水冷式类型",""),IF(AND(F9&lt;&gt;"水冷式多联机",G9&lt;&gt;"",G9&lt;&gt;"不适用"),"当前类别不应填写水冷式类型",""),IF(AND(F9="低温多联机",I9=""),"低温多联机缺少名义制热量",""),IF(AND(F9&lt;&gt;"低温多联机",H9=""),"当前类别缺少名义制冷量",""),IF(AND(L9&lt;&gt;"",M9=""),"缺少分级指标设计值",""),IF(AND(OR(F9="风冷式单冷型多联机",F9="风冷式热泵型多联机"),ISNUMBER(H9),H9&lt;=14,N9=""),"制冷量≤14kW的风冷式多联机缺少EER设计值",""),IF(AND(NOT(AND(OR(F9="风冷式单冷型多联机",F9="风冷式热泵型多联机"),ISNUMBER(H9),H9&lt;=14)),N9&lt;&gt;""),"当前类别或容量不使用EERmin校核值",""),IF(AND(F9="低温多联机",O9=""),"低温多联机缺少COP(-12℃)设计值",""),IF(AND(F9="低温多联机",P9=""),"低温多联机缺少COP(-20℃)设计值",""),IF(AND(F9&lt;&gt;"低温多联机",OR(O9&lt;&gt;"",P9&lt;&gt;"")),"非低温多联机不使用低温COP校核值","")),"")</f>
        <v/>
      </c>
    </row>
    <row r="10" ht="42" customHeight="1" s="184">
      <c r="A10" s="224">
        <f>IF(COUNTA(B10,C10,D10,E10,F10,G10,H10,I10,J10,K10,M10,N10,O10,P10,AC10,AD10)&gt;0,ROW()-3,"")</f>
        <v/>
      </c>
      <c r="B10" s="176" t="n"/>
      <c r="C10" s="176" t="n"/>
      <c r="D10" s="228" t="n"/>
      <c r="E10" s="176" t="n"/>
      <c r="F10" s="218" t="n"/>
      <c r="G10" s="176" t="n"/>
      <c r="H10" s="229" t="n"/>
      <c r="I10" s="229" t="n"/>
      <c r="J10" s="229" t="n"/>
      <c r="K10" s="229" t="n"/>
      <c r="L10" s="115">
        <f>IF(F10="风冷式单冷型多联机","SEER",IF(F10="风冷式热泵型多联机","APF",IF(F10="水冷式多联机",IF(G10="","",IF(G10="水环式","IPLV(C)","EER")),IF(F10="低温多联机","HSPF",""))))</f>
        <v/>
      </c>
      <c r="M10" s="229" t="n"/>
      <c r="N10" s="229" t="n"/>
      <c r="O10" s="229" t="n"/>
      <c r="P10" s="229" t="n"/>
      <c r="Q10" s="115">
        <f>IF(F10="风冷式单冷型多联机","表1",IF(F10="风冷式热泵型多联机","表2",IF(F10="水冷式多联机","表3",IF(F10="低温多联机","表4",""))))</f>
        <v/>
      </c>
      <c r="R10" s="115">
        <f>IF(F10="","",IF(OR(F10="风冷式单冷型多联机",F10="风冷式热泵型多联机"),IF(H10="","",IF(H10&lt;=14,"≤14 kW",IF(H10&lt;=28,"14～28 kW",IF(H10&lt;=50,"28～50 kW",IF(H10&lt;=68,"50～68 kW","&gt;68 kW"))))),IF(F10="水冷式多联机",IF(G10="水环式",IF(H10="","",IF(H10&lt;=28,"≤28 kW","&gt;28 kW")),"不分容量档"),IF(F10="低温多联机",IF(I10="","",IF(I10&lt;=18,"≤18 kW","&gt;18 kW")),""))))</f>
        <v/>
      </c>
      <c r="S10" s="68">
        <f>IF(F10="风冷式单冷型多联机","SEER",IF(F10="风冷式热泵型多联机","APF",IF(F10="水冷式多联机",IF(G10="","",IF(G10="水环式","IPLV(C)","EER")),IF(F10="低温多联机","HSPF",""))))</f>
        <v/>
      </c>
      <c r="T10" s="227" t="n"/>
      <c r="U10" s="227" t="n"/>
      <c r="V10" s="227" t="n"/>
      <c r="W10" s="227" t="n"/>
      <c r="X10" s="227" t="n"/>
      <c r="Y10" s="227" t="n"/>
      <c r="Z10" s="227" t="n"/>
      <c r="AA10" s="227" t="n"/>
      <c r="AB10" s="81" t="n"/>
      <c r="AC10" s="180" t="n"/>
      <c r="AD10" s="180" t="n"/>
      <c r="AE10" s="99">
        <f>IF(COUNTA(B10,C10,D10,E10,F10,G10,H10,I10,J10,K10,M10,N10,O10,P10,AC10,AD10)&gt;0,TEXTJOIN("；",TRUE,IF(B10="","缺少设备名称",""),IF(AND(ISTEXT(B10),OR(B10&lt;&gt;TRIM(B10),ISNUMBER(SEARCH("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",C10)))),"型号含首尾空格或全角空格",""),IF(D10="","缺少数量",""),IF(D10="","",IF(NOT(ISNUMBER(D10)),"数量应为数值",IF(OR(D10&lt;=0,MOD(D10,1)&lt;&gt;0),"数量应为正整数",""))),IF(AND(ISTEXT(E10),OR(E10&lt;&gt;TRIM(E10),ISNUMBER(SEARCH("　",E10)))),"安装位置含首尾空格或全角空格",""),IF(F10="","缺少设备类别",""),IF(F10="","",IF(COUNTIF(EV_MULTI_CATEGORY,F10)=0,"设备类别不在标准枚举中","")),IF(AND(ISTEXT(F10),OR(F10&lt;&gt;TRIM(F10),ISNUMBER(SEARCH("　",F10)))),"设备类别含首尾空格或全角空格",""),IF(G10="","",IF(COUNTIF(EV_WATER_SOURCE,G10)=0,"水冷式类型不在标准枚举中","")),IF(AND(ISTEXT(G10),OR(G10&lt;&gt;TRIM(G10),ISNUMBER(SEARCH("　",G10)))),"水冷式类型含首尾空格或全角空格",""),IF(H10="","",IF(NOT(ISNUMBER(H10)),"名义制冷量应为数值",IF(H10&lt;=0,"名义制冷量应大于0",""))),IF(I10="","",IF(NOT(ISNUMBER(I10)),"名义制热量应为数值",IF(I10&lt;=0,"名义制热量应大于0",""))),IF(J10="","缺少额定功率",""),IF(J10="","",IF(NOT(ISNUMBER(J10)),"额定功率应为数值",IF(J10&lt;=0,"额定功率应大于0",""))),IF(K10="","缺少机外静压",""),IF(K10="","",IF(NOT(ISNUMBER(K10)),"机外静压应为数值",IF(K10&lt;0,"机外静压不得为负数",""))),IF(M10="","缺少分级指标设计值",""),IF(M10="","",IF(NOT(ISNUMBER(M10)),"分级指标设计值应为数值",IF(M10&lt;=0,"分级指标设计值应大于0",""))),IF(N10="","",IF(NOT(ISNUMBER(N10)),"EER设计值（用于EERmin校核）应为数值",IF(N10&lt;=0,"EER设计值（用于EERmin校核）应大于0",""))),IF(O10="","",IF(NOT(ISNUMBER(O10)),"COP(-12℃)设计值应为数值",IF(O10&lt;=0,"COP(-12℃)设计值应大于0",""))),IF(P10="","",IF(NOT(ISNUMBER(P10)),"COP(-20℃)设计值应为数值",IF(P10&lt;=0,"COP(-20℃)设计值应大于0",""))),IF(AC10="","缺少铭牌照片",""),IF(AND(ISTEXT(AD10),OR(AD10&lt;&gt;TRIM(AD10),ISNUMBER(SEARCH("　",AD10)))),"填表备注含首尾空格或全角空格",""),IF(AND(F10="水冷式多联机",OR(G10="",G10="不适用")),"水冷式多联机缺少水冷式类型",""),IF(AND(F10&lt;&gt;"水冷式多联机",G10&lt;&gt;"",G10&lt;&gt;"不适用"),"当前类别不应填写水冷式类型",""),IF(AND(F10="低温多联机",I10=""),"低温多联机缺少名义制热量",""),IF(AND(F10&lt;&gt;"低温多联机",H10=""),"当前类别缺少名义制冷量",""),IF(AND(L10&lt;&gt;"",M10=""),"缺少分级指标设计值",""),IF(AND(OR(F10="风冷式单冷型多联机",F10="风冷式热泵型多联机"),ISNUMBER(H10),H10&lt;=14,N10=""),"制冷量≤14kW的风冷式多联机缺少EER设计值",""),IF(AND(NOT(AND(OR(F10="风冷式单冷型多联机",F10="风冷式热泵型多联机"),ISNUMBER(H10),H10&lt;=14)),N10&lt;&gt;""),"当前类别或容量不使用EERmin校核值",""),IF(AND(F10="低温多联机",O10=""),"低温多联机缺少COP(-12℃)设计值",""),IF(AND(F10="低温多联机",P10=""),"低温多联机缺少COP(-20℃)设计值",""),IF(AND(F10&lt;&gt;"低温多联机",OR(O10&lt;&gt;"",P10&lt;&gt;"")),"非低温多联机不使用低温COP校核值","")),"")</f>
        <v/>
      </c>
    </row>
    <row r="11" ht="42" customHeight="1" s="184">
      <c r="A11" s="224">
        <f>IF(COUNTA(B11,C11,D11,E11,F11,G11,H11,I11,J11,K11,M11,N11,O11,P11,AC11,AD11)&gt;0,ROW()-3,"")</f>
        <v/>
      </c>
      <c r="B11" s="176" t="n"/>
      <c r="C11" s="176" t="n"/>
      <c r="D11" s="228" t="n"/>
      <c r="E11" s="176" t="n"/>
      <c r="F11" s="218" t="n"/>
      <c r="G11" s="176" t="n"/>
      <c r="H11" s="229" t="n"/>
      <c r="I11" s="229" t="n"/>
      <c r="J11" s="229" t="n"/>
      <c r="K11" s="229" t="n"/>
      <c r="L11" s="115">
        <f>IF(F11="风冷式单冷型多联机","SEER",IF(F11="风冷式热泵型多联机","APF",IF(F11="水冷式多联机",IF(G11="","",IF(G11="水环式","IPLV(C)","EER")),IF(F11="低温多联机","HSPF",""))))</f>
        <v/>
      </c>
      <c r="M11" s="229" t="n"/>
      <c r="N11" s="229" t="n"/>
      <c r="O11" s="229" t="n"/>
      <c r="P11" s="229" t="n"/>
      <c r="Q11" s="115">
        <f>IF(F11="风冷式单冷型多联机","表1",IF(F11="风冷式热泵型多联机","表2",IF(F11="水冷式多联机","表3",IF(F11="低温多联机","表4",""))))</f>
        <v/>
      </c>
      <c r="R11" s="115">
        <f>IF(F11="","",IF(OR(F11="风冷式单冷型多联机",F11="风冷式热泵型多联机"),IF(H11="","",IF(H11&lt;=14,"≤14 kW",IF(H11&lt;=28,"14～28 kW",IF(H11&lt;=50,"28～50 kW",IF(H11&lt;=68,"50～68 kW","&gt;68 kW"))))),IF(F11="水冷式多联机",IF(G11="水环式",IF(H11="","",IF(H11&lt;=28,"≤28 kW","&gt;28 kW")),"不分容量档"),IF(F11="低温多联机",IF(I11="","",IF(I11&lt;=18,"≤18 kW","&gt;18 kW")),""))))</f>
        <v/>
      </c>
      <c r="S11" s="68">
        <f>IF(F11="风冷式单冷型多联机","SEER",IF(F11="风冷式热泵型多联机","APF",IF(F11="水冷式多联机",IF(G11="","",IF(G11="水环式","IPLV(C)","EER")),IF(F11="低温多联机","HSPF",""))))</f>
        <v/>
      </c>
      <c r="T11" s="227" t="n"/>
      <c r="U11" s="227" t="n"/>
      <c r="V11" s="227" t="n"/>
      <c r="W11" s="227" t="n"/>
      <c r="X11" s="227" t="n"/>
      <c r="Y11" s="227" t="n"/>
      <c r="Z11" s="227" t="n"/>
      <c r="AA11" s="227" t="n"/>
      <c r="AB11" s="81" t="n"/>
      <c r="AC11" s="180" t="n"/>
      <c r="AD11" s="180" t="n"/>
      <c r="AE11" s="99">
        <f>IF(COUNTA(B11,C11,D11,E11,F11,G11,H11,I11,J11,K11,M11,N11,O11,P11,AC11,AD11)&gt;0,TEXTJOIN("；",TRUE,IF(B11="","缺少设备名称",""),IF(AND(ISTEXT(B11),OR(B11&lt;&gt;TRIM(B11),ISNUMBER(SEARCH("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",C11)))),"型号含首尾空格或全角空格",""),IF(D11="","缺少数量",""),IF(D11="","",IF(NOT(ISNUMBER(D11)),"数量应为数值",IF(OR(D11&lt;=0,MOD(D11,1)&lt;&gt;0),"数量应为正整数",""))),IF(AND(ISTEXT(E11),OR(E11&lt;&gt;TRIM(E11),ISNUMBER(SEARCH("　",E11)))),"安装位置含首尾空格或全角空格",""),IF(F11="","缺少设备类别",""),IF(F11="","",IF(COUNTIF(EV_MULTI_CATEGORY,F11)=0,"设备类别不在标准枚举中","")),IF(AND(ISTEXT(F11),OR(F11&lt;&gt;TRIM(F11),ISNUMBER(SEARCH("　",F11)))),"设备类别含首尾空格或全角空格",""),IF(G11="","",IF(COUNTIF(EV_WATER_SOURCE,G11)=0,"水冷式类型不在标准枚举中","")),IF(AND(ISTEXT(G11),OR(G11&lt;&gt;TRIM(G11),ISNUMBER(SEARCH("　",G11)))),"水冷式类型含首尾空格或全角空格",""),IF(H11="","",IF(NOT(ISNUMBER(H11)),"名义制冷量应为数值",IF(H11&lt;=0,"名义制冷量应大于0",""))),IF(I11="","",IF(NOT(ISNUMBER(I11)),"名义制热量应为数值",IF(I11&lt;=0,"名义制热量应大于0",""))),IF(J11="","缺少额定功率",""),IF(J11="","",IF(NOT(ISNUMBER(J11)),"额定功率应为数值",IF(J11&lt;=0,"额定功率应大于0",""))),IF(K11="","缺少机外静压",""),IF(K11="","",IF(NOT(ISNUMBER(K11)),"机外静压应为数值",IF(K11&lt;0,"机外静压不得为负数",""))),IF(M11="","缺少分级指标设计值",""),IF(M11="","",IF(NOT(ISNUMBER(M11)),"分级指标设计值应为数值",IF(M11&lt;=0,"分级指标设计值应大于0",""))),IF(N11="","",IF(NOT(ISNUMBER(N11)),"EER设计值（用于EERmin校核）应为数值",IF(N11&lt;=0,"EER设计值（用于EERmin校核）应大于0",""))),IF(O11="","",IF(NOT(ISNUMBER(O11)),"COP(-12℃)设计值应为数值",IF(O11&lt;=0,"COP(-12℃)设计值应大于0",""))),IF(P11="","",IF(NOT(ISNUMBER(P11)),"COP(-20℃)设计值应为数值",IF(P11&lt;=0,"COP(-20℃)设计值应大于0",""))),IF(AC11="","缺少铭牌照片",""),IF(AND(ISTEXT(AD11),OR(AD11&lt;&gt;TRIM(AD11),ISNUMBER(SEARCH("　",AD11)))),"填表备注含首尾空格或全角空格",""),IF(AND(F11="水冷式多联机",OR(G11="",G11="不适用")),"水冷式多联机缺少水冷式类型",""),IF(AND(F11&lt;&gt;"水冷式多联机",G11&lt;&gt;"",G11&lt;&gt;"不适用"),"当前类别不应填写水冷式类型",""),IF(AND(F11="低温多联机",I11=""),"低温多联机缺少名义制热量",""),IF(AND(F11&lt;&gt;"低温多联机",H11=""),"当前类别缺少名义制冷量",""),IF(AND(L11&lt;&gt;"",M11=""),"缺少分级指标设计值",""),IF(AND(OR(F11="风冷式单冷型多联机",F11="风冷式热泵型多联机"),ISNUMBER(H11),H11&lt;=14,N11=""),"制冷量≤14kW的风冷式多联机缺少EER设计值",""),IF(AND(NOT(AND(OR(F11="风冷式单冷型多联机",F11="风冷式热泵型多联机"),ISNUMBER(H11),H11&lt;=14)),N11&lt;&gt;""),"当前类别或容量不使用EERmin校核值",""),IF(AND(F11="低温多联机",O11=""),"低温多联机缺少COP(-12℃)设计值",""),IF(AND(F11="低温多联机",P11=""),"低温多联机缺少COP(-20℃)设计值",""),IF(AND(F11&lt;&gt;"低温多联机",OR(O11&lt;&gt;"",P11&lt;&gt;"")),"非低温多联机不使用低温COP校核值","")),"")</f>
        <v/>
      </c>
    </row>
    <row r="12" ht="42" customHeight="1" s="184">
      <c r="A12" s="224">
        <f>IF(COUNTA(B12,C12,D12,E12,F12,G12,H12,I12,J12,K12,M12,N12,O12,P12,AC12,AD12)&gt;0,ROW()-3,"")</f>
        <v/>
      </c>
      <c r="B12" s="176" t="n"/>
      <c r="C12" s="176" t="n"/>
      <c r="D12" s="228" t="n"/>
      <c r="E12" s="176" t="n"/>
      <c r="F12" s="218" t="n"/>
      <c r="G12" s="176" t="n"/>
      <c r="H12" s="229" t="n"/>
      <c r="I12" s="229" t="n"/>
      <c r="J12" s="229" t="n"/>
      <c r="K12" s="229" t="n"/>
      <c r="L12" s="115">
        <f>IF(F12="风冷式单冷型多联机","SEER",IF(F12="风冷式热泵型多联机","APF",IF(F12="水冷式多联机",IF(G12="","",IF(G12="水环式","IPLV(C)","EER")),IF(F12="低温多联机","HSPF",""))))</f>
        <v/>
      </c>
      <c r="M12" s="229" t="n"/>
      <c r="N12" s="229" t="n"/>
      <c r="O12" s="229" t="n"/>
      <c r="P12" s="229" t="n"/>
      <c r="Q12" s="115">
        <f>IF(F12="风冷式单冷型多联机","表1",IF(F12="风冷式热泵型多联机","表2",IF(F12="水冷式多联机","表3",IF(F12="低温多联机","表4",""))))</f>
        <v/>
      </c>
      <c r="R12" s="115">
        <f>IF(F12="","",IF(OR(F12="风冷式单冷型多联机",F12="风冷式热泵型多联机"),IF(H12="","",IF(H12&lt;=14,"≤14 kW",IF(H12&lt;=28,"14～28 kW",IF(H12&lt;=50,"28～50 kW",IF(H12&lt;=68,"50～68 kW","&gt;68 kW"))))),IF(F12="水冷式多联机",IF(G12="水环式",IF(H12="","",IF(H12&lt;=28,"≤28 kW","&gt;28 kW")),"不分容量档"),IF(F12="低温多联机",IF(I12="","",IF(I12&lt;=18,"≤18 kW","&gt;18 kW")),""))))</f>
        <v/>
      </c>
      <c r="S12" s="68">
        <f>IF(F12="风冷式单冷型多联机","SEER",IF(F12="风冷式热泵型多联机","APF",IF(F12="水冷式多联机",IF(G12="","",IF(G12="水环式","IPLV(C)","EER")),IF(F12="低温多联机","HSPF",""))))</f>
        <v/>
      </c>
      <c r="T12" s="227" t="n"/>
      <c r="U12" s="227" t="n"/>
      <c r="V12" s="227" t="n"/>
      <c r="W12" s="227" t="n"/>
      <c r="X12" s="227" t="n"/>
      <c r="Y12" s="227" t="n"/>
      <c r="Z12" s="227" t="n"/>
      <c r="AA12" s="227" t="n"/>
      <c r="AB12" s="81" t="n"/>
      <c r="AC12" s="180" t="n"/>
      <c r="AD12" s="180" t="n"/>
      <c r="AE12" s="99">
        <f>IF(COUNTA(B12,C12,D12,E12,F12,G12,H12,I12,J12,K12,M12,N12,O12,P12,AC12,AD12)&gt;0,TEXTJOIN("；",TRUE,IF(B12="","缺少设备名称",""),IF(AND(ISTEXT(B12),OR(B12&lt;&gt;TRIM(B12),ISNUMBER(SEARCH("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",C12)))),"型号含首尾空格或全角空格",""),IF(D12="","缺少数量",""),IF(D12="","",IF(NOT(ISNUMBER(D12)),"数量应为数值",IF(OR(D12&lt;=0,MOD(D12,1)&lt;&gt;0),"数量应为正整数",""))),IF(AND(ISTEXT(E12),OR(E12&lt;&gt;TRIM(E12),ISNUMBER(SEARCH("　",E12)))),"安装位置含首尾空格或全角空格",""),IF(F12="","缺少设备类别",""),IF(F12="","",IF(COUNTIF(EV_MULTI_CATEGORY,F12)=0,"设备类别不在标准枚举中","")),IF(AND(ISTEXT(F12),OR(F12&lt;&gt;TRIM(F12),ISNUMBER(SEARCH("　",F12)))),"设备类别含首尾空格或全角空格",""),IF(G12="","",IF(COUNTIF(EV_WATER_SOURCE,G12)=0,"水冷式类型不在标准枚举中","")),IF(AND(ISTEXT(G12),OR(G12&lt;&gt;TRIM(G12),ISNUMBER(SEARCH("　",G12)))),"水冷式类型含首尾空格或全角空格",""),IF(H12="","",IF(NOT(ISNUMBER(H12)),"名义制冷量应为数值",IF(H12&lt;=0,"名义制冷量应大于0",""))),IF(I12="","",IF(NOT(ISNUMBER(I12)),"名义制热量应为数值",IF(I12&lt;=0,"名义制热量应大于0",""))),IF(J12="","缺少额定功率",""),IF(J12="","",IF(NOT(ISNUMBER(J12)),"额定功率应为数值",IF(J12&lt;=0,"额定功率应大于0",""))),IF(K12="","缺少机外静压",""),IF(K12="","",IF(NOT(ISNUMBER(K12)),"机外静压应为数值",IF(K12&lt;0,"机外静压不得为负数",""))),IF(M12="","缺少分级指标设计值",""),IF(M12="","",IF(NOT(ISNUMBER(M12)),"分级指标设计值应为数值",IF(M12&lt;=0,"分级指标设计值应大于0",""))),IF(N12="","",IF(NOT(ISNUMBER(N12)),"EER设计值（用于EERmin校核）应为数值",IF(N12&lt;=0,"EER设计值（用于EERmin校核）应大于0",""))),IF(O12="","",IF(NOT(ISNUMBER(O12)),"COP(-12℃)设计值应为数值",IF(O12&lt;=0,"COP(-12℃)设计值应大于0",""))),IF(P12="","",IF(NOT(ISNUMBER(P12)),"COP(-20℃)设计值应为数值",IF(P12&lt;=0,"COP(-20℃)设计值应大于0",""))),IF(AC12="","缺少铭牌照片",""),IF(AND(ISTEXT(AD12),OR(AD12&lt;&gt;TRIM(AD12),ISNUMBER(SEARCH("　",AD12)))),"填表备注含首尾空格或全角空格",""),IF(AND(F12="水冷式多联机",OR(G12="",G12="不适用")),"水冷式多联机缺少水冷式类型",""),IF(AND(F12&lt;&gt;"水冷式多联机",G12&lt;&gt;"",G12&lt;&gt;"不适用"),"当前类别不应填写水冷式类型",""),IF(AND(F12="低温多联机",I12=""),"低温多联机缺少名义制热量",""),IF(AND(F12&lt;&gt;"低温多联机",H12=""),"当前类别缺少名义制冷量",""),IF(AND(L12&lt;&gt;"",M12=""),"缺少分级指标设计值",""),IF(AND(OR(F12="风冷式单冷型多联机",F12="风冷式热泵型多联机"),ISNUMBER(H12),H12&lt;=14,N12=""),"制冷量≤14kW的风冷式多联机缺少EER设计值",""),IF(AND(NOT(AND(OR(F12="风冷式单冷型多联机",F12="风冷式热泵型多联机"),ISNUMBER(H12),H12&lt;=14)),N12&lt;&gt;""),"当前类别或容量不使用EERmin校核值",""),IF(AND(F12="低温多联机",O12=""),"低温多联机缺少COP(-12℃)设计值",""),IF(AND(F12="低温多联机",P12=""),"低温多联机缺少COP(-20℃)设计值",""),IF(AND(F12&lt;&gt;"低温多联机",OR(O12&lt;&gt;"",P12&lt;&gt;"")),"非低温多联机不使用低温COP校核值","")),"")</f>
        <v/>
      </c>
    </row>
    <row r="13" ht="42" customHeight="1" s="184">
      <c r="A13" s="224">
        <f>IF(COUNTA(B13,C13,D13,E13,F13,G13,H13,I13,J13,K13,M13,N13,O13,P13,AC13,AD13)&gt;0,ROW()-3,"")</f>
        <v/>
      </c>
      <c r="B13" s="176" t="n"/>
      <c r="C13" s="176" t="n"/>
      <c r="D13" s="228" t="n"/>
      <c r="E13" s="176" t="n"/>
      <c r="F13" s="218" t="n"/>
      <c r="G13" s="176" t="n"/>
      <c r="H13" s="229" t="n"/>
      <c r="I13" s="229" t="n"/>
      <c r="J13" s="229" t="n"/>
      <c r="K13" s="229" t="n"/>
      <c r="L13" s="115">
        <f>IF(F13="风冷式单冷型多联机","SEER",IF(F13="风冷式热泵型多联机","APF",IF(F13="水冷式多联机",IF(G13="","",IF(G13="水环式","IPLV(C)","EER")),IF(F13="低温多联机","HSPF",""))))</f>
        <v/>
      </c>
      <c r="M13" s="229" t="n"/>
      <c r="N13" s="229" t="n"/>
      <c r="O13" s="229" t="n"/>
      <c r="P13" s="229" t="n"/>
      <c r="Q13" s="115">
        <f>IF(F13="风冷式单冷型多联机","表1",IF(F13="风冷式热泵型多联机","表2",IF(F13="水冷式多联机","表3",IF(F13="低温多联机","表4",""))))</f>
        <v/>
      </c>
      <c r="R13" s="115">
        <f>IF(F13="","",IF(OR(F13="风冷式单冷型多联机",F13="风冷式热泵型多联机"),IF(H13="","",IF(H13&lt;=14,"≤14 kW",IF(H13&lt;=28,"14～28 kW",IF(H13&lt;=50,"28～50 kW",IF(H13&lt;=68,"50～68 kW","&gt;68 kW"))))),IF(F13="水冷式多联机",IF(G13="水环式",IF(H13="","",IF(H13&lt;=28,"≤28 kW","&gt;28 kW")),"不分容量档"),IF(F13="低温多联机",IF(I13="","",IF(I13&lt;=18,"≤18 kW","&gt;18 kW")),""))))</f>
        <v/>
      </c>
      <c r="S13" s="68">
        <f>IF(F13="风冷式单冷型多联机","SEER",IF(F13="风冷式热泵型多联机","APF",IF(F13="水冷式多联机",IF(G13="","",IF(G13="水环式","IPLV(C)","EER")),IF(F13="低温多联机","HSPF",""))))</f>
        <v/>
      </c>
      <c r="T13" s="227" t="n"/>
      <c r="U13" s="227" t="n"/>
      <c r="V13" s="227" t="n"/>
      <c r="W13" s="227" t="n"/>
      <c r="X13" s="227" t="n"/>
      <c r="Y13" s="227" t="n"/>
      <c r="Z13" s="227" t="n"/>
      <c r="AA13" s="227" t="n"/>
      <c r="AB13" s="81" t="n"/>
      <c r="AC13" s="180" t="n"/>
      <c r="AD13" s="180" t="n"/>
      <c r="AE13" s="99">
        <f>IF(COUNTA(B13,C13,D13,E13,F13,G13,H13,I13,J13,K13,M13,N13,O13,P13,AC13,AD13)&gt;0,TEXTJOIN("；",TRUE,IF(B13="","缺少设备名称",""),IF(AND(ISTEXT(B13),OR(B13&lt;&gt;TRIM(B13),ISNUMBER(SEARCH("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",C13)))),"型号含首尾空格或全角空格",""),IF(D13="","缺少数量",""),IF(D13="","",IF(NOT(ISNUMBER(D13)),"数量应为数值",IF(OR(D13&lt;=0,MOD(D13,1)&lt;&gt;0),"数量应为正整数",""))),IF(AND(ISTEXT(E13),OR(E13&lt;&gt;TRIM(E13),ISNUMBER(SEARCH("　",E13)))),"安装位置含首尾空格或全角空格",""),IF(F13="","缺少设备类别",""),IF(F13="","",IF(COUNTIF(EV_MULTI_CATEGORY,F13)=0,"设备类别不在标准枚举中","")),IF(AND(ISTEXT(F13),OR(F13&lt;&gt;TRIM(F13),ISNUMBER(SEARCH("　",F13)))),"设备类别含首尾空格或全角空格",""),IF(G13="","",IF(COUNTIF(EV_WATER_SOURCE,G13)=0,"水冷式类型不在标准枚举中","")),IF(AND(ISTEXT(G13),OR(G13&lt;&gt;TRIM(G13),ISNUMBER(SEARCH("　",G13)))),"水冷式类型含首尾空格或全角空格",""),IF(H13="","",IF(NOT(ISNUMBER(H13)),"名义制冷量应为数值",IF(H13&lt;=0,"名义制冷量应大于0",""))),IF(I13="","",IF(NOT(ISNUMBER(I13)),"名义制热量应为数值",IF(I13&lt;=0,"名义制热量应大于0",""))),IF(J13="","缺少额定功率",""),IF(J13="","",IF(NOT(ISNUMBER(J13)),"额定功率应为数值",IF(J13&lt;=0,"额定功率应大于0",""))),IF(K13="","缺少机外静压",""),IF(K13="","",IF(NOT(ISNUMBER(K13)),"机外静压应为数值",IF(K13&lt;0,"机外静压不得为负数",""))),IF(M13="","缺少分级指标设计值",""),IF(M13="","",IF(NOT(ISNUMBER(M13)),"分级指标设计值应为数值",IF(M13&lt;=0,"分级指标设计值应大于0",""))),IF(N13="","",IF(NOT(ISNUMBER(N13)),"EER设计值（用于EERmin校核）应为数值",IF(N13&lt;=0,"EER设计值（用于EERmin校核）应大于0",""))),IF(O13="","",IF(NOT(ISNUMBER(O13)),"COP(-12℃)设计值应为数值",IF(O13&lt;=0,"COP(-12℃)设计值应大于0",""))),IF(P13="","",IF(NOT(ISNUMBER(P13)),"COP(-20℃)设计值应为数值",IF(P13&lt;=0,"COP(-20℃)设计值应大于0",""))),IF(AC13="","缺少铭牌照片",""),IF(AND(ISTEXT(AD13),OR(AD13&lt;&gt;TRIM(AD13),ISNUMBER(SEARCH("　",AD13)))),"填表备注含首尾空格或全角空格",""),IF(AND(F13="水冷式多联机",OR(G13="",G13="不适用")),"水冷式多联机缺少水冷式类型",""),IF(AND(F13&lt;&gt;"水冷式多联机",G13&lt;&gt;"",G13&lt;&gt;"不适用"),"当前类别不应填写水冷式类型",""),IF(AND(F13="低温多联机",I13=""),"低温多联机缺少名义制热量",""),IF(AND(F13&lt;&gt;"低温多联机",H13=""),"当前类别缺少名义制冷量",""),IF(AND(L13&lt;&gt;"",M13=""),"缺少分级指标设计值",""),IF(AND(OR(F13="风冷式单冷型多联机",F13="风冷式热泵型多联机"),ISNUMBER(H13),H13&lt;=14,N13=""),"制冷量≤14kW的风冷式多联机缺少EER设计值",""),IF(AND(NOT(AND(OR(F13="风冷式单冷型多联机",F13="风冷式热泵型多联机"),ISNUMBER(H13),H13&lt;=14)),N13&lt;&gt;""),"当前类别或容量不使用EERmin校核值",""),IF(AND(F13="低温多联机",O13=""),"低温多联机缺少COP(-12℃)设计值",""),IF(AND(F13="低温多联机",P13=""),"低温多联机缺少COP(-20℃)设计值",""),IF(AND(F13&lt;&gt;"低温多联机",OR(O13&lt;&gt;"",P13&lt;&gt;"")),"非低温多联机不使用低温COP校核值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8">
    <mergeCell ref="Q2:R2"/>
    <mergeCell ref="AB1:AC1"/>
    <mergeCell ref="F2:P2"/>
    <mergeCell ref="A2:E2"/>
    <mergeCell ref="AD1:AE1"/>
    <mergeCell ref="AC2:AE2"/>
    <mergeCell ref="A1:AA1"/>
    <mergeCell ref="S2:AA2"/>
  </mergeCells>
  <dataValidations count="11">
    <dataValidation sqref="D4:D13" showDropDown="0" showInputMessage="0" showErrorMessage="1" allowBlank="1" type="whole" errorStyle="stop" operator="greaterThan">
      <formula1>0</formula1>
    </dataValidation>
    <dataValidation sqref="F4:F13" showDropDown="0" showInputMessage="0" showErrorMessage="1" allowBlank="1" type="list" errorStyle="stop">
      <formula1>EV_MULTI_CATEGORY</formula1>
    </dataValidation>
    <dataValidation sqref="G4:G13" showDropDown="0" showInputMessage="0" showErrorMessage="1" allowBlank="1" type="list" errorStyle="stop">
      <formula1>INDIRECT(IF(F4="水冷式多联机","EV_MULTI_WATER","EV_MULTI_NA"))</formula1>
    </dataValidation>
    <dataValidation sqref="H4:H13" showDropDown="0" showInputMessage="0" showErrorMessage="1" allowBlank="1" type="decimal" errorStyle="stop" operator="greaterThan">
      <formula1>0</formula1>
    </dataValidation>
    <dataValidation sqref="I4:I13" showDropDown="0" showInputMessage="0" showErrorMessage="1" allowBlank="1" type="decimal" errorStyle="stop" operator="greaterThan">
      <formula1>0</formula1>
    </dataValidation>
    <dataValidation sqref="J4:J13" showDropDown="0" showInputMessage="0" showErrorMessage="1" allowBlank="1" type="decimal" errorStyle="stop" operator="greaterThan">
      <formula1>0</formula1>
    </dataValidation>
    <dataValidation sqref="K4:K13" showDropDown="0" showInputMessage="0" showErrorMessage="1" allowBlank="1" type="decimal" errorStyle="stop" operator="greaterThanOrEqual">
      <formula1>0</formula1>
    </dataValidation>
    <dataValidation sqref="M4:M13" showDropDown="0" showInputMessage="0" showErrorMessage="1" allowBlank="1" type="decimal" errorStyle="stop" operator="greaterThan">
      <formula1>0</formula1>
    </dataValidation>
    <dataValidation sqref="N4:N13" showDropDown="0" showInputMessage="0" showErrorMessage="1" allowBlank="1" type="decimal" errorStyle="stop" operator="greaterThan">
      <formula1>0</formula1>
    </dataValidation>
    <dataValidation sqref="O4:O13" showDropDown="0" showInputMessage="0" showErrorMessage="1" allowBlank="1" type="decimal" errorStyle="stop" operator="greaterThan">
      <formula1>0</formula1>
    </dataValidation>
    <dataValidation sqref="P4:P13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6" customWidth="1" style="184" min="2" max="2"/>
    <col width="34" customWidth="1" style="184" min="3" max="3"/>
    <col width="16" customWidth="1" style="184" min="4" max="4"/>
    <col width="13" customWidth="1" style="184" min="5" max="5"/>
    <col width="13" customWidth="1" style="184" min="6" max="6"/>
    <col width="16" customWidth="1" style="184" min="7" max="7"/>
    <col width="48" customWidth="1" style="184" min="8" max="8"/>
    <col width="34" customWidth="1" style="184" min="9" max="9"/>
  </cols>
  <sheetData>
    <row r="1" ht="34" customHeight="1" s="184">
      <c r="A1" s="121" t="inlineStr">
        <is>
          <t>设备能效分析空白模板 - 填写说明</t>
        </is>
      </c>
    </row>
    <row r="3">
      <c r="A3" s="128" t="inlineStr">
        <is>
          <t>填写方法</t>
        </is>
      </c>
      <c r="B3" s="129" t="inlineStr">
        <is>
          <t>第4行起填写。电动机、离心泵、潜水电泵、离心通风机和轴流通风机预留100行，其余设备预留10行；表格末行可继续扩展。第二行统一为基础信息、设备参数、计算辅助结果、标准查询结果、结论、附件备注。</t>
        </is>
      </c>
      <c r="C3" s="222" t="n"/>
      <c r="D3" s="222" t="n"/>
      <c r="E3" s="223" t="n"/>
      <c r="G3" s="131" t="inlineStr">
        <is>
          <t>颜色图例（离心泵页）</t>
        </is>
      </c>
    </row>
    <row r="4">
      <c r="A4" s="128" t="inlineStr">
        <is>
          <t>百分数</t>
        </is>
      </c>
      <c r="B4" s="129" t="inlineStr">
        <is>
          <t>效率按百分数本值填写：98%填写98，不得填写0.98；一般效率允许1～100。</t>
        </is>
      </c>
      <c r="C4" s="222" t="n"/>
      <c r="D4" s="222" t="n"/>
      <c r="E4" s="223" t="n"/>
      <c r="G4" s="150" t="inlineStr">
        <is>
          <t>人工填写/选择</t>
        </is>
      </c>
      <c r="H4" s="151" t="inlineStr">
        <is>
          <t>浅绿色</t>
        </is>
      </c>
      <c r="I4" s="150" t="inlineStr">
        <is>
          <t>含下拉、铭牌照片和备注</t>
        </is>
      </c>
    </row>
    <row r="5">
      <c r="A5" s="128" t="inlineStr">
        <is>
          <t>锅炉例外</t>
        </is>
      </c>
      <c r="B5" s="129" t="inlineStr">
        <is>
          <t>锅炉类别已包含燃烧方式、冷凝和余热回收信息；燃料类别不再填写。燃气冷凝锅炉设计热效率允许1～110，其他类别为1～100。</t>
        </is>
      </c>
      <c r="C5" s="222" t="n"/>
      <c r="D5" s="222" t="n"/>
      <c r="E5" s="223" t="n"/>
      <c r="G5" s="150" t="inlineStr">
        <is>
          <t>计算/标准结果</t>
        </is>
      </c>
      <c r="H5" s="152" t="inlineStr">
        <is>
          <t>浅灰色</t>
        </is>
      </c>
      <c r="I5" s="150" t="inlineStr">
        <is>
          <t>计算辅助、标准查询及1～3级效率</t>
        </is>
      </c>
    </row>
    <row r="6">
      <c r="A6" s="128" t="inlineStr">
        <is>
          <t>图片要求</t>
        </is>
      </c>
      <c r="B6" s="129" t="inlineStr">
        <is>
          <t>铭牌照片必须使用桌面版Excel的“置于单元格”方式，不接受浮动图片。</t>
        </is>
      </c>
      <c r="C6" s="222" t="n"/>
      <c r="D6" s="222" t="n"/>
      <c r="E6" s="223" t="n"/>
      <c r="G6" s="150" t="inlineStr">
        <is>
          <t>最终能效等级</t>
        </is>
      </c>
      <c r="H6" s="153" t="inlineStr">
        <is>
          <t>蓝色</t>
        </is>
      </c>
      <c r="I6" s="150" t="inlineStr">
        <is>
          <t>公式生成</t>
        </is>
      </c>
    </row>
    <row r="7">
      <c r="A7" s="128" t="inlineStr">
        <is>
          <t>自动备注</t>
        </is>
      </c>
      <c r="B7" s="129" t="inlineStr">
        <is>
          <t>离心泵页自动备注统一使用“无法判定”“不适用”“资料待完善”三类提示，不改写原始输入；泵输出功率/额定功率低于0.5时提示“额定功率过高”，高于0.8时提示“额定功率过低”。</t>
        </is>
      </c>
      <c r="C7" s="222" t="n"/>
      <c r="D7" s="222" t="n"/>
      <c r="E7" s="223" t="n"/>
      <c r="G7" s="150" t="inlineStr">
        <is>
          <t>自动备注</t>
        </is>
      </c>
      <c r="H7" s="154" t="inlineStr">
        <is>
          <t>浅红色</t>
        </is>
      </c>
      <c r="I7" s="150" t="inlineStr">
        <is>
          <t>公式生成</t>
        </is>
      </c>
    </row>
    <row r="8">
      <c r="A8" s="128" t="inlineStr">
        <is>
          <t>锁定内容</t>
        </is>
      </c>
      <c r="B8" s="129" t="inlineStr">
        <is>
          <t>序号、表头、计算辅助、标准结果、最终能效等级、自动备注和配置均锁定；保护无密码。离心泵的部分单双吸/级数由设备类别自动带出，并通过数据验证限制不符合类别的输入。</t>
        </is>
      </c>
      <c r="C8" s="222" t="n"/>
      <c r="D8" s="222" t="n"/>
      <c r="E8" s="223" t="n"/>
      <c r="G8" s="150" t="n"/>
      <c r="H8" s="155" t="n"/>
      <c r="I8" s="150" t="n"/>
    </row>
    <row r="9">
      <c r="A9" s="128" t="inlineStr">
        <is>
          <t>本版边界</t>
        </is>
      </c>
      <c r="B9" s="129" t="inlineStr">
        <is>
          <t>离心泵页已实现GB 19762-2025计算与能效判定；超出对应泵型流量范围，或石油化工离心泵Q≤5、比转数ns超出20～300时，结论显示“不适用”；设备类别为“其他（请备注说明）”时显示“无法判定”。</t>
        </is>
      </c>
      <c r="C9" s="222" t="n"/>
      <c r="D9" s="222" t="n"/>
      <c r="E9" s="223" t="n"/>
    </row>
    <row r="10">
      <c r="A10" t="inlineStr">
        <is>
          <t>离心泵口径</t>
        </is>
      </c>
      <c r="B10" t="inlineStr">
        <is>
          <t>离心泵用于GB 19762-2025判级时，流量、扬程、转速和泵效率按标准规定点（全/最大叶轮直径、设计基型转速下最高效率点）参数填写；双吸泵比转数自动取1/2流量，多级泵按单级扬程计算。</t>
        </is>
      </c>
    </row>
    <row r="11">
      <c r="A11" s="158" t="inlineStr">
        <is>
          <t>本模板采用的能效及评价标准目录</t>
        </is>
      </c>
    </row>
    <row r="12">
      <c r="A12" s="150" t="inlineStr">
        <is>
          <t>对应sheet</t>
        </is>
      </c>
      <c r="B12" s="150" t="inlineStr">
        <is>
          <t>标准编号</t>
        </is>
      </c>
      <c r="C12" s="150" t="inlineStr">
        <is>
          <t>标准名称</t>
        </is>
      </c>
      <c r="D12" s="150" t="inlineStr">
        <is>
          <t>标准属性</t>
        </is>
      </c>
      <c r="E12" s="150" t="inlineStr">
        <is>
          <t>发布日期</t>
        </is>
      </c>
      <c r="F12" s="150" t="inlineStr">
        <is>
          <t>实施日期</t>
        </is>
      </c>
      <c r="G12" s="150" t="inlineStr">
        <is>
          <t>当前状态</t>
        </is>
      </c>
      <c r="H12" s="150" t="inlineStr">
        <is>
          <t>适用范围摘要</t>
        </is>
      </c>
      <c r="I12" s="150" t="inlineStr">
        <is>
          <t>备注</t>
        </is>
      </c>
    </row>
    <row r="13" ht="48" customHeight="1" s="184">
      <c r="A13" s="150" t="inlineStr">
        <is>
          <t>变压器</t>
        </is>
      </c>
      <c r="B13" s="150" t="inlineStr">
        <is>
          <t>GB 20052-2024</t>
        </is>
      </c>
      <c r="C13" s="150" t="inlineStr">
        <is>
          <t>电力变压器能效限定值及能效等级</t>
        </is>
      </c>
      <c r="D13" s="150" t="inlineStr">
        <is>
          <t>强制性国家标准</t>
        </is>
      </c>
      <c r="E13" s="238" t="n">
        <v>45411</v>
      </c>
      <c r="F13" s="238" t="n">
        <v>45689</v>
      </c>
      <c r="G13" s="150" t="inlineStr">
        <is>
          <t>现行</t>
        </is>
      </c>
      <c r="H13" s="150" t="inlineStr">
        <is>
          <t>标准规定范围内的油浸式、干式电力变压器及新能源发电侧变压器；不含充气式、塔筒和机舱变压器。</t>
        </is>
      </c>
      <c r="I13" s="150" t="inlineStr">
        <is>
          <t>原文：1. GB 20052-2024…pdf</t>
        </is>
      </c>
    </row>
    <row r="14" ht="48" customHeight="1" s="184">
      <c r="A14" s="150" t="inlineStr">
        <is>
          <t>电动机</t>
        </is>
      </c>
      <c r="B14" s="150" t="inlineStr">
        <is>
          <t>GB 18613-2020</t>
        </is>
      </c>
      <c r="C14" s="150" t="inlineStr">
        <is>
          <t>电动机能效限定值及能效等级</t>
        </is>
      </c>
      <c r="D14" s="150" t="inlineStr">
        <is>
          <t>强制性国家标准</t>
        </is>
      </c>
      <c r="E14" s="238" t="n">
        <v>43980</v>
      </c>
      <c r="F14" s="238" t="n">
        <v>44348</v>
      </c>
      <c r="G14" s="150" t="inlineStr">
        <is>
          <t>现行</t>
        </is>
      </c>
      <c r="H14" s="150" t="inlineStr">
        <is>
          <t>额定电压1000V以下的标准范围内三相异步电动机及空调器风扇用小功率电动机。</t>
        </is>
      </c>
      <c r="I14" s="150" t="inlineStr">
        <is>
          <t>原文：2. GB 18613-2020…pdf</t>
        </is>
      </c>
    </row>
    <row r="15" ht="48" customHeight="1" s="184">
      <c r="A15" s="150" t="inlineStr">
        <is>
          <t>电动机</t>
        </is>
      </c>
      <c r="B15" s="150" t="inlineStr">
        <is>
          <t>GB 30254-2024</t>
        </is>
      </c>
      <c r="C15" s="150" t="inlineStr">
        <is>
          <t>高压三相笼型异步电动机能效限定值及能效等级</t>
        </is>
      </c>
      <c r="D15" s="150" t="inlineStr">
        <is>
          <t>强制性国家标准</t>
        </is>
      </c>
      <c r="E15" s="238" t="n">
        <v>45527</v>
      </c>
      <c r="F15" s="238" t="n">
        <v>45901</v>
      </c>
      <c r="G15" s="150" t="inlineStr">
        <is>
          <t>现行</t>
        </is>
      </c>
      <c r="H15" s="150" t="inlineStr">
        <is>
          <t>50Hz、连续工作制的立式、卧式及防爆型高压三相笼型异步电动机，按电压、冷却方式和功率范围分类。</t>
        </is>
      </c>
      <c r="I15" s="150" t="inlineStr">
        <is>
          <t>原文：3. GB 30254-2024…pdf</t>
        </is>
      </c>
    </row>
    <row r="16" ht="48" customHeight="1" s="184">
      <c r="A16" s="150" t="inlineStr">
        <is>
          <t>电动机</t>
        </is>
      </c>
      <c r="B16" s="150" t="inlineStr">
        <is>
          <t>GB 30253-2024</t>
        </is>
      </c>
      <c r="C16" s="150" t="inlineStr">
        <is>
          <t>永磁同步电动机能效限定值及能效等级</t>
        </is>
      </c>
      <c r="D16" s="150" t="inlineStr">
        <is>
          <t>强制性国家标准</t>
        </is>
      </c>
      <c r="E16" s="238" t="n">
        <v>45564</v>
      </c>
      <c r="F16" s="238" t="n">
        <v>45931</v>
      </c>
      <c r="G16" s="150" t="inlineStr">
        <is>
          <t>现行</t>
        </is>
      </c>
      <c r="H16" s="150" t="inlineStr">
        <is>
          <t>连续工作制的一般用途或防爆用途永磁同步电动机，含异步起动、变频调速和电梯用产品。</t>
        </is>
      </c>
      <c r="I16" s="150" t="inlineStr">
        <is>
          <t>原文：4. GB 30253-2024…pdf</t>
        </is>
      </c>
    </row>
    <row r="17" ht="48" customHeight="1" s="184">
      <c r="A17" s="150" t="inlineStr">
        <is>
          <t>空压机</t>
        </is>
      </c>
      <c r="B17" s="150" t="inlineStr">
        <is>
          <t>GB 19153-2019</t>
        </is>
      </c>
      <c r="C17" s="150" t="inlineStr">
        <is>
          <t>容积式空气压缩机能效限定值及能效等级</t>
        </is>
      </c>
      <c r="D17" s="150" t="inlineStr">
        <is>
          <t>强制性国家标准</t>
        </is>
      </c>
      <c r="E17" s="238" t="n">
        <v>43830</v>
      </c>
      <c r="F17" s="238" t="n">
        <v>44013</v>
      </c>
      <c r="G17" s="150" t="inlineStr">
        <is>
          <t>现行</t>
        </is>
      </c>
      <c r="H17" s="150" t="inlineStr">
        <is>
          <t>标准规定型式、压力和功率范围内的一般用喷油回转、变转速、往复活塞及全无油润滑容积式空气压缩机。</t>
        </is>
      </c>
      <c r="I17" s="150" t="inlineStr">
        <is>
          <t>原文：5. GB 19153-2019…pdf</t>
        </is>
      </c>
    </row>
    <row r="18" ht="48" customHeight="1" s="184">
      <c r="A18" s="150" t="inlineStr">
        <is>
          <t>离心泵</t>
        </is>
      </c>
      <c r="B18" s="150" t="inlineStr">
        <is>
          <t>GB 19762-2025</t>
        </is>
      </c>
      <c r="C18" s="150" t="inlineStr">
        <is>
          <t>离心泵能效限定值及能效等级</t>
        </is>
      </c>
      <c r="D18" s="150" t="inlineStr">
        <is>
          <t>强制性国家标准</t>
        </is>
      </c>
      <c r="E18" s="238" t="n">
        <v>45716</v>
      </c>
      <c r="F18" s="238" t="n">
        <v>46082</v>
      </c>
      <c r="G18" s="150" t="inlineStr">
        <is>
          <t>现行</t>
        </is>
      </c>
      <c r="H18" s="150" t="inlineStr">
        <is>
          <t>清水离心泵和石油化工离心泵；不适用于非金属离心泵和无轴封回转动力泵。</t>
        </is>
      </c>
      <c r="I18" s="150" t="inlineStr">
        <is>
          <t>清水泵与石油化工泵合并</t>
        </is>
      </c>
    </row>
    <row r="19" ht="48" customHeight="1" s="184">
      <c r="A19" s="150" t="inlineStr">
        <is>
          <t>离心通风机；轴流通风机</t>
        </is>
      </c>
      <c r="B19" s="150" t="inlineStr">
        <is>
          <t>GB 19761-2020</t>
        </is>
      </c>
      <c r="C19" s="150" t="inlineStr">
        <is>
          <t>通风机能效限定值及能效等级</t>
        </is>
      </c>
      <c r="D19" s="150" t="inlineStr">
        <is>
          <t>强制性国家标准</t>
        </is>
      </c>
      <c r="E19" s="238" t="n">
        <v>43980</v>
      </c>
      <c r="F19" s="238" t="n">
        <v>44348</v>
      </c>
      <c r="G19" s="150" t="inlineStr">
        <is>
          <t>现行</t>
        </is>
      </c>
      <c r="H19" s="150" t="inlineStr">
        <is>
          <t>一般用途离心、轴流及外转子直联前向多翼离心通风机；标准列明的专用风机除外。</t>
        </is>
      </c>
      <c r="I19" s="150" t="inlineStr">
        <is>
          <t>按参数体系拆分为两个sheet</t>
        </is>
      </c>
    </row>
    <row r="20" ht="48" customHeight="1" s="184">
      <c r="A20" s="150" t="inlineStr">
        <is>
          <t>鼓风机</t>
        </is>
      </c>
      <c r="B20" s="150" t="inlineStr">
        <is>
          <t>GB 28381-2012</t>
        </is>
      </c>
      <c r="C20" s="150" t="inlineStr">
        <is>
          <t>离心鼓风机能效限定值及节能评价值</t>
        </is>
      </c>
      <c r="D20" s="150" t="inlineStr">
        <is>
          <t>强制性国家标准</t>
        </is>
      </c>
      <c r="E20" s="238" t="n">
        <v>41040</v>
      </c>
      <c r="F20" s="238" t="n">
        <v>41153</v>
      </c>
      <c r="G20" s="150" t="inlineStr">
        <is>
          <t>现行/本版启用</t>
        </is>
      </c>
      <c r="H20" s="150" t="inlineStr">
        <is>
          <t>单级双支撑低速、多级低速、单级双支撑高速和多级高速离心鼓风机。</t>
        </is>
      </c>
      <c r="I20" s="150" t="inlineStr">
        <is>
          <t>本版采用两档评价口径</t>
        </is>
      </c>
    </row>
    <row r="21" ht="48" customHeight="1" s="184">
      <c r="A21" s="150" t="inlineStr">
        <is>
          <t>潜水电泵</t>
        </is>
      </c>
      <c r="B21" s="150" t="inlineStr">
        <is>
          <t>GB 32030-2022</t>
        </is>
      </c>
      <c r="C21" s="150" t="inlineStr">
        <is>
          <t>潜水电泵能效限定值及能效等级</t>
        </is>
      </c>
      <c r="D21" s="150" t="inlineStr">
        <is>
          <t>强制性国家标准</t>
        </is>
      </c>
      <c r="E21" s="238" t="n">
        <v>44924</v>
      </c>
      <c r="F21" s="238" t="n">
        <v>45292</v>
      </c>
      <c r="G21" s="150" t="inlineStr">
        <is>
          <t>现行</t>
        </is>
      </c>
      <c r="H21" s="150" t="inlineStr">
        <is>
          <t>标准覆盖的小型和大中型潜水电泵产品，包括QDX、QD、QX、QY、QS、QXR、QXL等型式。</t>
        </is>
      </c>
      <c r="I21" s="150" t="inlineStr">
        <is>
          <t>原文：10. GB 32030-2022…pdf</t>
        </is>
      </c>
    </row>
    <row r="22" ht="48" customHeight="1" s="184">
      <c r="A22" s="150" t="inlineStr">
        <is>
          <t>工业锅炉</t>
        </is>
      </c>
      <c r="B22" s="150" t="inlineStr">
        <is>
          <t>GB 24500-2020</t>
        </is>
      </c>
      <c r="C22" s="150" t="inlineStr">
        <is>
          <t>工业锅炉能效限定值及能效等级</t>
        </is>
      </c>
      <c r="D22" s="150" t="inlineStr">
        <is>
          <t>强制性国家标准</t>
        </is>
      </c>
      <c r="E22" s="238" t="n">
        <v>43980</v>
      </c>
      <c r="F22" s="238" t="n">
        <v>44348</v>
      </c>
      <c r="G22" s="150" t="inlineStr">
        <is>
          <t>现行</t>
        </is>
      </c>
      <c r="H22" s="150" t="inlineStr">
        <is>
          <t>以煤、生物质、油、气等为燃料的标准范围内工业蒸汽锅炉和热水锅炉，按燃烧方式和燃料特性分类。</t>
        </is>
      </c>
      <c r="I22" s="150" t="inlineStr">
        <is>
          <t>原文：11. GB 24500-2020…pdf</t>
        </is>
      </c>
    </row>
    <row r="23" ht="48" customHeight="1" s="184">
      <c r="A23" s="150" t="inlineStr">
        <is>
          <t>热处理设备</t>
        </is>
      </c>
      <c r="B23" s="150" t="inlineStr">
        <is>
          <t>GB/T 36561-2018</t>
        </is>
      </c>
      <c r="C23" s="150" t="inlineStr">
        <is>
          <t>清洁节能热处理装备技术要求及评价体系</t>
        </is>
      </c>
      <c r="D23" s="150" t="inlineStr">
        <is>
          <t>推荐性国家标准</t>
        </is>
      </c>
      <c r="E23" s="238" t="n">
        <v>43294</v>
      </c>
      <c r="F23" s="238" t="n">
        <v>43497</v>
      </c>
      <c r="G23" s="150" t="inlineStr">
        <is>
          <t>现行</t>
        </is>
      </c>
      <c r="H23" s="150" t="inlineStr">
        <is>
          <t>清洁节能热处理装备的技术要求与一等、二等、三等评价体系，按标准炉型及能源类型分类。</t>
        </is>
      </c>
      <c r="I23" s="150" t="inlineStr">
        <is>
          <t>推荐性评价标准</t>
        </is>
      </c>
    </row>
    <row r="24" ht="48" customHeight="1" s="184">
      <c r="A24" s="150" t="inlineStr">
        <is>
          <t>热泵和冷水机组</t>
        </is>
      </c>
      <c r="B24" s="150" t="inlineStr">
        <is>
          <t>GB 19577-2024</t>
        </is>
      </c>
      <c r="C24" s="150" t="inlineStr">
        <is>
          <t>热泵和冷水机组能效限定值及能效等级</t>
        </is>
      </c>
      <c r="D24" s="150" t="inlineStr">
        <is>
          <t>强制性国家标准</t>
        </is>
      </c>
      <c r="E24" s="238" t="n">
        <v>45411</v>
      </c>
      <c r="F24" s="238" t="n">
        <v>45689</v>
      </c>
      <c r="G24" s="150" t="inlineStr">
        <is>
          <t>现行</t>
        </is>
      </c>
      <c r="H24" s="150" t="inlineStr">
        <is>
          <t>蒸气压缩冷水机组、低温空气源、水地源、吸收式、高温热泵、间接蒸发冷却及一体式机组等八类产品。</t>
        </is>
      </c>
      <c r="I24" s="150" t="inlineStr">
        <is>
          <t>原文：13. GB 19577-2024…pdf</t>
        </is>
      </c>
    </row>
    <row r="25" ht="48" customHeight="1" s="184">
      <c r="A25" s="150" t="inlineStr">
        <is>
          <t>热泵热水机</t>
        </is>
      </c>
      <c r="B25" s="150" t="inlineStr">
        <is>
          <t>GB 29541-2013</t>
        </is>
      </c>
      <c r="C25" s="150" t="inlineStr">
        <is>
          <t>热泵热水机（器）能效限定值及能效等级</t>
        </is>
      </c>
      <c r="D25" s="150" t="inlineStr">
        <is>
          <t>强制性国家标准</t>
        </is>
      </c>
      <c r="E25" s="238" t="n">
        <v>41434</v>
      </c>
      <c r="F25" s="238" t="n">
        <v>41548</v>
      </c>
      <c r="G25" s="150" t="inlineStr">
        <is>
          <t>现行</t>
        </is>
      </c>
      <c r="H25" s="150" t="inlineStr">
        <is>
          <t>电动机驱动、蒸气压缩循环、以空气为热源并以提供热水为目的的热泵热水机（器）。</t>
        </is>
      </c>
      <c r="I25" s="150" t="inlineStr">
        <is>
          <t>五级能效</t>
        </is>
      </c>
    </row>
    <row r="26" ht="48" customHeight="1" s="184">
      <c r="A26" s="150" t="inlineStr">
        <is>
          <t>风管送风式空调</t>
        </is>
      </c>
      <c r="B26" s="150" t="inlineStr">
        <is>
          <t>GB 37479-2019</t>
        </is>
      </c>
      <c r="C26" s="150" t="inlineStr">
        <is>
          <t>风管送风式空调机组能效限定值及能效等级</t>
        </is>
      </c>
      <c r="D26" s="150" t="inlineStr">
        <is>
          <t>强制性国家标准</t>
        </is>
      </c>
      <c r="E26" s="238" t="n">
        <v>43559</v>
      </c>
      <c r="F26" s="238" t="n">
        <v>43952</v>
      </c>
      <c r="G26" s="150" t="inlineStr">
        <is>
          <t>现行</t>
        </is>
      </c>
      <c r="H26" s="150" t="inlineStr">
        <is>
          <t>风管送风式空调（热泵）机组和直接蒸发式全新风空气处理机组。</t>
        </is>
      </c>
      <c r="I26" s="150" t="inlineStr">
        <is>
          <t>原文：15. GB 37479-2019…pdf</t>
        </is>
      </c>
    </row>
    <row r="27" ht="48" customHeight="1" s="184">
      <c r="A27" s="150" t="inlineStr">
        <is>
          <t>单元式空调</t>
        </is>
      </c>
      <c r="B27" s="150" t="inlineStr">
        <is>
          <t>GB 19576-2019</t>
        </is>
      </c>
      <c r="C27" s="150" t="inlineStr">
        <is>
          <t>单元式空气调节机能效限定值及能效等级</t>
        </is>
      </c>
      <c r="D27" s="150" t="inlineStr">
        <is>
          <t>强制性国家标准</t>
        </is>
      </c>
      <c r="E27" s="238" t="n">
        <v>43559</v>
      </c>
      <c r="F27" s="238" t="n">
        <v>43952</v>
      </c>
      <c r="G27" s="150" t="inlineStr">
        <is>
          <t>现行</t>
        </is>
      </c>
      <c r="H27" s="150" t="inlineStr">
        <is>
          <t>标准范围内普通及专用单元式空气调节机；不适用于多联式空调机组。</t>
        </is>
      </c>
      <c r="I27" s="150" t="inlineStr">
        <is>
          <t>原文：16. GB 19576-2019…pdf</t>
        </is>
      </c>
    </row>
    <row r="28" ht="48" customHeight="1" s="184">
      <c r="A28" s="150" t="inlineStr">
        <is>
          <t>多联式空调</t>
        </is>
      </c>
      <c r="B28" s="150" t="inlineStr">
        <is>
          <t>GB 21454-2021</t>
        </is>
      </c>
      <c r="C28" s="150" t="inlineStr">
        <is>
          <t>多联式空调（热泵）机组能效限定值及能效等级</t>
        </is>
      </c>
      <c r="D28" s="150" t="inlineStr">
        <is>
          <t>强制性国家标准</t>
        </is>
      </c>
      <c r="E28" s="238" t="n">
        <v>44480</v>
      </c>
      <c r="F28" s="238" t="n">
        <v>44866</v>
      </c>
      <c r="G28" s="150" t="inlineStr">
        <is>
          <t>现行</t>
        </is>
      </c>
      <c r="H28" s="150" t="inlineStr">
        <is>
          <t>采用风冷式或水冷式冷凝器的多联式空调（热泵）机组，以及低温多联机。</t>
        </is>
      </c>
      <c r="I28" s="150" t="inlineStr">
        <is>
          <t>原文：17. GB 21454-2021…pdf</t>
        </is>
      </c>
    </row>
    <row r="29" ht="48" customHeight="1" s="184">
      <c r="A29" s="150" t="inlineStr">
        <is>
          <t>鼓风机（后续版本）</t>
        </is>
      </c>
      <c r="B29" s="150" t="inlineStr">
        <is>
          <t>GB 28381-2026</t>
        </is>
      </c>
      <c r="C29" s="150" t="inlineStr">
        <is>
          <t>鼓风机能效限定值及能效等级</t>
        </is>
      </c>
      <c r="D29" s="150" t="inlineStr">
        <is>
          <t>强制性国家标准</t>
        </is>
      </c>
      <c r="E29" s="238" t="n">
        <v>46112</v>
      </c>
      <c r="F29" s="238" t="n">
        <v>46478</v>
      </c>
      <c r="G29" s="150" t="inlineStr">
        <is>
          <t>已发布、未实施</t>
        </is>
      </c>
      <c r="H29" s="150" t="inlineStr">
        <is>
          <t>覆盖透平式与容积式鼓风机的新三等级标准。</t>
        </is>
      </c>
      <c r="I29" s="150" t="inlineStr">
        <is>
          <t>本版不启用其字段和指标；2027-04-01后另行升级</t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10">
    <mergeCell ref="B9:E9"/>
    <mergeCell ref="B8:E8"/>
    <mergeCell ref="A11:I11"/>
    <mergeCell ref="B4:E4"/>
    <mergeCell ref="B6:E6"/>
    <mergeCell ref="A1:I1"/>
    <mergeCell ref="B7:E7"/>
    <mergeCell ref="B3:E3"/>
    <mergeCell ref="B5:E5"/>
    <mergeCell ref="G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18" customWidth="1" style="184" min="2" max="2"/>
    <col width="18" customWidth="1" style="184" min="3" max="3"/>
    <col width="18" customWidth="1" style="184" min="4" max="4"/>
    <col width="18" customWidth="1" style="184" min="5" max="5"/>
    <col width="18" customWidth="1" style="184" min="6" max="6"/>
    <col width="18" customWidth="1" style="184" min="7" max="7"/>
    <col width="18" customWidth="1" style="184" min="8" max="8"/>
  </cols>
  <sheetData>
    <row r="1" ht="34" customHeight="1" s="184">
      <c r="A1" s="121" t="inlineStr">
        <is>
          <t>设备能效分析空白模板 V6 - 详细说明</t>
        </is>
      </c>
    </row>
    <row r="3" ht="34" customHeight="1" s="184">
      <c r="A3" s="163" t="inlineStr">
        <is>
          <t>模板基准日期</t>
        </is>
      </c>
      <c r="B3" s="167" t="inlineStr">
        <is>
          <t>2026-09-25</t>
        </is>
      </c>
      <c r="C3" s="222" t="n"/>
      <c r="D3" s="222" t="n"/>
      <c r="E3" s="222" t="n"/>
      <c r="F3" s="222" t="n"/>
      <c r="G3" s="222" t="n"/>
      <c r="H3" s="223" t="n"/>
    </row>
    <row r="4" ht="34" customHeight="1" s="184">
      <c r="A4" s="163" t="inlineStr">
        <is>
          <t>适用环境</t>
        </is>
      </c>
      <c r="B4" s="167" t="inlineStr">
        <is>
          <t>桌面版 Microsoft Excel；无宏工作簿</t>
        </is>
      </c>
      <c r="C4" s="222" t="n"/>
      <c r="D4" s="222" t="n"/>
      <c r="E4" s="222" t="n"/>
      <c r="F4" s="222" t="n"/>
      <c r="G4" s="222" t="n"/>
      <c r="H4" s="223" t="n"/>
    </row>
    <row r="5" ht="34" customHeight="1" s="184">
      <c r="A5" s="163" t="inlineStr">
        <is>
          <t>数据口径</t>
        </is>
      </c>
      <c r="B5" s="167" t="inlineStr">
        <is>
          <t>设备参数原则上按出厂设计值、额定值或铭牌值填写；离心泵用于GB 19762-2025判级的流量、扬程、转速和泵效率按标准规定点（最高效率点）口径。</t>
        </is>
      </c>
      <c r="C5" s="222" t="n"/>
      <c r="D5" s="222" t="n"/>
      <c r="E5" s="222" t="n"/>
      <c r="F5" s="222" t="n"/>
      <c r="G5" s="222" t="n"/>
      <c r="H5" s="223" t="n"/>
    </row>
    <row r="6" ht="34" customHeight="1" s="184">
      <c r="A6" s="163" t="inlineStr">
        <is>
          <t>可见设备sheet</t>
        </is>
      </c>
      <c r="B6" s="167" t="inlineStr">
        <is>
          <t>电动机、空压机、离心泵、离心通风机、轴流通风机、鼓风机、潜水电泵、工业锅炉、热处理设备、热泵和冷水机组、热泵热水机、风管送风式空调、单元式空调、多联式空调、变压器</t>
        </is>
      </c>
      <c r="C6" s="222" t="n"/>
      <c r="D6" s="222" t="n"/>
      <c r="E6" s="222" t="n"/>
      <c r="F6" s="222" t="n"/>
      <c r="G6" s="222" t="n"/>
      <c r="H6" s="223" t="n"/>
    </row>
    <row r="7" ht="34" customHeight="1" s="184">
      <c r="A7" s="163" t="inlineStr">
        <is>
          <t>大容量预留</t>
        </is>
      </c>
      <c r="B7" s="167" t="inlineStr">
        <is>
          <t>电动机、离心泵、潜水电泵、离心通风机、轴流通风机各100行；其余设备各10行，表格可继续扩展</t>
        </is>
      </c>
      <c r="C7" s="222" t="n"/>
      <c r="D7" s="222" t="n"/>
      <c r="E7" s="222" t="n"/>
      <c r="F7" s="222" t="n"/>
      <c r="G7" s="222" t="n"/>
      <c r="H7" s="223" t="n"/>
    </row>
    <row r="8" ht="34" customHeight="1" s="184">
      <c r="A8" s="163" t="inlineStr">
        <is>
          <t>第2行分组</t>
        </is>
      </c>
      <c r="B8" s="167" t="inlineStr">
        <is>
          <t>基础信息｜设备参数｜计算辅助结果｜标准查询结果｜结论｜附件备注</t>
        </is>
      </c>
      <c r="C8" s="222" t="n"/>
      <c r="D8" s="222" t="n"/>
      <c r="E8" s="222" t="n"/>
      <c r="F8" s="222" t="n"/>
      <c r="G8" s="222" t="n"/>
      <c r="H8" s="223" t="n"/>
    </row>
    <row r="9" ht="34" customHeight="1" s="184">
      <c r="A9" s="163" t="inlineStr">
        <is>
          <t>可编辑颜色</t>
        </is>
      </c>
      <c r="B9" s="167" t="inlineStr">
        <is>
          <t>离心泵页：人工填写、下拉选择、铭牌照片和备注/其他证明材料统一为浅绿色。</t>
        </is>
      </c>
      <c r="C9" s="222" t="n"/>
      <c r="D9" s="222" t="n"/>
      <c r="E9" s="222" t="n"/>
      <c r="F9" s="222" t="n"/>
      <c r="G9" s="222" t="n"/>
      <c r="H9" s="223" t="n"/>
    </row>
    <row r="10" ht="34" customHeight="1" s="184">
      <c r="A10" s="163" t="inlineStr">
        <is>
          <t>锁定颜色</t>
        </is>
      </c>
      <c r="B10" s="167" t="inlineStr">
        <is>
          <t>离心泵页：计算辅助、标准查询及1～3级效率为浅灰色；最终能效等级为蓝色；自动备注为浅红色。</t>
        </is>
      </c>
      <c r="C10" s="222" t="n"/>
      <c r="D10" s="222" t="n"/>
      <c r="E10" s="222" t="n"/>
      <c r="F10" s="222" t="n"/>
      <c r="G10" s="222" t="n"/>
      <c r="H10" s="223" t="n"/>
    </row>
    <row r="11" ht="34" customHeight="1" s="184">
      <c r="A11" s="163" t="inlineStr">
        <is>
          <t>图片要求</t>
        </is>
      </c>
      <c r="B11" s="167" t="inlineStr">
        <is>
          <t>铭牌照片使用 Excel 的“置于单元格”方式；浮动图片不计入照片字段</t>
        </is>
      </c>
      <c r="C11" s="222" t="n"/>
      <c r="D11" s="222" t="n"/>
      <c r="E11" s="222" t="n"/>
      <c r="F11" s="222" t="n"/>
      <c r="G11" s="222" t="n"/>
      <c r="H11" s="223" t="n"/>
    </row>
    <row r="12" ht="34" customHeight="1" s="184">
      <c r="A12" s="163" t="inlineStr">
        <is>
          <t>保护方式</t>
        </is>
      </c>
      <c r="B12" s="167" t="inlineStr">
        <is>
          <t>设备表、注意事项、模板说明和配置均启用无密码保护；仅允许的输入区可编辑，计算/标准结果等保持锁定。</t>
        </is>
      </c>
      <c r="C12" s="222" t="n"/>
      <c r="D12" s="222" t="n"/>
      <c r="E12" s="222" t="n"/>
      <c r="F12" s="222" t="n"/>
      <c r="G12" s="222" t="n"/>
      <c r="H12" s="223" t="n"/>
    </row>
    <row r="13" ht="34" customHeight="1" s="184">
      <c r="A13" s="163" t="inlineStr">
        <is>
          <t>变压器</t>
        </is>
      </c>
      <c r="B13" s="167" t="inlineStr">
        <is>
          <t>设备类别承担GB 20052-2024主要表路由；少数表内特殊分支统一通过“标准条件”选择。短路阻抗为手动记录字段，本阶段不参与自动判级。铁芯材质、绝缘耐热等级、连接组标号不再单独占列，其必要信息并入“标准条件”。</t>
        </is>
      </c>
      <c r="C13" s="222" t="n"/>
      <c r="D13" s="222" t="n"/>
      <c r="E13" s="222" t="n"/>
      <c r="F13" s="222" t="n"/>
      <c r="G13" s="222" t="n"/>
      <c r="H13" s="223" t="n"/>
    </row>
    <row r="14">
      <c r="A14" s="158" t="inlineStr">
        <is>
          <t>字段与清洗规则</t>
        </is>
      </c>
    </row>
    <row r="15" ht="32" customHeight="1" s="184">
      <c r="A15" s="170" t="inlineStr">
        <is>
          <t>规则类别</t>
        </is>
      </c>
      <c r="B15" s="150" t="inlineStr">
        <is>
          <t>处理说明</t>
        </is>
      </c>
      <c r="C15" s="222" t="n"/>
      <c r="D15" s="222" t="n"/>
      <c r="E15" s="222" t="n"/>
      <c r="F15" s="222" t="n"/>
      <c r="G15" s="222" t="n"/>
      <c r="H15" s="223" t="n"/>
    </row>
    <row r="16" ht="32" customHeight="1" s="184">
      <c r="A16" s="170" t="inlineStr">
        <is>
          <t>序号</t>
        </is>
      </c>
      <c r="B16" s="150" t="inlineStr">
        <is>
          <t>由公式按当前数据行自动连续编号；排序后按当前行重新编号。</t>
        </is>
      </c>
      <c r="C16" s="222" t="n"/>
      <c r="D16" s="222" t="n"/>
      <c r="E16" s="222" t="n"/>
      <c r="F16" s="222" t="n"/>
      <c r="G16" s="222" t="n"/>
      <c r="H16" s="223" t="n"/>
    </row>
    <row r="17" ht="32" customHeight="1" s="184">
      <c r="A17" s="170" t="inlineStr">
        <is>
          <t>百分数</t>
        </is>
      </c>
      <c r="B17" s="150" t="inlineStr">
        <is>
          <t>效率填写百分数本值，例如95%填写95；离心泵泵效率限制1～100，不使用百分比单元格格式。</t>
        </is>
      </c>
      <c r="C17" s="222" t="n"/>
      <c r="D17" s="222" t="n"/>
      <c r="E17" s="222" t="n"/>
      <c r="F17" s="222" t="n"/>
      <c r="G17" s="222" t="n"/>
      <c r="H17" s="223" t="n"/>
    </row>
    <row r="18" ht="32" customHeight="1" s="184">
      <c r="A18" s="170" t="inlineStr">
        <is>
          <t>枚举</t>
        </is>
      </c>
      <c r="B18" s="150" t="inlineStr">
        <is>
          <t>正常填写使用停止型下拉；离心泵单双吸仅允许“单吸/双吸”，设备类别保留“其他（请备注说明）”兜底项。</t>
        </is>
      </c>
      <c r="C18" s="222" t="n"/>
      <c r="D18" s="222" t="n"/>
      <c r="E18" s="222" t="n"/>
      <c r="F18" s="222" t="n"/>
      <c r="G18" s="222" t="n"/>
      <c r="H18" s="223" t="n"/>
    </row>
    <row r="19" ht="32" customHeight="1" s="184">
      <c r="A19" s="170" t="inlineStr">
        <is>
          <t>数值</t>
        </is>
      </c>
      <c r="B19" s="150" t="inlineStr">
        <is>
          <t>数量为正整数；容量、功率、流量、压力、损耗等按字段规则校验。离心泵超出标准适用/计算范围时保留原值，不外推公式，能效等级显示“不适用”。</t>
        </is>
      </c>
      <c r="C19" s="222" t="n"/>
      <c r="D19" s="222" t="n"/>
      <c r="E19" s="222" t="n"/>
      <c r="F19" s="222" t="n"/>
      <c r="G19" s="222" t="n"/>
      <c r="H19" s="223" t="n"/>
    </row>
    <row r="20" ht="32" customHeight="1" s="184">
      <c r="A20" s="170" t="inlineStr">
        <is>
          <t>关联下拉</t>
        </is>
      </c>
      <c r="B20" s="150" t="inlineStr">
        <is>
          <t>离心泵的单双吸和级数按设备类别自动带出或强制填写：单级单吸/双吸清水泵自动确定单双吸且级数为1；管道清水泵和单级石油化工泵级数为1；多级泵单双吸必选、级数≥2。</t>
        </is>
      </c>
      <c r="C20" s="222" t="n"/>
      <c r="D20" s="222" t="n"/>
      <c r="E20" s="222" t="n"/>
      <c r="F20" s="222" t="n"/>
      <c r="G20" s="222" t="n"/>
      <c r="H20" s="223" t="n"/>
    </row>
    <row r="21" ht="32" customHeight="1" s="184">
      <c r="A21" s="170" t="inlineStr">
        <is>
          <t>电动机</t>
        </is>
      </c>
      <c r="B21" s="150" t="inlineStr">
        <is>
          <t>三类标准合并到一张表；频率为文本；额定电压统一为kV文本档；统一填写“效率”，变频调速永磁同步电动机按90%额定转速口径填写。</t>
        </is>
      </c>
      <c r="C21" s="222" t="n"/>
      <c r="D21" s="222" t="n"/>
      <c r="E21" s="222" t="n"/>
      <c r="F21" s="222" t="n"/>
      <c r="G21" s="222" t="n"/>
      <c r="H21" s="223" t="n"/>
    </row>
    <row r="22" ht="32" customHeight="1" s="184">
      <c r="A22" s="170" t="inlineStr">
        <is>
          <t>锅炉</t>
        </is>
      </c>
      <c r="B22" s="150" t="inlineStr">
        <is>
          <t>设备类别包含燃烧方式、冷凝和余热回收信息；删除燃料类别字段；电锅炉由设备类别识别。</t>
        </is>
      </c>
      <c r="C22" s="222" t="n"/>
      <c r="D22" s="222" t="n"/>
      <c r="E22" s="222" t="n"/>
      <c r="F22" s="222" t="n"/>
      <c r="G22" s="222" t="n"/>
      <c r="H22" s="223" t="n"/>
    </row>
    <row r="23" ht="32" customHeight="1" s="184">
      <c r="A23" s="170" t="inlineStr">
        <is>
          <t>标准查询结果</t>
        </is>
      </c>
      <c r="B23" s="150" t="inlineStr">
        <is>
          <t>离心泵页已按GB 19762-2025实现比转数、清水泵Ci、石油化工泵ηb/Δη/η0、1～3级效率及最终能效等级判定；其他设备页保持原有阶段边界。</t>
        </is>
      </c>
      <c r="C23" s="222" t="n"/>
      <c r="D23" s="222" t="n"/>
      <c r="E23" s="222" t="n"/>
      <c r="F23" s="222" t="n"/>
      <c r="G23" s="222" t="n"/>
      <c r="H23" s="223" t="n"/>
    </row>
    <row r="24" ht="32" customHeight="1" s="184">
      <c r="A24" s="170" t="inlineStr">
        <is>
          <t>自动备注</t>
        </is>
      </c>
      <c r="B24" s="150" t="inlineStr">
        <is>
          <t>离心泵页自动备注统一使用“无法判定：”“不适用：”“资料待完善：”三类开头；不改写输入。</t>
        </is>
      </c>
      <c r="C24" s="222" t="n"/>
      <c r="D24" s="222" t="n"/>
      <c r="E24" s="222" t="n"/>
      <c r="F24" s="222" t="n"/>
      <c r="G24" s="222" t="n"/>
      <c r="H24" s="223" t="n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23">
    <mergeCell ref="B9:H9"/>
    <mergeCell ref="B6:H6"/>
    <mergeCell ref="B24:H24"/>
    <mergeCell ref="B15:H15"/>
    <mergeCell ref="A1:H1"/>
    <mergeCell ref="B5:H5"/>
    <mergeCell ref="B20:H20"/>
    <mergeCell ref="B4:H4"/>
    <mergeCell ref="B16:H16"/>
    <mergeCell ref="B7:H7"/>
    <mergeCell ref="B3:H3"/>
    <mergeCell ref="B22:H22"/>
    <mergeCell ref="B18:H18"/>
    <mergeCell ref="B21:H21"/>
    <mergeCell ref="B12:H12"/>
    <mergeCell ref="A14:H14"/>
    <mergeCell ref="B11:H11"/>
    <mergeCell ref="B23:H23"/>
    <mergeCell ref="B8:H8"/>
    <mergeCell ref="B17:H17"/>
    <mergeCell ref="B13:H13"/>
    <mergeCell ref="B10:H10"/>
    <mergeCell ref="B19:H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L394"/>
  <sheetViews>
    <sheetView showGridLines="0" workbookViewId="0">
      <selection activeCell="A1" sqref="A1"/>
    </sheetView>
  </sheetViews>
  <sheetFormatPr baseColWidth="8" defaultRowHeight="15"/>
  <cols>
    <col width="18" customWidth="1" style="184" min="1" max="1"/>
    <col width="24" customWidth="1" style="184" min="2" max="2"/>
    <col width="24" customWidth="1" style="184" min="3" max="3"/>
    <col width="22" customWidth="1" style="184" min="4" max="4"/>
    <col width="14" customWidth="1" style="184" min="5" max="5"/>
    <col width="14" customWidth="1" style="184" min="6" max="6"/>
    <col width="12" customWidth="1" style="184" min="7" max="7"/>
    <col width="25" customWidth="1" style="184" min="8" max="8"/>
    <col width="28" customWidth="1" style="184" min="9" max="9"/>
    <col width="10" customWidth="1" style="184" min="10" max="10"/>
    <col width="10" customWidth="1" style="184" min="11" max="11"/>
    <col width="22" customWidth="1" style="184" min="12" max="12"/>
    <col width="38" customWidth="1" style="184" min="13" max="13"/>
    <col width="38" customWidth="1" style="184" min="14" max="14"/>
    <col width="18" customWidth="1" style="184" min="15" max="15"/>
    <col width="20" customWidth="1" style="184" min="16" max="16"/>
    <col width="55" customWidth="1" style="184" min="18" max="18"/>
    <col width="16" customWidth="1" style="184" min="19" max="19"/>
    <col width="16" customWidth="1" style="184" min="20" max="20"/>
    <col width="16" customWidth="1" style="184" min="21" max="21"/>
    <col width="16.89999961853027" customWidth="1" style="184" min="22" max="22"/>
    <col width="16" customWidth="1" style="184" min="23" max="23"/>
    <col width="16" customWidth="1" style="184" min="24" max="24"/>
    <col width="16" customWidth="1" style="184" min="25" max="25"/>
    <col width="16" customWidth="1" style="184" min="26" max="26"/>
    <col width="16" customWidth="1" style="184" min="27" max="27"/>
    <col width="16" customWidth="1" style="184" min="28" max="28"/>
    <col width="18.20000076293945" customWidth="1" style="184" min="29" max="29"/>
    <col width="16" customWidth="1" style="184" min="30" max="30"/>
    <col width="16.89999961853027" customWidth="1" style="184" min="31" max="31"/>
    <col width="19.5" customWidth="1" style="184" min="32" max="32"/>
    <col width="16" customWidth="1" style="184" min="33" max="33"/>
    <col width="16.89999961853027" customWidth="1" style="184" min="34" max="34"/>
    <col width="16" customWidth="1" style="184" min="35" max="35"/>
    <col width="16" customWidth="1" style="184" min="36" max="36"/>
    <col width="16" customWidth="1" style="184" min="37" max="37"/>
    <col width="16" customWidth="1" style="184" min="38" max="38"/>
    <col width="16" customWidth="1" style="184" min="39" max="39"/>
    <col width="16" customWidth="1" style="184" min="40" max="40"/>
    <col width="16" customWidth="1" style="184" min="41" max="41"/>
    <col width="16" customWidth="1" style="184" min="42" max="42"/>
    <col width="16" customWidth="1" style="184" min="43" max="43"/>
    <col width="16" customWidth="1" style="184" min="44" max="44"/>
    <col width="18.20000076293945" customWidth="1" style="184" min="45" max="45"/>
    <col width="16" customWidth="1" style="184" min="46" max="46"/>
    <col width="16" customWidth="1" style="184" min="47" max="47"/>
    <col width="39" customWidth="1" style="184" min="48" max="48"/>
    <col width="28.60000038146973" customWidth="1" style="184" min="49" max="49"/>
    <col width="16" customWidth="1" style="184" min="50" max="50"/>
    <col width="16.89999961853027" customWidth="1" style="184" min="51" max="51"/>
    <col width="16" customWidth="1" style="184" min="52" max="52"/>
    <col width="16" customWidth="1" style="184" min="53" max="53"/>
    <col width="16" customWidth="1" style="184" min="54" max="54"/>
    <col width="16" customWidth="1" style="184" min="55" max="55"/>
    <col width="16" customWidth="1" style="184" min="56" max="56"/>
    <col width="16" customWidth="1" style="184" min="57" max="57"/>
    <col width="16" customWidth="1" style="184" min="58" max="58"/>
    <col width="16" customWidth="1" style="184" min="59" max="59"/>
    <col width="16" customWidth="1" style="184" min="60" max="60"/>
    <col width="16" customWidth="1" style="184" min="61" max="61"/>
    <col width="16" customWidth="1" style="184" min="62" max="62"/>
    <col width="16" customWidth="1" style="184" min="63" max="63"/>
    <col width="16" customWidth="1" style="184" min="64" max="64"/>
    <col width="16" customWidth="1" style="184" min="65" max="65"/>
    <col width="16" customWidth="1" style="184" min="66" max="66"/>
    <col width="16" customWidth="1" style="184" min="67" max="67"/>
    <col width="16" customWidth="1" style="184" min="68" max="68"/>
    <col width="16" customWidth="1" style="184" min="69" max="69"/>
    <col width="16" customWidth="1" style="184" min="70" max="70"/>
    <col width="16" customWidth="1" style="184" min="71" max="71"/>
    <col width="16" customWidth="1" style="184" min="72" max="72"/>
    <col width="16" customWidth="1" style="184" min="73" max="73"/>
    <col width="16" customWidth="1" style="184" min="74" max="74"/>
    <col width="16" customWidth="1" style="184" min="75" max="75"/>
    <col width="16.89999961853027" customWidth="1" style="184" min="76" max="76"/>
    <col width="16" customWidth="1" style="184" min="77" max="77"/>
    <col width="16" customWidth="1" style="184" min="78" max="78"/>
    <col width="16.89999961853027" customWidth="1" style="184" min="79" max="79"/>
    <col width="24.70000076293945" customWidth="1" style="184" min="80" max="80"/>
    <col width="16" customWidth="1" style="184" min="81" max="81"/>
    <col width="16" customWidth="1" style="184" min="82" max="82"/>
    <col width="18.20000076293945" customWidth="1" style="184" min="83" max="83"/>
    <col width="16" customWidth="1" style="184" min="84" max="84"/>
    <col width="16" customWidth="1" style="184" min="85" max="85"/>
    <col width="16" customWidth="1" style="184" min="86" max="86"/>
    <col width="22.10000038146973" customWidth="1" style="184" min="87" max="87"/>
    <col width="16" customWidth="1" style="184" min="88" max="88"/>
    <col width="16" customWidth="1" style="184" min="89" max="89"/>
    <col width="16" customWidth="1" style="184" min="90" max="90"/>
    <col width="16" customWidth="1" style="184" min="91" max="91"/>
    <col width="16" customWidth="1" style="184" min="92" max="92"/>
    <col min="115" max="152" width="10" hidden="1" customWidth="1"/>
  </cols>
  <sheetData>
    <row r="1">
      <c r="A1" s="150" t="inlineStr">
        <is>
          <t>sheet</t>
        </is>
      </c>
      <c r="B1" s="150" t="inlineStr">
        <is>
          <t>字段ID</t>
        </is>
      </c>
      <c r="C1" s="150" t="inlineStr">
        <is>
          <t>显示名称</t>
        </is>
      </c>
      <c r="D1" s="150" t="inlineStr">
        <is>
          <t>字段分组</t>
        </is>
      </c>
      <c r="E1" s="150" t="inlineStr">
        <is>
          <t>数据类型</t>
        </is>
      </c>
      <c r="F1" s="150" t="inlineStr">
        <is>
          <t>单位</t>
        </is>
      </c>
      <c r="G1" s="150" t="inlineStr">
        <is>
          <t>是否可编辑</t>
        </is>
      </c>
      <c r="H1" s="150" t="inlineStr">
        <is>
          <t>必填条件</t>
        </is>
      </c>
      <c r="I1" s="150" t="inlineStr">
        <is>
          <t>验证规则</t>
        </is>
      </c>
      <c r="J1" s="150" t="inlineStr">
        <is>
          <t>最小值</t>
        </is>
      </c>
      <c r="K1" s="150" t="inlineStr">
        <is>
          <t>最大值</t>
        </is>
      </c>
      <c r="L1" s="150" t="inlineStr">
        <is>
          <t>枚举集合</t>
        </is>
      </c>
      <c r="M1" s="150" t="inlineStr">
        <is>
          <t>清洗规则</t>
        </is>
      </c>
      <c r="N1" s="150" t="inlineStr">
        <is>
          <t>自动备注规则</t>
        </is>
      </c>
      <c r="O1" s="150" t="inlineStr">
        <is>
          <t>标准编号</t>
        </is>
      </c>
      <c r="P1" s="150" t="inlineStr">
        <is>
          <t>条款/表号</t>
        </is>
      </c>
      <c r="R1" s="173" t="inlineStr">
        <is>
          <t>EV_TRANSFORMER_CATEGORY</t>
        </is>
      </c>
      <c r="S1" s="173" t="n"/>
      <c r="T1" s="173" t="n"/>
      <c r="U1" s="173" t="n"/>
      <c r="V1" s="173" t="inlineStr">
        <is>
          <t>EV_MOTOR_CATEGORY</t>
        </is>
      </c>
      <c r="W1" s="173" t="inlineStr">
        <is>
          <t>EV_POLES_LV</t>
        </is>
      </c>
      <c r="X1" s="173" t="inlineStr">
        <is>
          <t>EV_POLES_HV</t>
        </is>
      </c>
      <c r="Y1" s="173" t="inlineStr">
        <is>
          <t>EV_POLES_PMSM</t>
        </is>
      </c>
      <c r="Z1" s="173" t="inlineStr">
        <is>
          <t>EV_MOTOR_VOLTAGE</t>
        </is>
      </c>
      <c r="AA1" s="173" t="inlineStr">
        <is>
          <t>EV_COOLING_MOTOR_HV</t>
        </is>
      </c>
      <c r="AB1" s="173" t="inlineStr">
        <is>
          <t>EV_COOLING_PMSM</t>
        </is>
      </c>
      <c r="AC1" s="173" t="inlineStr">
        <is>
          <t>EV_COMPRESSOR_CATEGORY</t>
        </is>
      </c>
      <c r="AD1" s="173" t="inlineStr">
        <is>
          <t>EV_COMPRESSOR_COOLING</t>
        </is>
      </c>
      <c r="AE1" s="173" t="inlineStr">
        <is>
          <t>EV_PUMP_CATEGORY</t>
        </is>
      </c>
      <c r="AF1" s="173" t="inlineStr">
        <is>
          <t>EV_CENTRIFUGAL_FAN_CATEGORY</t>
        </is>
      </c>
      <c r="AG1" s="173" t="inlineStr">
        <is>
          <t>EV_AXIAL_FAN_CATEGORY</t>
        </is>
      </c>
      <c r="AH1" s="173" t="inlineStr">
        <is>
          <t>EV_TRANSMISSION</t>
        </is>
      </c>
      <c r="AI1" s="173" t="inlineStr">
        <is>
          <t>EV_SUCTION</t>
        </is>
      </c>
      <c r="AJ1" s="173" t="inlineStr">
        <is>
          <t>EV_YES_NO</t>
        </is>
      </c>
      <c r="AK1" s="173" t="inlineStr">
        <is>
          <t>EV_BLOWER_CATEGORY</t>
        </is>
      </c>
      <c r="AL1" s="173" t="inlineStr">
        <is>
          <t>EV_SUBMERSIBLE_CATEGORY</t>
        </is>
      </c>
      <c r="AM1" s="173" t="inlineStr">
        <is>
          <t>EV_SUB_FORM_SMALL</t>
        </is>
      </c>
      <c r="AN1" s="173" t="inlineStr">
        <is>
          <t>EV_SUB_FORM_LARGE</t>
        </is>
      </c>
      <c r="AO1" s="173" t="inlineStr">
        <is>
          <t>EV_SUB_FORM_WASTE</t>
        </is>
      </c>
      <c r="AP1" s="173" t="inlineStr">
        <is>
          <t>EV_SUB_FORM_WELL</t>
        </is>
      </c>
      <c r="AQ1" s="173" t="inlineStr">
        <is>
          <t>EV_SUB_FORM_MIXED</t>
        </is>
      </c>
      <c r="AR1" s="173" t="inlineStr">
        <is>
          <t>EV_SUB_FORM_ALL</t>
        </is>
      </c>
      <c r="AS1" s="173" t="inlineStr">
        <is>
          <t>EV_BOILER_CATEGORY</t>
        </is>
      </c>
      <c r="AT1" s="173" t="inlineStr">
        <is>
          <t>EV_FUEL</t>
        </is>
      </c>
      <c r="AU1" s="173" t="inlineStr">
        <is>
          <t>EV_HEAT_TREAT_CATEGORY</t>
        </is>
      </c>
      <c r="AV1" s="173" t="inlineStr">
        <is>
          <t>EV_ENERGY_TYPE</t>
        </is>
      </c>
      <c r="AW1" s="173" t="inlineStr">
        <is>
          <t>EV_HP_CHILLER_CATEGORY</t>
        </is>
      </c>
      <c r="AX1" s="173" t="inlineStr">
        <is>
          <t>EV_PRODUCT_STANDARD_HP</t>
        </is>
      </c>
      <c r="AY1" s="173" t="inlineStr">
        <is>
          <t>EV_HP_UNIT_TYPE</t>
        </is>
      </c>
      <c r="AZ1" s="173" t="inlineStr">
        <is>
          <t>EV_HP_SOURCE</t>
        </is>
      </c>
      <c r="BA1" s="173" t="inlineStr">
        <is>
          <t>EV_HP_SOURCE_ALL</t>
        </is>
      </c>
      <c r="BB1" s="173" t="inlineStr">
        <is>
          <t>EV_HP_SOURCE_COMFORT</t>
        </is>
      </c>
      <c r="BC1" s="173" t="inlineStr">
        <is>
          <t>EV_HP_SOURCE_DATA</t>
        </is>
      </c>
      <c r="BD1" s="173" t="inlineStr">
        <is>
          <t>EV_HP_SOURCE_LOWTEMP</t>
        </is>
      </c>
      <c r="BE1" s="173" t="inlineStr">
        <is>
          <t>EV_HP_SOURCE_WATER</t>
        </is>
      </c>
      <c r="BF1" s="173" t="inlineStr">
        <is>
          <t>EV_HP_SOURCE_ABS</t>
        </is>
      </c>
      <c r="BG1" s="173" t="inlineStr">
        <is>
          <t>EV_HP_SOURCE_HIGH</t>
        </is>
      </c>
      <c r="BH1" s="173" t="inlineStr">
        <is>
          <t>EV_HP_SOURCE_EVAP</t>
        </is>
      </c>
      <c r="BI1" s="173" t="inlineStr">
        <is>
          <t>EV_HP_SOURCE_INTEGRATED</t>
        </is>
      </c>
      <c r="BJ1" s="173" t="inlineStr">
        <is>
          <t>EV_HP_STD_ALL</t>
        </is>
      </c>
      <c r="BK1" s="173" t="inlineStr">
        <is>
          <t>EV_HP_STD_COMFORT</t>
        </is>
      </c>
      <c r="BL1" s="173" t="inlineStr">
        <is>
          <t>EV_HP_STD_DATA</t>
        </is>
      </c>
      <c r="BM1" s="173" t="inlineStr">
        <is>
          <t>EV_HP_STD_LOWTEMP</t>
        </is>
      </c>
      <c r="BN1" s="173" t="inlineStr">
        <is>
          <t>EV_HP_STD_WATER</t>
        </is>
      </c>
      <c r="BO1" s="173" t="inlineStr">
        <is>
          <t>EV_HP_STD_ABS</t>
        </is>
      </c>
      <c r="BP1" s="173" t="inlineStr">
        <is>
          <t>EV_HP_STD_HIGH</t>
        </is>
      </c>
      <c r="BQ1" s="173" t="inlineStr">
        <is>
          <t>EV_HP_STD_EVAP</t>
        </is>
      </c>
      <c r="BR1" s="173" t="inlineStr">
        <is>
          <t>EV_HP_STD_INTEGRATED</t>
        </is>
      </c>
      <c r="BS1" s="173" t="inlineStr">
        <is>
          <t>EV_HP_UNIT_COMFORT</t>
        </is>
      </c>
      <c r="BT1" s="173" t="inlineStr">
        <is>
          <t>EV_HP_UNIT_DATA</t>
        </is>
      </c>
      <c r="BU1" s="173" t="inlineStr">
        <is>
          <t>EV_HP_UNIT_LOWTEMP</t>
        </is>
      </c>
      <c r="BV1" s="173" t="inlineStr">
        <is>
          <t>EV_HP_UNIT_WATER</t>
        </is>
      </c>
      <c r="BW1" s="173" t="inlineStr">
        <is>
          <t>EV_HP_UNIT_ABS</t>
        </is>
      </c>
      <c r="BX1" s="173" t="inlineStr">
        <is>
          <t>EV_HP_UNIT_HIGH</t>
        </is>
      </c>
      <c r="BY1" s="173" t="inlineStr">
        <is>
          <t>EV_HP_UNIT_EVAP</t>
        </is>
      </c>
      <c r="BZ1" s="173" t="inlineStr">
        <is>
          <t>EV_HP_UNIT_INTEGRATED</t>
        </is>
      </c>
      <c r="CA1" s="173" t="inlineStr">
        <is>
          <t>EV_HP_UNIT_ALL</t>
        </is>
      </c>
      <c r="CB1" s="173" t="inlineStr">
        <is>
          <t>EV_HP_EVAL_SYSTEM</t>
        </is>
      </c>
      <c r="CC1" s="173" t="inlineStr">
        <is>
          <t>EV_HPWH_CATEGORY</t>
        </is>
      </c>
      <c r="CD1" s="173" t="inlineStr">
        <is>
          <t>EV_HEATING_METHOD</t>
        </is>
      </c>
      <c r="CE1" s="173" t="inlineStr">
        <is>
          <t>EV_DUCT_CATEGORY</t>
        </is>
      </c>
      <c r="CF1" s="173" t="inlineStr">
        <is>
          <t>EV_AC_COOLING_DUCT</t>
        </is>
      </c>
      <c r="CG1" s="173" t="inlineStr">
        <is>
          <t>EV_AC_MODE</t>
        </is>
      </c>
      <c r="CH1" s="173" t="inlineStr">
        <is>
          <t>EV_ENTHALPY</t>
        </is>
      </c>
      <c r="CI1" s="173" t="inlineStr">
        <is>
          <t>EV_UNITARY_CATEGORY</t>
        </is>
      </c>
      <c r="CJ1" s="173" t="inlineStr">
        <is>
          <t>EV_AC_COOLING_UNITARY</t>
        </is>
      </c>
      <c r="CK1" s="173" t="inlineStr">
        <is>
          <t>EV_MULTI_CATEGORY</t>
        </is>
      </c>
      <c r="CL1" s="173" t="inlineStr">
        <is>
          <t>EV_WATER_SOURCE</t>
        </is>
      </c>
      <c r="CM1" s="173" t="inlineStr">
        <is>
          <t>EV_MULTI_WATER</t>
        </is>
      </c>
      <c r="CN1" s="173" t="inlineStr">
        <is>
          <t>EV_MULTI_NA</t>
        </is>
      </c>
      <c r="CP1" s="150" t="inlineStr">
        <is>
          <t>condition_key</t>
        </is>
      </c>
      <c r="CQ1" s="150" t="inlineStr">
        <is>
          <t>display_value</t>
        </is>
      </c>
      <c r="CR1" s="150" t="inlineStr">
        <is>
          <t>category</t>
        </is>
      </c>
      <c r="CS1" s="150" t="inlineStr">
        <is>
          <t>capacity_min</t>
        </is>
      </c>
      <c r="CT1" s="150" t="inlineStr">
        <is>
          <t>capacity_max</t>
        </is>
      </c>
      <c r="CU1" s="150" t="inlineStr">
        <is>
          <t>required</t>
        </is>
      </c>
      <c r="CV1" s="150" t="inlineStr">
        <is>
          <t>branch_code</t>
        </is>
      </c>
      <c r="CW1" s="150" t="inlineStr">
        <is>
          <t>detail</t>
        </is>
      </c>
      <c r="CX1" s="150" t="inlineStr">
        <is>
          <t>sort_order</t>
        </is>
      </c>
      <c r="CY1" s="150" t="inlineStr">
        <is>
          <t>capacity_rule</t>
        </is>
      </c>
      <c r="CZ1" s="150" t="inlineStr">
        <is>
          <t>EV_TR_COND_T1</t>
        </is>
      </c>
      <c r="DA1" s="150" t="inlineStr">
        <is>
          <t>EV_TR_COND_T2</t>
        </is>
      </c>
      <c r="DB1" s="150" t="inlineStr">
        <is>
          <t>EV_TR_COND_T2_630</t>
        </is>
      </c>
      <c r="DC1" s="150" t="inlineStr">
        <is>
          <t>EV_TR_COND_DIRECTION</t>
        </is>
      </c>
      <c r="DD1" s="150" t="inlineStr">
        <is>
          <t>EV_TR_COND_T15_NORMAL</t>
        </is>
      </c>
      <c r="DE1" s="150" t="inlineStr">
        <is>
          <t>EV_TR_COND_T15_BOTH</t>
        </is>
      </c>
      <c r="DF1" s="150" t="inlineStr">
        <is>
          <t>EV_TR_COND_T15_SPECIAL</t>
        </is>
      </c>
      <c r="DG1" s="150" t="inlineStr">
        <is>
          <t>EV_TR_COND_T27</t>
        </is>
      </c>
      <c r="DH1" s="150" t="inlineStr">
        <is>
          <t>EV_TR_COND_T28</t>
        </is>
      </c>
      <c r="DI1" s="150" t="inlineStr">
        <is>
          <t>EV_TR_COND_THERMAL</t>
        </is>
      </c>
      <c r="DJ1" s="150" t="inlineStr">
        <is>
          <t>EV_TR_COND_NONE</t>
        </is>
      </c>
      <c r="DK1" s="150" t="inlineStr">
        <is>
          <t>min_inclusive</t>
        </is>
      </c>
      <c r="DL1" s="150" t="inlineStr">
        <is>
          <t>max_inclusive</t>
        </is>
      </c>
    </row>
    <row r="2">
      <c r="A2" s="150" t="inlineStr">
        <is>
          <t>变压器</t>
        </is>
      </c>
      <c r="B2" s="150" t="inlineStr">
        <is>
          <t>seq</t>
        </is>
      </c>
      <c r="C2" s="150" t="inlineStr">
        <is>
          <t>序号</t>
        </is>
      </c>
      <c r="D2" s="150" t="inlineStr">
        <is>
          <t>基础信息</t>
        </is>
      </c>
      <c r="E2" s="150" t="inlineStr">
        <is>
          <t>整数</t>
        </is>
      </c>
      <c r="F2" s="150" t="inlineStr">
        <is>
          <t>-</t>
        </is>
      </c>
      <c r="G2" s="150" t="inlineStr">
        <is>
          <t>否</t>
        </is>
      </c>
      <c r="H2" s="150" t="inlineStr">
        <is>
          <t>公式生成</t>
        </is>
      </c>
      <c r="I2" s="150" t="inlineStr">
        <is>
          <t>无</t>
        </is>
      </c>
      <c r="J2" s="150" t="n"/>
      <c r="K2" s="150" t="n"/>
      <c r="L2" s="150" t="n"/>
      <c r="M2" s="150" t="inlineStr">
        <is>
          <t>锁定公式列，不清洗</t>
        </is>
      </c>
      <c r="N2" s="150" t="inlineStr">
        <is>
          <t>公式锁定并随表格扩展</t>
        </is>
      </c>
      <c r="O2" s="150" t="inlineStr">
        <is>
          <t>GB 20052-2024</t>
        </is>
      </c>
      <c r="P2" s="150" t="inlineStr">
        <is>
          <t>表1～表35</t>
        </is>
      </c>
      <c r="R2" s="175" t="inlineStr">
        <is>
          <t>10kV油浸式三相双绕组无励磁调压配电变压器</t>
        </is>
      </c>
      <c r="S2" s="175" t="n"/>
      <c r="T2" s="175" t="n"/>
      <c r="U2" s="175" t="n"/>
      <c r="V2" s="175" t="inlineStr">
        <is>
          <t>三相异步电动机</t>
        </is>
      </c>
      <c r="W2" s="175" t="n">
        <v>2</v>
      </c>
      <c r="X2" s="175" t="n">
        <v>2</v>
      </c>
      <c r="Y2" s="175" t="n">
        <v>2</v>
      </c>
      <c r="Z2" s="175" t="inlineStr">
        <is>
          <t>0.2</t>
        </is>
      </c>
      <c r="AA2" s="175" t="inlineStr">
        <is>
          <t>IC01</t>
        </is>
      </c>
      <c r="AB2" s="175" t="inlineStr">
        <is>
          <t>IC81W</t>
        </is>
      </c>
      <c r="AC2" s="175" t="inlineStr">
        <is>
          <t>一般用喷油回转（工频）</t>
        </is>
      </c>
      <c r="AD2" s="175" t="inlineStr">
        <is>
          <t>风冷</t>
        </is>
      </c>
      <c r="AE2" s="175" t="inlineStr">
        <is>
          <t>单级单吸清水离心泵</t>
        </is>
      </c>
      <c r="AF2" s="175" t="inlineStr">
        <is>
          <t>离心通风机</t>
        </is>
      </c>
      <c r="AG2" s="175" t="inlineStr">
        <is>
          <t>轴流通风机</t>
        </is>
      </c>
      <c r="AH2" s="175" t="inlineStr">
        <is>
          <t>A式传动（普通电动机直联）</t>
        </is>
      </c>
      <c r="AI2" s="175" t="inlineStr">
        <is>
          <t>单吸</t>
        </is>
      </c>
      <c r="AJ2" s="175" t="inlineStr">
        <is>
          <t>是</t>
        </is>
      </c>
      <c r="AK2" s="175" t="inlineStr">
        <is>
          <t>单级双支撑低速离心鼓风机</t>
        </is>
      </c>
      <c r="AL2" s="175" t="inlineStr">
        <is>
          <t>小型潜水电泵</t>
        </is>
      </c>
      <c r="AM2" s="175" t="inlineStr">
        <is>
          <t>QDX和QD</t>
        </is>
      </c>
      <c r="AN2" s="175" t="inlineStr">
        <is>
          <t>离心式</t>
        </is>
      </c>
      <c r="AO2" s="175" t="inlineStr">
        <is>
          <t>旋流式</t>
        </is>
      </c>
      <c r="AP2" s="175" t="inlineStr">
        <is>
          <t>充水式</t>
        </is>
      </c>
      <c r="AQ2" s="175" t="inlineStr">
        <is>
          <t>蜗壳式</t>
        </is>
      </c>
      <c r="AR2" s="175" t="inlineStr">
        <is>
          <t>QDX和QD</t>
        </is>
      </c>
      <c r="AS2" s="175" t="inlineStr">
        <is>
          <t>层状燃烧燃煤锅炉</t>
        </is>
      </c>
      <c r="AT2" s="175" t="inlineStr">
        <is>
          <t>烟煤</t>
        </is>
      </c>
      <c r="AU2" s="175" t="inlineStr">
        <is>
          <t>传送式连续炉</t>
        </is>
      </c>
      <c r="AV2" s="175" t="inlineStr">
        <is>
          <t>燃料油</t>
        </is>
      </c>
      <c r="AW2" s="175" t="inlineStr">
        <is>
          <t>蒸气压缩循环冷水（热泵）机组-舒适型</t>
        </is>
      </c>
      <c r="AX2" s="175" t="inlineStr">
        <is>
          <t>GB/T 18430.1</t>
        </is>
      </c>
      <c r="AY2" s="175" t="inlineStr">
        <is>
          <t>舒适型</t>
        </is>
      </c>
      <c r="AZ2" s="175" t="inlineStr">
        <is>
          <t>水冷式</t>
        </is>
      </c>
      <c r="BA2" s="175" t="inlineStr">
        <is>
          <t>水冷式</t>
        </is>
      </c>
      <c r="BB2" s="175" t="inlineStr">
        <is>
          <t>水冷式</t>
        </is>
      </c>
      <c r="BC2" s="175" t="inlineStr">
        <is>
          <t>水冷式</t>
        </is>
      </c>
      <c r="BD2" s="175" t="inlineStr">
        <is>
          <t>空气源</t>
        </is>
      </c>
      <c r="BE2" s="175" t="inlineStr">
        <is>
          <t>地下水式</t>
        </is>
      </c>
      <c r="BF2" s="175" t="inlineStr">
        <is>
          <t>饱和蒸汽</t>
        </is>
      </c>
      <c r="BG2" s="175" t="inlineStr">
        <is>
          <t>空气源</t>
        </is>
      </c>
      <c r="BH2" s="175" t="inlineStr">
        <is>
          <t>蒸发冷却式</t>
        </is>
      </c>
      <c r="BI2" s="175" t="inlineStr">
        <is>
          <t>风冷式</t>
        </is>
      </c>
      <c r="BJ2" s="175" t="inlineStr">
        <is>
          <t>GB/T 18430.1</t>
        </is>
      </c>
      <c r="BK2" s="175" t="inlineStr">
        <is>
          <t>GB/T 18430.1</t>
        </is>
      </c>
      <c r="BL2" s="175" t="inlineStr">
        <is>
          <t>GB/T 18430.1</t>
        </is>
      </c>
      <c r="BM2" s="175" t="inlineStr">
        <is>
          <t>GB/T 25127.1</t>
        </is>
      </c>
      <c r="BN2" s="175" t="inlineStr">
        <is>
          <t>GB/T 19409</t>
        </is>
      </c>
      <c r="BO2" s="175" t="inlineStr">
        <is>
          <t>GB/T 18431</t>
        </is>
      </c>
      <c r="BP2" s="175" t="inlineStr">
        <is>
          <t>GB/T 25861</t>
        </is>
      </c>
      <c r="BQ2" s="175" t="inlineStr">
        <is>
          <t>JB/T 14642</t>
        </is>
      </c>
      <c r="BR2" s="175" t="inlineStr">
        <is>
          <t>JB/T 14640</t>
        </is>
      </c>
      <c r="BS2" s="175" t="inlineStr">
        <is>
          <t>舒适型</t>
        </is>
      </c>
      <c r="BT2" s="175" t="inlineStr">
        <is>
          <t>数据中心专用型</t>
        </is>
      </c>
      <c r="BU2" s="175" t="inlineStr">
        <is>
          <t>地板采暖型</t>
        </is>
      </c>
      <c r="BV2" s="175" t="inlineStr">
        <is>
          <t>冷热风型-热泵型</t>
        </is>
      </c>
      <c r="BW2" s="175" t="inlineStr">
        <is>
          <t>饱和蒸汽压力0.4MPa</t>
        </is>
      </c>
      <c r="BX2" s="175" t="inlineStr">
        <is>
          <t>循环供水式热泵高温热水机组</t>
        </is>
      </c>
      <c r="BY2" s="175" t="inlineStr">
        <is>
          <t>H1a</t>
        </is>
      </c>
      <c r="BZ2" s="175" t="inlineStr">
        <is>
          <t>外冷式</t>
        </is>
      </c>
      <c r="CA2" s="175" t="inlineStr">
        <is>
          <t>舒适型</t>
        </is>
      </c>
      <c r="CB2" s="175" t="inlineStr">
        <is>
          <t>综合部分负荷/季节性能指标体系（表1）</t>
        </is>
      </c>
      <c r="CC2" s="175" t="inlineStr">
        <is>
          <t>普通型</t>
        </is>
      </c>
      <c r="CD2" s="175" t="inlineStr">
        <is>
          <t>一次加热式</t>
        </is>
      </c>
      <c r="CE2" s="175" t="inlineStr">
        <is>
          <t>风管送风式空调（热泵）机组</t>
        </is>
      </c>
      <c r="CF2" s="175" t="inlineStr">
        <is>
          <t>风冷式</t>
        </is>
      </c>
      <c r="CG2" s="175" t="inlineStr">
        <is>
          <t>单冷型</t>
        </is>
      </c>
      <c r="CH2" s="175" t="inlineStr">
        <is>
          <t>小焓差</t>
        </is>
      </c>
      <c r="CI2" s="175" t="inlineStr">
        <is>
          <t>普通单元式空调机</t>
        </is>
      </c>
      <c r="CJ2" s="175" t="inlineStr">
        <is>
          <t>风冷式</t>
        </is>
      </c>
      <c r="CK2" s="175" t="inlineStr">
        <is>
          <t>风冷式单冷型多联机</t>
        </is>
      </c>
      <c r="CL2" s="175" t="inlineStr">
        <is>
          <t>水环式</t>
        </is>
      </c>
      <c r="CM2" s="175" t="inlineStr">
        <is>
          <t>水环式</t>
        </is>
      </c>
      <c r="CN2" s="175" t="inlineStr">
        <is>
          <t>不适用</t>
        </is>
      </c>
      <c r="CP2" s="150" t="inlineStr">
        <is>
          <t>EV_TR_COND_T1</t>
        </is>
      </c>
      <c r="CQ2" s="150" t="inlineStr">
        <is>
          <t>电工钢带｜Dyn11/Yzn11</t>
        </is>
      </c>
      <c r="CR2" s="150" t="inlineStr">
        <is>
          <t>10kV油浸式三相双绕组无励磁调压配电变压器</t>
        </is>
      </c>
      <c r="CS2" s="150" t="n"/>
      <c r="CT2" s="150" t="n"/>
      <c r="CU2" s="150" t="inlineStr">
        <is>
          <t>是</t>
        </is>
      </c>
      <c r="CV2" s="150" t="inlineStr">
        <is>
          <t>T01_ES_DYN</t>
        </is>
      </c>
      <c r="CW2" s="150" t="inlineStr">
        <is>
          <t>表1；电工钢带；Dyn11/Yzn11。</t>
        </is>
      </c>
      <c r="CX2" s="150" t="n">
        <v>1</v>
      </c>
      <c r="CY2" s="150" t="inlineStr">
        <is>
          <t>全部容量</t>
        </is>
      </c>
      <c r="CZ2" s="150" t="inlineStr">
        <is>
          <t/>
        </is>
      </c>
      <c r="DA2" s="150" t="inlineStr">
        <is>
          <t/>
        </is>
      </c>
      <c r="DB2" s="150" t="inlineStr">
        <is>
          <t/>
        </is>
      </c>
      <c r="DC2" s="150" t="inlineStr">
        <is>
          <t/>
        </is>
      </c>
      <c r="DD2" s="150" t="inlineStr">
        <is>
          <t/>
        </is>
      </c>
      <c r="DE2" s="150" t="inlineStr">
        <is>
          <t/>
        </is>
      </c>
      <c r="DF2" s="150" t="inlineStr">
        <is>
          <t/>
        </is>
      </c>
      <c r="DG2" s="150" t="inlineStr">
        <is>
          <t/>
        </is>
      </c>
      <c r="DH2" s="150" t="inlineStr">
        <is>
          <t/>
        </is>
      </c>
      <c r="DI2" s="150" t="inlineStr">
        <is>
          <t/>
        </is>
      </c>
      <c r="DJ2" s="150" t="inlineStr">
        <is>
          <t/>
        </is>
      </c>
      <c r="DK2" t="inlineStr">
        <is>
          <t>GB20052-T01</t>
        </is>
      </c>
      <c r="DL2" t="inlineStr">
        <is>
          <t>电工钢，Dyn11/Yzn11</t>
        </is>
      </c>
      <c r="DM2" t="inlineStr">
        <is>
          <t>电工钢，B级（100℃）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>光伏</t>
        </is>
      </c>
      <c r="EO2" t="inlineStr">
        <is>
          <t>光伏，B级（100℃）</t>
        </is>
      </c>
      <c r="EP2" t="inlineStr">
        <is>
          <t>光伏</t>
        </is>
      </c>
      <c r="EQ2" t="inlineStr">
        <is>
          <t>光伏，B级（100℃）</t>
        </is>
      </c>
      <c r="ER2" t="inlineStr">
        <is>
          <t>光伏</t>
        </is>
      </c>
      <c r="ES2" t="inlineStr">
        <is>
          <t>光伏，B级（100℃）</t>
        </is>
      </c>
      <c r="ET2" t="inlineStr">
        <is>
          <t>光伏</t>
        </is>
      </c>
      <c r="EU2" t="inlineStr">
        <is>
          <t/>
        </is>
      </c>
      <c r="EV2" t="inlineStr">
        <is>
          <t/>
        </is>
      </c>
    </row>
    <row r="3">
      <c r="A3" s="150" t="inlineStr">
        <is>
          <t>变压器</t>
        </is>
      </c>
      <c r="B3" s="150" t="inlineStr">
        <is>
          <t>device_name</t>
        </is>
      </c>
      <c r="C3" s="150" t="inlineStr">
        <is>
          <t>设备名称</t>
        </is>
      </c>
      <c r="D3" s="150" t="inlineStr">
        <is>
          <t>基础信息</t>
        </is>
      </c>
      <c r="E3" s="150" t="inlineStr">
        <is>
          <t>文本</t>
        </is>
      </c>
      <c r="F3" s="150" t="inlineStr">
        <is>
          <t>-</t>
        </is>
      </c>
      <c r="G3" s="150" t="inlineStr">
        <is>
          <t>是</t>
        </is>
      </c>
      <c r="H3" s="150" t="inlineStr">
        <is>
          <t>整行启用时必填</t>
        </is>
      </c>
      <c r="I3" s="150" t="inlineStr">
        <is>
          <t>无</t>
        </is>
      </c>
      <c r="J3" s="150" t="n"/>
      <c r="K3" s="150" t="n"/>
      <c r="L3" s="150" t="n"/>
      <c r="M3" s="150" t="inlineStr">
        <is>
          <t>去首尾空格；全角转半角；保留原值，不自动改写</t>
        </is>
      </c>
      <c r="N3" s="150" t="inlineStr">
        <is>
          <t>异常时写入自动备注；不改写原值</t>
        </is>
      </c>
      <c r="O3" s="150" t="inlineStr">
        <is>
          <t>GB 20052-2024</t>
        </is>
      </c>
      <c r="P3" s="150" t="inlineStr">
        <is>
          <t>表1～表35</t>
        </is>
      </c>
      <c r="R3" s="175" t="inlineStr">
        <is>
          <t>10kV干式三相双绕组无励磁调压配电变压器</t>
        </is>
      </c>
      <c r="S3" s="175" t="n"/>
      <c r="T3" s="175" t="n"/>
      <c r="U3" s="175" t="n"/>
      <c r="V3" s="175" t="inlineStr">
        <is>
          <t>电容起动异步电动机</t>
        </is>
      </c>
      <c r="W3" s="175" t="n">
        <v>4</v>
      </c>
      <c r="X3" s="175" t="n">
        <v>4</v>
      </c>
      <c r="Y3" s="175" t="n">
        <v>4</v>
      </c>
      <c r="Z3" s="175" t="inlineStr">
        <is>
          <t>0.4</t>
        </is>
      </c>
      <c r="AA3" s="175" t="inlineStr">
        <is>
          <t>IC11</t>
        </is>
      </c>
      <c r="AB3" s="175" t="inlineStr">
        <is>
          <t>IC86W</t>
        </is>
      </c>
      <c r="AC3" s="175" t="inlineStr">
        <is>
          <t>一般用变转速喷油回转</t>
        </is>
      </c>
      <c r="AD3" s="175" t="inlineStr">
        <is>
          <t>液冷</t>
        </is>
      </c>
      <c r="AE3" s="175" t="inlineStr">
        <is>
          <t>单级双吸清水离心泵</t>
        </is>
      </c>
      <c r="AF3" s="175" t="inlineStr">
        <is>
          <t>外转子电机直联前向多翼离心风机</t>
        </is>
      </c>
      <c r="AG3" s="175" t="inlineStr">
        <is>
          <t>其他（请备注说明）</t>
        </is>
      </c>
      <c r="AH3" s="175" t="inlineStr">
        <is>
          <t>外转子电机直联</t>
        </is>
      </c>
      <c r="AI3" s="175" t="inlineStr">
        <is>
          <t>双吸</t>
        </is>
      </c>
      <c r="AJ3" s="175" t="inlineStr">
        <is>
          <t>否</t>
        </is>
      </c>
      <c r="AK3" s="175" t="inlineStr">
        <is>
          <t>多级低速离心鼓风机</t>
        </is>
      </c>
      <c r="AL3" s="175" t="inlineStr">
        <is>
          <t>大中型潜水电泵</t>
        </is>
      </c>
      <c r="AM3" s="175" t="inlineStr">
        <is>
          <t>QX和Q</t>
        </is>
      </c>
      <c r="AN3" s="175" t="inlineStr">
        <is>
          <t>轴流式</t>
        </is>
      </c>
      <c r="AO3" s="175" t="inlineStr">
        <is>
          <t>轴流式</t>
        </is>
      </c>
      <c r="AP3" s="175" t="inlineStr">
        <is>
          <t>充油式</t>
        </is>
      </c>
      <c r="AQ3" s="175" t="inlineStr">
        <is>
          <t>导叶式</t>
        </is>
      </c>
      <c r="AR3" s="175" t="inlineStr">
        <is>
          <t>QX和Q</t>
        </is>
      </c>
      <c r="AS3" s="175" t="inlineStr">
        <is>
          <t>流化床燃烧燃煤锅炉</t>
        </is>
      </c>
      <c r="AT3" s="175" t="inlineStr">
        <is>
          <t>贫煤</t>
        </is>
      </c>
      <c r="AU3" s="175" t="inlineStr">
        <is>
          <t>震底式连续炉</t>
        </is>
      </c>
      <c r="AV3" s="175" t="inlineStr">
        <is>
          <t>发生炉煤气（1250kcal/m³～1350kcal/m³）</t>
        </is>
      </c>
      <c r="AW3" s="175" t="inlineStr">
        <is>
          <t>蒸气压缩循环冷水（热泵）机组-数据中心专用型</t>
        </is>
      </c>
      <c r="AX3" s="175" t="inlineStr">
        <is>
          <t>GB/T 18430.2</t>
        </is>
      </c>
      <c r="AY3" s="175" t="inlineStr">
        <is>
          <t>数据中心专用型</t>
        </is>
      </c>
      <c r="AZ3" s="175" t="inlineStr">
        <is>
          <t>风冷式</t>
        </is>
      </c>
      <c r="BA3" s="175" t="inlineStr">
        <is>
          <t>风冷式</t>
        </is>
      </c>
      <c r="BB3" s="175" t="inlineStr">
        <is>
          <t>风冷式</t>
        </is>
      </c>
      <c r="BC3" s="175" t="inlineStr">
        <is>
          <t>风冷式</t>
        </is>
      </c>
      <c r="BD3" s="175" t="inlineStr">
        <is>
          <t>风冷式</t>
        </is>
      </c>
      <c r="BE3" s="175" t="inlineStr">
        <is>
          <t>地埋管式</t>
        </is>
      </c>
      <c r="BF3" s="175" t="inlineStr">
        <is>
          <t>直燃</t>
        </is>
      </c>
      <c r="BG3" s="175" t="inlineStr">
        <is>
          <t>水冷式</t>
        </is>
      </c>
      <c r="BH3" s="175" t="inlineStr">
        <is>
          <t>其他（请备注说明）</t>
        </is>
      </c>
      <c r="BI3" s="175" t="inlineStr">
        <is>
          <t>水冷式</t>
        </is>
      </c>
      <c r="BJ3" s="175" t="inlineStr">
        <is>
          <t>GB/T 18430.2</t>
        </is>
      </c>
      <c r="BK3" s="175" t="inlineStr">
        <is>
          <t>GB/T 18430.2</t>
        </is>
      </c>
      <c r="BL3" s="175" t="inlineStr">
        <is>
          <t>GB/T 18430.2</t>
        </is>
      </c>
      <c r="BM3" s="175" t="inlineStr">
        <is>
          <t>GB/T 25127.2</t>
        </is>
      </c>
      <c r="BN3" s="175" t="inlineStr">
        <is>
          <t>其他（请备注说明）</t>
        </is>
      </c>
      <c r="BO3" s="175" t="inlineStr">
        <is>
          <t>GB/T 18362</t>
        </is>
      </c>
      <c r="BP3" s="175" t="inlineStr">
        <is>
          <t>其他（请备注说明）</t>
        </is>
      </c>
      <c r="BQ3" s="175" t="inlineStr">
        <is>
          <t>其他（请备注说明）</t>
        </is>
      </c>
      <c r="BR3" s="175" t="inlineStr">
        <is>
          <t>JB/T 12839</t>
        </is>
      </c>
      <c r="BS3" s="175" t="inlineStr">
        <is>
          <t>其他（请备注说明）</t>
        </is>
      </c>
      <c r="BT3" s="175" t="inlineStr">
        <is>
          <t>其他（请备注说明）</t>
        </is>
      </c>
      <c r="BU3" s="175" t="inlineStr">
        <is>
          <t>风机盘管型</t>
        </is>
      </c>
      <c r="BV3" s="175" t="inlineStr">
        <is>
          <t>冷热水型-单热型</t>
        </is>
      </c>
      <c r="BW3" s="175" t="inlineStr">
        <is>
          <t>饱和蒸汽压力0.6MPa</t>
        </is>
      </c>
      <c r="BX3" s="175" t="inlineStr">
        <is>
          <t>其他（请备注说明）</t>
        </is>
      </c>
      <c r="BY3" s="175" t="inlineStr">
        <is>
          <t>H2a</t>
        </is>
      </c>
      <c r="BZ3" s="175" t="inlineStr">
        <is>
          <t>内冷式</t>
        </is>
      </c>
      <c r="CA3" s="175" t="inlineStr">
        <is>
          <t>数据中心专用型</t>
        </is>
      </c>
      <c r="CB3" s="175" t="inlineStr">
        <is>
          <t>制冷性能系数COPc指标体系（表2）</t>
        </is>
      </c>
      <c r="CC3" s="175" t="inlineStr">
        <is>
          <t>低温型</t>
        </is>
      </c>
      <c r="CD3" s="175" t="inlineStr">
        <is>
          <t>循环加热式</t>
        </is>
      </c>
      <c r="CE3" s="175" t="inlineStr">
        <is>
          <t>直接蒸发式全新风空气处理机组</t>
        </is>
      </c>
      <c r="CF3" s="175" t="inlineStr">
        <is>
          <t>水冷式（水环式）</t>
        </is>
      </c>
      <c r="CG3" s="175" t="inlineStr">
        <is>
          <t>热泵型</t>
        </is>
      </c>
      <c r="CH3" s="175" t="inlineStr">
        <is>
          <t>大焓差</t>
        </is>
      </c>
      <c r="CI3" s="175" t="inlineStr">
        <is>
          <t>计算机和数据处理机房用单元式空调机</t>
        </is>
      </c>
      <c r="CJ3" s="175" t="inlineStr">
        <is>
          <t>水冷式</t>
        </is>
      </c>
      <c r="CK3" s="175" t="inlineStr">
        <is>
          <t>风冷式热泵型多联机</t>
        </is>
      </c>
      <c r="CL3" s="175" t="inlineStr">
        <is>
          <t>地埋管式</t>
        </is>
      </c>
      <c r="CM3" s="175" t="inlineStr">
        <is>
          <t>地埋管式</t>
        </is>
      </c>
      <c r="CP3" s="150" t="inlineStr">
        <is>
          <t>EV_TR_COND_T1</t>
        </is>
      </c>
      <c r="CQ3" s="150" t="inlineStr">
        <is>
          <t>电工钢带｜Yyn0</t>
        </is>
      </c>
      <c r="CR3" s="150" t="inlineStr">
        <is>
          <t>10kV油浸式三相双绕组无励磁调压配电变压器</t>
        </is>
      </c>
      <c r="CS3" s="150" t="n"/>
      <c r="CT3" s="150" t="n"/>
      <c r="CU3" s="150" t="inlineStr">
        <is>
          <t>是</t>
        </is>
      </c>
      <c r="CV3" s="150" t="inlineStr">
        <is>
          <t>T01_ES_YYN0</t>
        </is>
      </c>
      <c r="CW3" s="150" t="inlineStr">
        <is>
          <t>表1；电工钢带；Yyn0。</t>
        </is>
      </c>
      <c r="CX3" s="150" t="n">
        <v>2</v>
      </c>
      <c r="CY3" s="150" t="inlineStr">
        <is>
          <t>全部容量</t>
        </is>
      </c>
      <c r="CZ3" s="150" t="inlineStr">
        <is>
          <t/>
        </is>
      </c>
      <c r="DA3" s="150" t="inlineStr">
        <is>
          <t/>
        </is>
      </c>
      <c r="DB3" s="150" t="inlineStr">
        <is>
          <t/>
        </is>
      </c>
      <c r="DC3" s="150" t="inlineStr">
        <is>
          <t/>
        </is>
      </c>
      <c r="DD3" t="inlineStr">
        <is>
          <t/>
        </is>
      </c>
      <c r="DE3" s="150" t="inlineStr">
        <is>
          <t/>
        </is>
      </c>
      <c r="DF3" t="inlineStr">
        <is>
          <t/>
        </is>
      </c>
      <c r="DG3" s="150" t="inlineStr">
        <is>
          <t/>
        </is>
      </c>
      <c r="DH3" s="150" t="inlineStr">
        <is>
          <t/>
        </is>
      </c>
      <c r="DI3" s="150" t="inlineStr">
        <is>
          <t/>
        </is>
      </c>
      <c r="DJ3" t="inlineStr">
        <is>
          <t/>
        </is>
      </c>
      <c r="DK3" t="inlineStr">
        <is>
          <t>GB20052-T02</t>
        </is>
      </c>
      <c r="DL3" t="inlineStr">
        <is>
          <t>电工钢，Yyn0</t>
        </is>
      </c>
      <c r="DM3" t="inlineStr">
        <is>
          <t>电工钢，F级（120℃）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>风电</t>
        </is>
      </c>
      <c r="EO3" t="inlineStr">
        <is>
          <t>光伏，F级（120℃）</t>
        </is>
      </c>
      <c r="EP3" t="inlineStr">
        <is>
          <t>风电</t>
        </is>
      </c>
      <c r="EQ3" t="inlineStr">
        <is>
          <t>光伏，F级（120℃）</t>
        </is>
      </c>
      <c r="ER3" t="inlineStr">
        <is>
          <t>风电</t>
        </is>
      </c>
      <c r="ES3" t="inlineStr">
        <is>
          <t>光伏，F级（120℃）</t>
        </is>
      </c>
      <c r="ET3" t="inlineStr">
        <is>
          <t>风电</t>
        </is>
      </c>
      <c r="EU3" t="inlineStr">
        <is>
          <t/>
        </is>
      </c>
      <c r="EV3" t="inlineStr">
        <is>
          <t/>
        </is>
      </c>
    </row>
    <row r="4">
      <c r="A4" s="150" t="inlineStr">
        <is>
          <t>变压器</t>
        </is>
      </c>
      <c r="B4" s="150" t="inlineStr">
        <is>
          <t>model</t>
        </is>
      </c>
      <c r="C4" s="150" t="inlineStr">
        <is>
          <t>型号</t>
        </is>
      </c>
      <c r="D4" s="150" t="inlineStr">
        <is>
          <t>基础信息</t>
        </is>
      </c>
      <c r="E4" s="150" t="inlineStr">
        <is>
          <t>文本</t>
        </is>
      </c>
      <c r="F4" s="150" t="inlineStr">
        <is>
          <t>-</t>
        </is>
      </c>
      <c r="G4" s="150" t="inlineStr">
        <is>
          <t>是</t>
        </is>
      </c>
      <c r="H4" s="150" t="inlineStr">
        <is>
          <t>整行启用时必填</t>
        </is>
      </c>
      <c r="I4" s="150" t="inlineStr">
        <is>
          <t>无</t>
        </is>
      </c>
      <c r="J4" s="150" t="n"/>
      <c r="K4" s="150" t="n"/>
      <c r="L4" s="150" t="n"/>
      <c r="M4" s="150" t="inlineStr">
        <is>
          <t>去首尾空格；统一字母大小写、连接符和全半角；保留原值</t>
        </is>
      </c>
      <c r="N4" s="150" t="inlineStr">
        <is>
          <t>异常时写入自动备注；不改写原值</t>
        </is>
      </c>
      <c r="O4" s="150" t="inlineStr">
        <is>
          <t>GB 20052-2024</t>
        </is>
      </c>
      <c r="P4" s="150" t="inlineStr">
        <is>
          <t>表1～表35</t>
        </is>
      </c>
      <c r="R4" s="175" t="inlineStr">
        <is>
          <t>35kV油浸式三相双绕组无励磁调压电力变压器</t>
        </is>
      </c>
      <c r="S4" s="175" t="n"/>
      <c r="T4" s="175" t="n"/>
      <c r="U4" s="175" t="n"/>
      <c r="V4" s="175" t="inlineStr">
        <is>
          <t>电容运转异步电动机</t>
        </is>
      </c>
      <c r="W4" s="175" t="n">
        <v>6</v>
      </c>
      <c r="X4" s="175" t="n">
        <v>6</v>
      </c>
      <c r="Y4" s="175" t="n">
        <v>6</v>
      </c>
      <c r="Z4" s="175" t="inlineStr">
        <is>
          <t>3（3.3）</t>
        </is>
      </c>
      <c r="AA4" s="175" t="inlineStr">
        <is>
          <t>IC21</t>
        </is>
      </c>
      <c r="AB4" s="175" t="inlineStr">
        <is>
          <t>IC71W(IC3W7)</t>
        </is>
      </c>
      <c r="AC4" s="175" t="inlineStr">
        <is>
          <t>一般用往复活塞</t>
        </is>
      </c>
      <c r="AD4" s="175" t="inlineStr">
        <is>
          <t>不适用</t>
        </is>
      </c>
      <c r="AE4" s="175" t="inlineStr">
        <is>
          <t>管道清水离心泵</t>
        </is>
      </c>
      <c r="AF4" s="175" t="inlineStr">
        <is>
          <t>其他（请备注说明）</t>
        </is>
      </c>
      <c r="AH4" s="175" t="inlineStr">
        <is>
          <t>其他传动</t>
        </is>
      </c>
      <c r="AI4" s="175" t="n"/>
      <c r="AJ4" s="175" t="inlineStr">
        <is>
          <t>不适用</t>
        </is>
      </c>
      <c r="AK4" s="175" t="inlineStr">
        <is>
          <t>单级双支撑高速离心鼓风机</t>
        </is>
      </c>
      <c r="AL4" s="175" t="inlineStr">
        <is>
          <t>污水污物潜水电泵</t>
        </is>
      </c>
      <c r="AM4" s="175" t="inlineStr">
        <is>
          <t>QY</t>
        </is>
      </c>
      <c r="AN4" s="175" t="inlineStr">
        <is>
          <t>混流式（蜗壳）</t>
        </is>
      </c>
      <c r="AO4" s="175" t="inlineStr">
        <is>
          <t>混流式</t>
        </is>
      </c>
      <c r="AP4" s="175" t="inlineStr">
        <is>
          <t>屏蔽式</t>
        </is>
      </c>
      <c r="AQ4" s="175" t="inlineStr">
        <is>
          <t>其他（请备注说明）</t>
        </is>
      </c>
      <c r="AR4" s="175" t="inlineStr">
        <is>
          <t>QY</t>
        </is>
      </c>
      <c r="AS4" s="175" t="inlineStr">
        <is>
          <t>生物质锅炉</t>
        </is>
      </c>
      <c r="AT4" s="175" t="inlineStr">
        <is>
          <t>无烟煤</t>
        </is>
      </c>
      <c r="AU4" s="175" t="inlineStr">
        <is>
          <t>推送式连续炉</t>
        </is>
      </c>
      <c r="AV4" s="175" t="inlineStr">
        <is>
          <t>发生炉煤气（1400kcal/m³～2200kcal/m³）</t>
        </is>
      </c>
      <c r="AW4" s="175" t="inlineStr">
        <is>
          <t>低环境温度空气源热泵（冷水）机组</t>
        </is>
      </c>
      <c r="AX4" s="175" t="inlineStr">
        <is>
          <t>GB/T 25127.1</t>
        </is>
      </c>
      <c r="AY4" s="175" t="inlineStr">
        <is>
          <t>地板采暖型</t>
        </is>
      </c>
      <c r="AZ4" s="175" t="inlineStr">
        <is>
          <t>蒸发冷却式</t>
        </is>
      </c>
      <c r="BA4" s="175" t="inlineStr">
        <is>
          <t>蒸发冷却式</t>
        </is>
      </c>
      <c r="BB4" s="175" t="inlineStr">
        <is>
          <t>蒸发冷却式</t>
        </is>
      </c>
      <c r="BC4" s="175" t="inlineStr">
        <is>
          <t>蒸发冷却式</t>
        </is>
      </c>
      <c r="BD4" s="175" t="inlineStr">
        <is>
          <t>其他（请备注说明）</t>
        </is>
      </c>
      <c r="BE4" s="175" t="inlineStr">
        <is>
          <t>地表水式</t>
        </is>
      </c>
      <c r="BF4" s="175" t="inlineStr">
        <is>
          <t>其他（请备注说明）</t>
        </is>
      </c>
      <c r="BG4" s="175" t="inlineStr">
        <is>
          <t>其他（请备注说明）</t>
        </is>
      </c>
      <c r="BI4" s="175" t="inlineStr">
        <is>
          <t>蒸发冷却式</t>
        </is>
      </c>
      <c r="BJ4" s="175" t="inlineStr">
        <is>
          <t>GB/T 25127.1</t>
        </is>
      </c>
      <c r="BK4" s="175" t="inlineStr">
        <is>
          <t>其他（请备注说明）</t>
        </is>
      </c>
      <c r="BL4" s="175" t="inlineStr">
        <is>
          <t>其他（请备注说明）</t>
        </is>
      </c>
      <c r="BM4" s="175" t="inlineStr">
        <is>
          <t>其他（请备注说明）</t>
        </is>
      </c>
      <c r="BO4" s="175" t="inlineStr">
        <is>
          <t>其他（请备注说明）</t>
        </is>
      </c>
      <c r="BR4" s="175" t="inlineStr">
        <is>
          <t>其他（请备注说明）</t>
        </is>
      </c>
      <c r="BU4" s="175" t="inlineStr">
        <is>
          <t>散热器型</t>
        </is>
      </c>
      <c r="BV4" s="175" t="inlineStr">
        <is>
          <t>冷热水型-热泵型</t>
        </is>
      </c>
      <c r="BW4" s="175" t="inlineStr">
        <is>
          <t>饱和蒸汽压力0.8MPa</t>
        </is>
      </c>
      <c r="BY4" s="175" t="inlineStr">
        <is>
          <t>H3a</t>
        </is>
      </c>
      <c r="BZ4" s="175" t="inlineStr">
        <is>
          <t>内外冷串联式</t>
        </is>
      </c>
      <c r="CA4" s="175" t="inlineStr">
        <is>
          <t>地板采暖型</t>
        </is>
      </c>
      <c r="CB4" s="175" t="inlineStr">
        <is>
          <t>对应产品类别指标体系（表3～表8）</t>
        </is>
      </c>
      <c r="CC4" s="175" t="inlineStr">
        <is>
          <t>其他（请备注说明）</t>
        </is>
      </c>
      <c r="CD4" s="175" t="inlineStr">
        <is>
          <t>静态加热式</t>
        </is>
      </c>
      <c r="CE4" s="175" t="inlineStr">
        <is>
          <t>其他（请备注说明）</t>
        </is>
      </c>
      <c r="CF4" s="175" t="inlineStr">
        <is>
          <t>不适用</t>
        </is>
      </c>
      <c r="CG4" s="175" t="inlineStr">
        <is>
          <t>不适用</t>
        </is>
      </c>
      <c r="CH4" s="175" t="inlineStr">
        <is>
          <t>不适用</t>
        </is>
      </c>
      <c r="CI4" s="175" t="inlineStr">
        <is>
          <t>通讯基站用单元式空气调节机</t>
        </is>
      </c>
      <c r="CJ4" s="175" t="inlineStr">
        <is>
          <t>乙二醇经济冷却式</t>
        </is>
      </c>
      <c r="CK4" s="175" t="inlineStr">
        <is>
          <t>水冷式多联机</t>
        </is>
      </c>
      <c r="CL4" s="175" t="inlineStr">
        <is>
          <t>地下水式</t>
        </is>
      </c>
      <c r="CM4" s="175" t="inlineStr">
        <is>
          <t>地下水式</t>
        </is>
      </c>
      <c r="CP4" s="150" t="inlineStr">
        <is>
          <t>EV_TR_COND_T1</t>
        </is>
      </c>
      <c r="CQ4" s="150" t="inlineStr">
        <is>
          <t>非晶合金｜Dyn11/Yzn11</t>
        </is>
      </c>
      <c r="CR4" s="150" t="inlineStr">
        <is>
          <t>10kV油浸式三相双绕组无励磁调压配电变压器</t>
        </is>
      </c>
      <c r="CS4" s="150" t="n"/>
      <c r="CT4" s="150" t="n"/>
      <c r="CU4" s="150" t="inlineStr">
        <is>
          <t>是</t>
        </is>
      </c>
      <c r="CV4" s="150" t="inlineStr">
        <is>
          <t>T01_AM_DYN</t>
        </is>
      </c>
      <c r="CW4" s="150" t="inlineStr">
        <is>
          <t>表1；非晶合金；Dyn11/Yzn11。</t>
        </is>
      </c>
      <c r="CX4" s="150" t="n">
        <v>3</v>
      </c>
      <c r="CY4" s="150" t="inlineStr">
        <is>
          <t>全部容量</t>
        </is>
      </c>
      <c r="CZ4" s="150" t="inlineStr">
        <is>
          <t/>
        </is>
      </c>
      <c r="DA4" s="150" t="inlineStr">
        <is>
          <t/>
        </is>
      </c>
      <c r="DB4" s="150" t="inlineStr">
        <is>
          <t/>
        </is>
      </c>
      <c r="DC4" s="150" t="inlineStr">
        <is>
          <t/>
        </is>
      </c>
      <c r="DD4" t="inlineStr">
        <is>
          <t/>
        </is>
      </c>
      <c r="DE4" s="150" t="inlineStr">
        <is>
          <t/>
        </is>
      </c>
      <c r="DF4" t="inlineStr">
        <is>
          <t/>
        </is>
      </c>
      <c r="DG4" s="150" t="inlineStr">
        <is>
          <t/>
        </is>
      </c>
      <c r="DH4" s="150" t="inlineStr">
        <is>
          <t/>
        </is>
      </c>
      <c r="DI4" s="150" t="inlineStr">
        <is>
          <t/>
        </is>
      </c>
      <c r="DJ4" t="inlineStr">
        <is>
          <t/>
        </is>
      </c>
      <c r="DK4" t="inlineStr">
        <is>
          <t>GB20052-T03</t>
        </is>
      </c>
      <c r="DL4" t="inlineStr">
        <is>
          <t>非晶合金，Dyn11/Yzn11</t>
        </is>
      </c>
      <c r="DM4" t="inlineStr">
        <is>
          <t>电工钢，H级（145℃）</t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>储能</t>
        </is>
      </c>
      <c r="EO4" t="inlineStr">
        <is>
          <t>光伏，H级（145℃）</t>
        </is>
      </c>
      <c r="EP4" t="inlineStr">
        <is>
          <t>储能</t>
        </is>
      </c>
      <c r="EQ4" t="inlineStr">
        <is>
          <t>光伏，H级（145℃）</t>
        </is>
      </c>
      <c r="ER4" t="inlineStr">
        <is>
          <t>储能</t>
        </is>
      </c>
      <c r="ES4" t="inlineStr">
        <is>
          <t>光伏，H级（145℃）</t>
        </is>
      </c>
      <c r="ET4" t="inlineStr">
        <is>
          <t>储能</t>
        </is>
      </c>
      <c r="EU4" t="inlineStr">
        <is>
          <t/>
        </is>
      </c>
      <c r="EV4" t="inlineStr">
        <is>
          <t/>
        </is>
      </c>
    </row>
    <row r="5">
      <c r="A5" s="150" t="inlineStr">
        <is>
          <t>变压器</t>
        </is>
      </c>
      <c r="B5" s="150" t="inlineStr">
        <is>
          <t>quantity</t>
        </is>
      </c>
      <c r="C5" s="150" t="inlineStr">
        <is>
          <t>数量</t>
        </is>
      </c>
      <c r="D5" s="150" t="inlineStr">
        <is>
          <t>基础信息</t>
        </is>
      </c>
      <c r="E5" s="150" t="inlineStr">
        <is>
          <t>整数</t>
        </is>
      </c>
      <c r="F5" s="150" t="inlineStr">
        <is>
          <t>-</t>
        </is>
      </c>
      <c r="G5" s="150" t="inlineStr">
        <is>
          <t>是</t>
        </is>
      </c>
      <c r="H5" s="150" t="inlineStr">
        <is>
          <t>整行启用时必填</t>
        </is>
      </c>
      <c r="I5" s="150" t="inlineStr">
        <is>
          <t>正整数</t>
        </is>
      </c>
      <c r="J5" s="150" t="n">
        <v>1</v>
      </c>
      <c r="K5" s="150" t="n"/>
      <c r="L5" s="150" t="n"/>
      <c r="M5" s="150" t="inlineStr">
        <is>
          <t>去首尾空格；全角转半角；保留原值，不自动改写</t>
        </is>
      </c>
      <c r="N5" s="150" t="inlineStr">
        <is>
          <t>异常时写入自动备注；不改写原值</t>
        </is>
      </c>
      <c r="O5" s="150" t="inlineStr">
        <is>
          <t>GB 20052-2024</t>
        </is>
      </c>
      <c r="P5" s="150" t="inlineStr">
        <is>
          <t>表1～表35</t>
        </is>
      </c>
      <c r="R5" s="175" t="inlineStr">
        <is>
          <t>35kV油浸式三相双绕组有载调压电力变压器</t>
        </is>
      </c>
      <c r="S5" s="175" t="n"/>
      <c r="T5" s="175" t="n"/>
      <c r="U5" s="175" t="n"/>
      <c r="V5" s="175" t="inlineStr">
        <is>
          <t>双值电容异步电动机</t>
        </is>
      </c>
      <c r="W5" s="175" t="n">
        <v>8</v>
      </c>
      <c r="X5" s="175" t="n">
        <v>8</v>
      </c>
      <c r="Y5" s="175" t="n">
        <v>8</v>
      </c>
      <c r="Z5" s="175" t="inlineStr">
        <is>
          <t>6</t>
        </is>
      </c>
      <c r="AA5" s="175" t="inlineStr">
        <is>
          <t>IC31</t>
        </is>
      </c>
      <c r="AB5" s="175" t="inlineStr">
        <is>
          <t>IC411</t>
        </is>
      </c>
      <c r="AC5" s="175" t="inlineStr">
        <is>
          <t>全无油润滑往复活塞</t>
        </is>
      </c>
      <c r="AD5" s="175" t="inlineStr">
        <is>
          <t>其他（请备注说明）</t>
        </is>
      </c>
      <c r="AE5" s="175" t="inlineStr">
        <is>
          <t>多级清水离心泵</t>
        </is>
      </c>
      <c r="AH5" s="175" t="inlineStr">
        <is>
          <t>不适用</t>
        </is>
      </c>
      <c r="AI5" s="175" t="n"/>
      <c r="AJ5" s="175" t="inlineStr">
        <is>
          <t>其他（请备注说明）</t>
        </is>
      </c>
      <c r="AK5" s="175" t="inlineStr">
        <is>
          <t>多级高速离心鼓风机</t>
        </is>
      </c>
      <c r="AL5" s="175" t="inlineStr">
        <is>
          <t>井用潜水电泵</t>
        </is>
      </c>
      <c r="AM5" s="175" t="inlineStr">
        <is>
          <t>QS</t>
        </is>
      </c>
      <c r="AN5" s="175" t="inlineStr">
        <is>
          <t>混流式（导叶）</t>
        </is>
      </c>
      <c r="AO5" s="175" t="inlineStr">
        <is>
          <t>其他式</t>
        </is>
      </c>
      <c r="AP5" s="175" t="inlineStr">
        <is>
          <t>单相</t>
        </is>
      </c>
      <c r="AR5" s="175" t="inlineStr">
        <is>
          <t>QS</t>
        </is>
      </c>
      <c r="AS5" s="175" t="inlineStr">
        <is>
          <t>室燃燃烧锅炉（无冷凝）</t>
        </is>
      </c>
      <c r="AT5" s="175" t="inlineStr">
        <is>
          <t>褐煤</t>
        </is>
      </c>
      <c r="AU5" s="175" t="inlineStr">
        <is>
          <t>滚筒式连续炉</t>
        </is>
      </c>
      <c r="AV5" s="175" t="inlineStr">
        <is>
          <t>城市煤气/焦炉煤气</t>
        </is>
      </c>
      <c r="AW5" s="175" t="inlineStr">
        <is>
          <t>水（地）源热泵机组</t>
        </is>
      </c>
      <c r="AX5" s="175" t="inlineStr">
        <is>
          <t>GB/T 25127.2</t>
        </is>
      </c>
      <c r="AY5" s="175" t="inlineStr">
        <is>
          <t>风机盘管型</t>
        </is>
      </c>
      <c r="AZ5" s="175" t="inlineStr">
        <is>
          <t>空气源</t>
        </is>
      </c>
      <c r="BA5" s="175" t="inlineStr">
        <is>
          <t>空气源</t>
        </is>
      </c>
      <c r="BB5" s="175" t="inlineStr">
        <is>
          <t>其他（请备注说明）</t>
        </is>
      </c>
      <c r="BC5" s="175" t="inlineStr">
        <is>
          <t>其他（请备注说明）</t>
        </is>
      </c>
      <c r="BE5" s="175" t="inlineStr">
        <is>
          <t>水环式</t>
        </is>
      </c>
      <c r="BI5" s="175" t="inlineStr">
        <is>
          <t>其他（请备注说明）</t>
        </is>
      </c>
      <c r="BJ5" s="175" t="inlineStr">
        <is>
          <t>GB/T 25127.2</t>
        </is>
      </c>
      <c r="BU5" s="175" t="inlineStr">
        <is>
          <t>其他（请备注说明）</t>
        </is>
      </c>
      <c r="BV5" s="175" t="inlineStr">
        <is>
          <t>其他（请备注说明）</t>
        </is>
      </c>
      <c r="BW5" s="175" t="inlineStr">
        <is>
          <t>直燃型机组</t>
        </is>
      </c>
      <c r="BY5" s="175" t="inlineStr">
        <is>
          <t>H4a</t>
        </is>
      </c>
      <c r="BZ5" s="175" t="inlineStr">
        <is>
          <t>蒸发冷却式冷却塔式</t>
        </is>
      </c>
      <c r="CA5" s="175" t="inlineStr">
        <is>
          <t>风机盘管型</t>
        </is>
      </c>
      <c r="CB5" s="175" t="inlineStr">
        <is>
          <t>其他（请备注说明）</t>
        </is>
      </c>
      <c r="CD5" s="175" t="inlineStr">
        <is>
          <t>不适用</t>
        </is>
      </c>
      <c r="CF5" s="175" t="inlineStr">
        <is>
          <t>其他（请备注说明）</t>
        </is>
      </c>
      <c r="CG5" s="175" t="inlineStr">
        <is>
          <t>其他（请备注说明）</t>
        </is>
      </c>
      <c r="CH5" s="175" t="inlineStr">
        <is>
          <t>其他（请备注说明）</t>
        </is>
      </c>
      <c r="CI5" s="175" t="inlineStr">
        <is>
          <t>恒温恒湿型单元式空调机</t>
        </is>
      </c>
      <c r="CJ5" s="175" t="inlineStr">
        <is>
          <t>风冷双冷源式</t>
        </is>
      </c>
      <c r="CK5" s="175" t="inlineStr">
        <is>
          <t>低温多联机</t>
        </is>
      </c>
      <c r="CL5" s="175" t="inlineStr">
        <is>
          <t>不适用</t>
        </is>
      </c>
      <c r="CM5" s="175" t="inlineStr">
        <is>
          <t>其他（请备注说明）</t>
        </is>
      </c>
      <c r="CP5" s="150" t="inlineStr">
        <is>
          <t>EV_TR_COND_T1</t>
        </is>
      </c>
      <c r="CQ5" s="150" t="inlineStr">
        <is>
          <t>非晶合金｜Yyn0</t>
        </is>
      </c>
      <c r="CR5" s="150" t="inlineStr">
        <is>
          <t>10kV油浸式三相双绕组无励磁调压配电变压器</t>
        </is>
      </c>
      <c r="CS5" s="150" t="n"/>
      <c r="CT5" s="150" t="n"/>
      <c r="CU5" s="150" t="inlineStr">
        <is>
          <t>是</t>
        </is>
      </c>
      <c r="CV5" s="150" t="inlineStr">
        <is>
          <t>T01_AM_YYN0</t>
        </is>
      </c>
      <c r="CW5" s="150" t="inlineStr">
        <is>
          <t>表1；非晶合金；Yyn0。</t>
        </is>
      </c>
      <c r="CX5" s="150" t="n">
        <v>4</v>
      </c>
      <c r="CY5" s="150" t="inlineStr">
        <is>
          <t>全部容量</t>
        </is>
      </c>
      <c r="CZ5" s="150" t="inlineStr">
        <is>
          <t/>
        </is>
      </c>
      <c r="DA5" s="150" t="inlineStr">
        <is>
          <t/>
        </is>
      </c>
      <c r="DB5" s="150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s="150" t="inlineStr">
        <is>
          <t/>
        </is>
      </c>
      <c r="DH5" s="150" t="inlineStr">
        <is>
          <t/>
        </is>
      </c>
      <c r="DI5" s="150" t="inlineStr">
        <is>
          <t/>
        </is>
      </c>
      <c r="DJ5" t="inlineStr">
        <is>
          <t/>
        </is>
      </c>
      <c r="DK5" t="inlineStr">
        <is>
          <t>GB20052-T04</t>
        </is>
      </c>
      <c r="DL5" t="inlineStr">
        <is>
          <t>非晶合金，Yyn0</t>
        </is>
      </c>
      <c r="DM5" t="inlineStr">
        <is>
          <t>非晶合金，B级（100℃）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>风电，B级（100℃）</t>
        </is>
      </c>
      <c r="EP5" t="inlineStr">
        <is>
          <t/>
        </is>
      </c>
      <c r="EQ5" t="inlineStr">
        <is>
          <t>风电，B级（100℃）</t>
        </is>
      </c>
      <c r="ER5" t="inlineStr">
        <is>
          <t/>
        </is>
      </c>
      <c r="ES5" t="inlineStr">
        <is>
          <t>风电，B级（100℃）</t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</row>
    <row r="6">
      <c r="A6" s="150" t="inlineStr">
        <is>
          <t>变压器</t>
        </is>
      </c>
      <c r="B6" s="150" t="inlineStr">
        <is>
          <t>location</t>
        </is>
      </c>
      <c r="C6" s="150" t="inlineStr">
        <is>
          <t>安装位置</t>
        </is>
      </c>
      <c r="D6" s="150" t="inlineStr">
        <is>
          <t>基础信息</t>
        </is>
      </c>
      <c r="E6" s="150" t="inlineStr">
        <is>
          <t>文本</t>
        </is>
      </c>
      <c r="F6" s="150" t="inlineStr">
        <is>
          <t>-</t>
        </is>
      </c>
      <c r="G6" s="150" t="inlineStr">
        <is>
          <t>是</t>
        </is>
      </c>
      <c r="H6" s="150" t="inlineStr">
        <is>
          <t>可选</t>
        </is>
      </c>
      <c r="I6" s="150" t="inlineStr">
        <is>
          <t>无</t>
        </is>
      </c>
      <c r="J6" s="150" t="n"/>
      <c r="K6" s="150" t="n"/>
      <c r="L6" s="150" t="n"/>
      <c r="M6" s="150" t="inlineStr">
        <is>
          <t>去首尾空格；全角转半角；保留原值，不自动改写</t>
        </is>
      </c>
      <c r="N6" s="150" t="inlineStr">
        <is>
          <t>异常时写入自动备注；不改写原值</t>
        </is>
      </c>
      <c r="O6" s="150" t="inlineStr">
        <is>
          <t>GB 20052-2024</t>
        </is>
      </c>
      <c r="P6" s="150" t="inlineStr">
        <is>
          <t>表1～表35</t>
        </is>
      </c>
      <c r="R6" s="175" t="inlineStr">
        <is>
          <t>66kV油浸式三相双绕组无励磁调压电力变压器</t>
        </is>
      </c>
      <c r="T6" s="175" t="n"/>
      <c r="V6" s="175" t="inlineStr">
        <is>
          <t>空调器风扇用电容运转电动机</t>
        </is>
      </c>
      <c r="W6" s="175" t="inlineStr">
        <is>
          <t>其他（请备注说明）</t>
        </is>
      </c>
      <c r="X6" s="175" t="n">
        <v>10</v>
      </c>
      <c r="Y6" s="175" t="n">
        <v>10</v>
      </c>
      <c r="Z6" s="175" t="inlineStr">
        <is>
          <t>10</t>
        </is>
      </c>
      <c r="AA6" s="175" t="inlineStr">
        <is>
          <t>IC81W</t>
        </is>
      </c>
      <c r="AB6" s="175" t="inlineStr">
        <is>
          <t>IC416</t>
        </is>
      </c>
      <c r="AC6" s="175" t="inlineStr">
        <is>
          <t>有油润滑的直联便携式往复活塞</t>
        </is>
      </c>
      <c r="AE6" s="175" t="inlineStr">
        <is>
          <t>轻型多级清水离心泵（立式）</t>
        </is>
      </c>
      <c r="AH6" s="175" t="inlineStr">
        <is>
          <t>其他（请备注说明）</t>
        </is>
      </c>
      <c r="AK6" s="175" t="inlineStr">
        <is>
          <t>其他（请备注说明）</t>
        </is>
      </c>
      <c r="AL6" s="175" t="inlineStr">
        <is>
          <t>混流潜水电泵</t>
        </is>
      </c>
      <c r="AM6" s="175" t="inlineStr">
        <is>
          <t>QXR</t>
        </is>
      </c>
      <c r="AN6" s="175" t="inlineStr">
        <is>
          <t>其他（请备注说明）</t>
        </is>
      </c>
      <c r="AO6" s="175" t="inlineStr">
        <is>
          <t>其他（请备注说明）</t>
        </is>
      </c>
      <c r="AP6" s="175" t="inlineStr">
        <is>
          <t>其他（请备注说明）</t>
        </is>
      </c>
      <c r="AR6" s="175" t="inlineStr">
        <is>
          <t>QXR</t>
        </is>
      </c>
      <c r="AS6" s="175" t="inlineStr">
        <is>
          <t>室燃燃烧锅炉（燃气冷凝）</t>
        </is>
      </c>
      <c r="AT6" s="175" t="inlineStr">
        <is>
          <t>生物质</t>
        </is>
      </c>
      <c r="AU6" s="175" t="inlineStr">
        <is>
          <t>箱式多用炉</t>
        </is>
      </c>
      <c r="AV6" s="175" t="inlineStr">
        <is>
          <t>天然气</t>
        </is>
      </c>
      <c r="AW6" s="175" t="inlineStr">
        <is>
          <t>溴化锂吸收式冷（温）水机组</t>
        </is>
      </c>
      <c r="AX6" s="175" t="inlineStr">
        <is>
          <t>GB/T 19409</t>
        </is>
      </c>
      <c r="AY6" s="175" t="inlineStr">
        <is>
          <t>散热器型</t>
        </is>
      </c>
      <c r="AZ6" s="175" t="inlineStr">
        <is>
          <t>水环式</t>
        </is>
      </c>
      <c r="BA6" s="175" t="inlineStr">
        <is>
          <t>水环式</t>
        </is>
      </c>
      <c r="BE6" s="175" t="inlineStr">
        <is>
          <t>其他（请备注说明）</t>
        </is>
      </c>
      <c r="BJ6" s="175" t="inlineStr">
        <is>
          <t>GB/T 19409</t>
        </is>
      </c>
      <c r="BW6" s="175" t="inlineStr">
        <is>
          <t>其他（请备注说明）</t>
        </is>
      </c>
      <c r="BY6" s="175" t="inlineStr">
        <is>
          <t>H5a</t>
        </is>
      </c>
      <c r="BZ6" s="175" t="inlineStr">
        <is>
          <t>风冷式</t>
        </is>
      </c>
      <c r="CA6" s="175" t="inlineStr">
        <is>
          <t>散热器型</t>
        </is>
      </c>
      <c r="CD6" s="175" t="inlineStr">
        <is>
          <t>其他（请备注说明）</t>
        </is>
      </c>
      <c r="CI6" s="175" t="inlineStr">
        <is>
          <t>其他（请备注说明）</t>
        </is>
      </c>
      <c r="CJ6" s="175" t="inlineStr">
        <is>
          <t>水冷双冷源式</t>
        </is>
      </c>
      <c r="CK6" s="175" t="inlineStr">
        <is>
          <t>其他（请备注说明）</t>
        </is>
      </c>
      <c r="CL6" s="175" t="inlineStr">
        <is>
          <t>其他（请备注说明）</t>
        </is>
      </c>
      <c r="CP6" s="150" t="inlineStr">
        <is>
          <t>EV_TR_COND_T1</t>
        </is>
      </c>
      <c r="CQ6" s="150" t="inlineStr">
        <is>
          <t>其他（请备注说明）</t>
        </is>
      </c>
      <c r="CR6" s="150" t="inlineStr">
        <is>
          <t>10kV油浸式三相双绕组无励磁调压配电变压器</t>
        </is>
      </c>
      <c r="CS6" s="150" t="n"/>
      <c r="CT6" s="150" t="n"/>
      <c r="CU6" s="150" t="inlineStr">
        <is>
          <t>是</t>
        </is>
      </c>
      <c r="CV6" s="150" t="inlineStr">
        <is>
          <t>T01_OTHER</t>
        </is>
      </c>
      <c r="CW6" s="150" t="inlineStr">
        <is>
          <t>表1：选择“其他”时请在填表备注中说明。</t>
        </is>
      </c>
      <c r="CX6" s="150" t="n">
        <v>5</v>
      </c>
      <c r="CY6" s="150" t="inlineStr">
        <is>
          <t>全部容量</t>
        </is>
      </c>
      <c r="CZ6" s="150" t="inlineStr">
        <is>
          <t/>
        </is>
      </c>
      <c r="DA6" s="150" t="inlineStr">
        <is>
          <t/>
        </is>
      </c>
      <c r="DB6" s="150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>GB20052-T05</t>
        </is>
      </c>
      <c r="DL6" t="inlineStr">
        <is>
          <t/>
        </is>
      </c>
      <c r="DM6" t="inlineStr">
        <is>
          <t>非晶合金，F级（120℃）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>风电，F级（120℃）</t>
        </is>
      </c>
      <c r="EP6" t="inlineStr">
        <is>
          <t/>
        </is>
      </c>
      <c r="EQ6" t="inlineStr">
        <is>
          <t>风电，F级（120℃）</t>
        </is>
      </c>
      <c r="ER6" t="inlineStr">
        <is>
          <t/>
        </is>
      </c>
      <c r="ES6" t="inlineStr">
        <is>
          <t>风电，F级（120℃）</t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</row>
    <row r="7">
      <c r="A7" s="150" t="inlineStr">
        <is>
          <t>变压器</t>
        </is>
      </c>
      <c r="B7" s="150" t="inlineStr">
        <is>
          <t>category</t>
        </is>
      </c>
      <c r="C7" s="150" t="inlineStr">
        <is>
          <t>设备类别</t>
        </is>
      </c>
      <c r="D7" s="150" t="inlineStr">
        <is>
          <t>设备参数</t>
        </is>
      </c>
      <c r="E7" s="150" t="inlineStr">
        <is>
          <t>文本</t>
        </is>
      </c>
      <c r="F7" s="150" t="inlineStr">
        <is>
          <t>-</t>
        </is>
      </c>
      <c r="G7" s="150" t="inlineStr">
        <is>
          <t>是</t>
        </is>
      </c>
      <c r="H7" s="150" t="inlineStr">
        <is>
          <t>整行启用时必填</t>
        </is>
      </c>
      <c r="I7" s="150" t="inlineStr">
        <is>
          <t>停止型下拉；粘贴后由自动备注复核</t>
        </is>
      </c>
      <c r="J7" s="150" t="n"/>
      <c r="K7" s="150" t="n"/>
      <c r="L7" s="150" t="inlineStr">
        <is>
          <t>EV_TRANSFORMER_CATEGORY</t>
        </is>
      </c>
      <c r="M7" s="150" t="inlineStr">
        <is>
          <t>去首尾空格；全角转半角；保留原值，不自动改写</t>
        </is>
      </c>
      <c r="N7" s="150" t="inlineStr">
        <is>
          <t>异常时写入自动备注；不改写原值</t>
        </is>
      </c>
      <c r="O7" s="150" t="inlineStr">
        <is>
          <t>GB 20052-2024</t>
        </is>
      </c>
      <c r="P7" s="150" t="inlineStr">
        <is>
          <t>表1～表35</t>
        </is>
      </c>
      <c r="R7" s="175" t="inlineStr">
        <is>
          <t>66kV油浸式三相双绕组有载调压电力变压器</t>
        </is>
      </c>
      <c r="T7" s="175" t="n"/>
      <c r="V7" s="175" t="inlineStr">
        <is>
          <t>空调器风扇用无刷直流电动机</t>
        </is>
      </c>
      <c r="X7" s="175" t="n">
        <v>12</v>
      </c>
      <c r="Y7" s="175" t="n">
        <v>12</v>
      </c>
      <c r="Z7" s="175" t="inlineStr">
        <is>
          <t>其他（请备注说明）</t>
        </is>
      </c>
      <c r="AA7" s="175" t="inlineStr">
        <is>
          <t>IC611</t>
        </is>
      </c>
      <c r="AB7" s="175" t="inlineStr">
        <is>
          <t>IC511</t>
        </is>
      </c>
      <c r="AC7" s="175" t="inlineStr">
        <is>
          <t>无油润滑的直联便携式往复活塞</t>
        </is>
      </c>
      <c r="AE7" s="175" t="inlineStr">
        <is>
          <t>轻型多级清水离心泵（卧式）</t>
        </is>
      </c>
      <c r="AL7" s="175" t="inlineStr">
        <is>
          <t>其他（请备注说明）</t>
        </is>
      </c>
      <c r="AM7" s="175" t="inlineStr">
        <is>
          <t>QXL</t>
        </is>
      </c>
      <c r="AR7" s="175" t="inlineStr">
        <is>
          <t>QXL</t>
        </is>
      </c>
      <c r="AS7" s="175" t="inlineStr">
        <is>
          <t>有机热载体锅炉（带余热回收）</t>
        </is>
      </c>
      <c r="AT7" s="175" t="inlineStr">
        <is>
          <t>天然气</t>
        </is>
      </c>
      <c r="AU7" s="175" t="inlineStr">
        <is>
          <t>井式炉-中温炉</t>
        </is>
      </c>
      <c r="AV7" s="175" t="inlineStr">
        <is>
          <t>电力</t>
        </is>
      </c>
      <c r="AW7" s="175" t="inlineStr">
        <is>
          <t>蒸气压缩循环高温热泵机组</t>
        </is>
      </c>
      <c r="AX7" s="175" t="inlineStr">
        <is>
          <t>GB/T 18431</t>
        </is>
      </c>
      <c r="AY7" s="175" t="inlineStr">
        <is>
          <t>冷热风型-热泵型</t>
        </is>
      </c>
      <c r="AZ7" s="175" t="inlineStr">
        <is>
          <t>地下水式</t>
        </is>
      </c>
      <c r="BA7" s="175" t="inlineStr">
        <is>
          <t>地下水式</t>
        </is>
      </c>
      <c r="BJ7" s="175" t="inlineStr">
        <is>
          <t>GB/T 18431</t>
        </is>
      </c>
      <c r="BY7" s="175" t="inlineStr">
        <is>
          <t>H1b</t>
        </is>
      </c>
      <c r="BZ7" s="175" t="inlineStr">
        <is>
          <t>其他（请备注说明）</t>
        </is>
      </c>
      <c r="CA7" s="175" t="inlineStr">
        <is>
          <t>冷热风型-热泵型</t>
        </is>
      </c>
      <c r="CJ7" s="175" t="inlineStr">
        <is>
          <t>不适用</t>
        </is>
      </c>
      <c r="CP7" s="150" t="inlineStr">
        <is>
          <t>EV_TR_COND_T2</t>
        </is>
      </c>
      <c r="CQ7" s="150" t="inlineStr">
        <is>
          <t>电工钢带｜B(100℃)</t>
        </is>
      </c>
      <c r="CR7" s="150" t="inlineStr">
        <is>
          <t>10kV干式三相双绕组无励磁调压配电变压器</t>
        </is>
      </c>
      <c r="CS7" s="150" t="n"/>
      <c r="CT7" s="150" t="n"/>
      <c r="CU7" s="150" t="inlineStr">
        <is>
          <t>是</t>
        </is>
      </c>
      <c r="CV7" s="150" t="inlineStr">
        <is>
          <t>T02_ES_B_GENERAL</t>
        </is>
      </c>
      <c r="CW7" s="150" t="inlineStr">
        <is>
          <t>表2；电工钢带；B(100℃)；额定容量不等于630 kVA，不分阻抗组。</t>
        </is>
      </c>
      <c r="CX7" s="150" t="n">
        <v>1</v>
      </c>
      <c r="CY7" s="150" t="inlineStr">
        <is>
          <t>额定容量≠630 kVA</t>
        </is>
      </c>
      <c r="CZ7" t="inlineStr">
        <is>
          <t/>
        </is>
      </c>
      <c r="DA7" s="150" t="inlineStr">
        <is>
          <t/>
        </is>
      </c>
      <c r="DB7" s="150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>GB20052-T06</t>
        </is>
      </c>
      <c r="DL7" t="inlineStr">
        <is>
          <t/>
        </is>
      </c>
      <c r="DM7" t="inlineStr">
        <is>
          <t>非晶合金，H级（145℃）</t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>风电，H级（145℃）</t>
        </is>
      </c>
      <c r="EP7" t="inlineStr">
        <is>
          <t/>
        </is>
      </c>
      <c r="EQ7" t="inlineStr">
        <is>
          <t>风电，H级（145℃）</t>
        </is>
      </c>
      <c r="ER7" t="inlineStr">
        <is>
          <t/>
        </is>
      </c>
      <c r="ES7" t="inlineStr">
        <is>
          <t>风电，H级（145℃）</t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</row>
    <row r="8">
      <c r="A8" s="150" t="inlineStr">
        <is>
          <t>变压器</t>
        </is>
      </c>
      <c r="B8" s="150" t="inlineStr">
        <is>
          <t>rated_capacity</t>
        </is>
      </c>
      <c r="C8" s="150" t="inlineStr">
        <is>
          <t>额定容量</t>
        </is>
      </c>
      <c r="D8" s="150" t="inlineStr">
        <is>
          <t>设备参数</t>
        </is>
      </c>
      <c r="E8" s="150" t="inlineStr">
        <is>
          <t>数值</t>
        </is>
      </c>
      <c r="F8" s="150" t="inlineStr">
        <is>
          <t>kVA</t>
        </is>
      </c>
      <c r="G8" s="150" t="inlineStr">
        <is>
          <t>是</t>
        </is>
      </c>
      <c r="H8" s="150" t="inlineStr">
        <is>
          <t>整行启用时必填</t>
        </is>
      </c>
      <c r="I8" s="150" t="inlineStr">
        <is>
          <t>数值&gt;0</t>
        </is>
      </c>
      <c r="J8" s="150" t="n">
        <v>0</v>
      </c>
      <c r="K8" s="150" t="n"/>
      <c r="L8" s="150" t="n"/>
      <c r="M8" s="150" t="inlineStr">
        <is>
          <t>去首尾空格；全角转半角；保留原值，不自动改写</t>
        </is>
      </c>
      <c r="N8" s="150" t="inlineStr">
        <is>
          <t>异常时写入自动备注；不改写原值</t>
        </is>
      </c>
      <c r="O8" s="150" t="inlineStr">
        <is>
          <t>GB 20052-2024</t>
        </is>
      </c>
      <c r="P8" s="150" t="inlineStr">
        <is>
          <t>表1～表35</t>
        </is>
      </c>
      <c r="R8" s="175" t="inlineStr">
        <is>
          <t>110kV油浸式三相双绕组无励磁调压电力变压器（低压非35kV）</t>
        </is>
      </c>
      <c r="V8" s="175" t="inlineStr">
        <is>
          <t>高压三相笼型异步电动机</t>
        </is>
      </c>
      <c r="X8" s="175" t="inlineStr">
        <is>
          <t>其他（请备注说明）</t>
        </is>
      </c>
      <c r="Y8" s="175" t="n">
        <v>16</v>
      </c>
      <c r="AA8" s="175" t="inlineStr">
        <is>
          <t>IC616</t>
        </is>
      </c>
      <c r="AB8" s="175" t="inlineStr">
        <is>
          <t>IC611</t>
        </is>
      </c>
      <c r="AC8" s="175" t="inlineStr">
        <is>
          <t>其他（请备注说明）</t>
        </is>
      </c>
      <c r="AE8" s="175" t="inlineStr">
        <is>
          <t>单级石油化工离心泵</t>
        </is>
      </c>
      <c r="AM8" s="175" t="inlineStr">
        <is>
          <t>其他（请备注说明）</t>
        </is>
      </c>
      <c r="AR8" s="175" t="inlineStr">
        <is>
          <t>离心式</t>
        </is>
      </c>
      <c r="AS8" s="175" t="inlineStr">
        <is>
          <t>有机热载体锅炉（无余热回收）</t>
        </is>
      </c>
      <c r="AT8" s="175" t="inlineStr">
        <is>
          <t>燃油</t>
        </is>
      </c>
      <c r="AU8" s="175" t="inlineStr">
        <is>
          <t>井式炉-回火炉</t>
        </is>
      </c>
      <c r="AV8" s="175" t="inlineStr">
        <is>
          <t>其他（请备注说明）</t>
        </is>
      </c>
      <c r="AW8" s="175" t="inlineStr">
        <is>
          <t>间接蒸发冷却冷水机组</t>
        </is>
      </c>
      <c r="AX8" s="175" t="inlineStr">
        <is>
          <t>GB/T 18362</t>
        </is>
      </c>
      <c r="AY8" s="175" t="inlineStr">
        <is>
          <t>冷热水型-单热型</t>
        </is>
      </c>
      <c r="AZ8" s="175" t="inlineStr">
        <is>
          <t>地埋管式</t>
        </is>
      </c>
      <c r="BA8" s="175" t="inlineStr">
        <is>
          <t>地埋管式</t>
        </is>
      </c>
      <c r="BJ8" s="175" t="inlineStr">
        <is>
          <t>GB/T 18362</t>
        </is>
      </c>
      <c r="BY8" s="175" t="inlineStr">
        <is>
          <t>H2b</t>
        </is>
      </c>
      <c r="CA8" s="175" t="inlineStr">
        <is>
          <t>冷热水型-单热型</t>
        </is>
      </c>
      <c r="CJ8" s="175" t="inlineStr">
        <is>
          <t>其他（请备注说明）</t>
        </is>
      </c>
      <c r="CP8" s="150" t="inlineStr">
        <is>
          <t>EV_TR_COND_T2</t>
        </is>
      </c>
      <c r="CQ8" s="150" t="inlineStr">
        <is>
          <t>电工钢带｜F(120℃)</t>
        </is>
      </c>
      <c r="CR8" s="150" t="inlineStr">
        <is>
          <t>10kV干式三相双绕组无励磁调压配电变压器</t>
        </is>
      </c>
      <c r="CS8" s="150" t="n"/>
      <c r="CT8" s="150" t="n"/>
      <c r="CU8" s="150" t="inlineStr">
        <is>
          <t>是</t>
        </is>
      </c>
      <c r="CV8" s="150" t="inlineStr">
        <is>
          <t>T02_ES_F_GENERAL</t>
        </is>
      </c>
      <c r="CW8" s="150" t="inlineStr">
        <is>
          <t>表2；电工钢带；F(120℃)；额定容量不等于630 kVA，不分阻抗组。</t>
        </is>
      </c>
      <c r="CX8" s="150" t="n">
        <v>2</v>
      </c>
      <c r="CY8" s="150" t="inlineStr">
        <is>
          <t>额定容量≠630 kVA</t>
        </is>
      </c>
      <c r="CZ8" t="inlineStr">
        <is>
          <t/>
        </is>
      </c>
      <c r="DA8" s="150" t="inlineStr">
        <is>
          <t/>
        </is>
      </c>
      <c r="DB8" s="150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>GB20052-T07</t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>储能，B级（100℃）</t>
        </is>
      </c>
      <c r="EP8" t="inlineStr">
        <is>
          <t/>
        </is>
      </c>
      <c r="EQ8" t="inlineStr">
        <is>
          <t>储能，B级（100℃）</t>
        </is>
      </c>
      <c r="ER8" t="inlineStr">
        <is>
          <t/>
        </is>
      </c>
      <c r="ES8" t="inlineStr">
        <is>
          <t>储能，B级（100℃）</t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</row>
    <row r="9">
      <c r="A9" s="150" t="inlineStr">
        <is>
          <t>变压器</t>
        </is>
      </c>
      <c r="B9" s="150" t="inlineStr">
        <is>
          <t>standard_condition</t>
        </is>
      </c>
      <c r="C9" s="150" t="inlineStr">
        <is>
          <t>标准条件</t>
        </is>
      </c>
      <c r="D9" s="150" t="inlineStr">
        <is>
          <t>设备参数</t>
        </is>
      </c>
      <c r="E9" s="150" t="inlineStr">
        <is>
          <t>文本</t>
        </is>
      </c>
      <c r="F9" s="150" t="inlineStr">
        <is>
          <t>-</t>
        </is>
      </c>
      <c r="G9" s="150" t="inlineStr">
        <is>
          <t>是</t>
        </is>
      </c>
      <c r="H9" s="150" t="inlineStr">
        <is>
          <t>按设备类别/容量条件必填</t>
        </is>
      </c>
      <c r="I9" s="150" t="inlineStr">
        <is>
          <t>条件下拉；停止型；粘贴后由自动备注复核</t>
        </is>
      </c>
      <c r="J9" s="150" t="n"/>
      <c r="K9" s="150" t="n"/>
      <c r="L9" s="150" t="inlineStr">
        <is>
          <t>由condition_key关联条件映射</t>
        </is>
      </c>
      <c r="M9" s="150" t="inlineStr">
        <is>
          <t>去首尾空格；全角转半角；不得猜测或自动修改业务含义；本版只提示，不自动改写输入</t>
        </is>
      </c>
      <c r="N9" s="150" t="inlineStr">
        <is>
          <t>条件缺失或与类别/容量不匹配时提示；“其他”要求填表备注说明</t>
        </is>
      </c>
      <c r="O9" s="150" t="inlineStr">
        <is>
          <t>GB 20052-2024</t>
        </is>
      </c>
      <c r="P9" s="150" t="inlineStr">
        <is>
          <t>相关特殊分支：表1、2、9、13、15、27、28、30、32、34</t>
        </is>
      </c>
      <c r="R9" s="175" t="inlineStr">
        <is>
          <t>110kV油浸式三相双绕组低压为35kV无励磁调压电力变压器</t>
        </is>
      </c>
      <c r="V9" s="175" t="inlineStr">
        <is>
          <t>异步起动三相永磁同步电动机</t>
        </is>
      </c>
      <c r="Y9" s="175" t="n">
        <v>20</v>
      </c>
      <c r="AA9" s="175" t="inlineStr">
        <is>
          <t>IC511</t>
        </is>
      </c>
      <c r="AB9" s="175" t="inlineStr">
        <is>
          <t>IC616</t>
        </is>
      </c>
      <c r="AE9" s="175" t="inlineStr">
        <is>
          <t>多级石油化工离心泵</t>
        </is>
      </c>
      <c r="AR9" s="175" t="inlineStr">
        <is>
          <t>轴流式</t>
        </is>
      </c>
      <c r="AS9" s="175" t="inlineStr">
        <is>
          <t>电锅炉</t>
        </is>
      </c>
      <c r="AT9" s="175" t="inlineStr">
        <is>
          <t>煤（室燃）</t>
        </is>
      </c>
      <c r="AU9" s="175" t="inlineStr">
        <is>
          <t>井式炉-气体渗碳(氮)炉</t>
        </is>
      </c>
      <c r="AW9" s="175" t="inlineStr">
        <is>
          <t>一体式冷水（热泵）机组</t>
        </is>
      </c>
      <c r="AX9" s="175" t="inlineStr">
        <is>
          <t>GB/T 25861</t>
        </is>
      </c>
      <c r="AY9" s="175" t="inlineStr">
        <is>
          <t>冷热水型-热泵型</t>
        </is>
      </c>
      <c r="AZ9" s="175" t="inlineStr">
        <is>
          <t>地表水式</t>
        </is>
      </c>
      <c r="BA9" s="175" t="inlineStr">
        <is>
          <t>地表水式</t>
        </is>
      </c>
      <c r="BJ9" s="175" t="inlineStr">
        <is>
          <t>GB/T 25861</t>
        </is>
      </c>
      <c r="BY9" s="175" t="inlineStr">
        <is>
          <t>H3b</t>
        </is>
      </c>
      <c r="CA9" s="175" t="inlineStr">
        <is>
          <t>冷热水型-热泵型</t>
        </is>
      </c>
      <c r="CP9" s="150" t="inlineStr">
        <is>
          <t>EV_TR_COND_T2</t>
        </is>
      </c>
      <c r="CQ9" s="150" t="inlineStr">
        <is>
          <t>电工钢带｜H(145℃)</t>
        </is>
      </c>
      <c r="CR9" s="150" t="inlineStr">
        <is>
          <t>10kV干式三相双绕组无励磁调压配电变压器</t>
        </is>
      </c>
      <c r="CS9" s="150" t="n"/>
      <c r="CT9" s="150" t="n"/>
      <c r="CU9" s="150" t="inlineStr">
        <is>
          <t>是</t>
        </is>
      </c>
      <c r="CV9" s="150" t="inlineStr">
        <is>
          <t>T02_ES_H_GENERAL</t>
        </is>
      </c>
      <c r="CW9" s="150" t="inlineStr">
        <is>
          <t>表2；电工钢带；H(145℃)；额定容量不等于630 kVA，不分阻抗组。</t>
        </is>
      </c>
      <c r="CX9" s="150" t="n">
        <v>3</v>
      </c>
      <c r="CY9" s="150" t="inlineStr">
        <is>
          <t>额定容量≠630 kVA</t>
        </is>
      </c>
      <c r="CZ9" t="inlineStr">
        <is>
          <t/>
        </is>
      </c>
      <c r="DA9" t="inlineStr">
        <is>
          <t/>
        </is>
      </c>
      <c r="DB9" s="150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>GB20052-T08</t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>储能，F级（120℃）</t>
        </is>
      </c>
      <c r="EP9" t="inlineStr">
        <is>
          <t/>
        </is>
      </c>
      <c r="EQ9" t="inlineStr">
        <is>
          <t>储能，F级（120℃）</t>
        </is>
      </c>
      <c r="ER9" t="inlineStr">
        <is>
          <t/>
        </is>
      </c>
      <c r="ES9" t="inlineStr">
        <is>
          <t>储能，F级（120℃）</t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</row>
    <row r="10">
      <c r="A10" s="150" t="inlineStr">
        <is>
          <t>变压器</t>
        </is>
      </c>
      <c r="B10" s="150" t="inlineStr">
        <is>
          <t>short_circuit_impedance</t>
        </is>
      </c>
      <c r="C10" s="150" t="inlineStr">
        <is>
          <t>短路阻抗</t>
        </is>
      </c>
      <c r="D10" s="150" t="inlineStr">
        <is>
          <t>设备参数</t>
        </is>
      </c>
      <c r="E10" s="150" t="inlineStr">
        <is>
          <t>文本</t>
        </is>
      </c>
      <c r="F10" s="150" t="inlineStr">
        <is>
          <t>%</t>
        </is>
      </c>
      <c r="G10" s="150" t="inlineStr">
        <is>
          <t>是</t>
        </is>
      </c>
      <c r="H10" s="150" t="inlineStr">
        <is>
          <t>可选</t>
        </is>
      </c>
      <c r="I10" s="150" t="inlineStr">
        <is>
          <t>无强制数值限制</t>
        </is>
      </c>
      <c r="J10" s="150" t="n"/>
      <c r="K10" s="150" t="n"/>
      <c r="L10" s="150" t="n"/>
      <c r="M10" s="150" t="inlineStr">
        <is>
          <t>去首尾空格；全角转半角；保留原值；不解析、不自动修改阻抗值</t>
        </is>
      </c>
      <c r="N10" s="150" t="inlineStr">
        <is>
          <t>本阶段不解析、不参与判级；保留原始填写值</t>
        </is>
      </c>
      <c r="O10" s="150" t="inlineStr">
        <is>
          <t>GB 20052-2024</t>
        </is>
      </c>
      <c r="P10" s="150" t="inlineStr">
        <is>
          <t>短路阻抗复核预留</t>
        </is>
      </c>
      <c r="R10" s="175" t="inlineStr">
        <is>
          <t>110kV油浸式三相三绕组无励磁调压变压器</t>
        </is>
      </c>
      <c r="V10" s="175" t="inlineStr">
        <is>
          <t>变频调速永磁同步电动机</t>
        </is>
      </c>
      <c r="Y10" s="175" t="n">
        <v>24</v>
      </c>
      <c r="AA10" s="175" t="inlineStr">
        <is>
          <t>IC516</t>
        </is>
      </c>
      <c r="AB10" s="175" t="inlineStr">
        <is>
          <t>IC516</t>
        </is>
      </c>
      <c r="AE10" s="175" t="inlineStr">
        <is>
          <t>其他类别</t>
        </is>
      </c>
      <c r="AR10" s="175" t="inlineStr">
        <is>
          <t>混流式（蜗壳）</t>
        </is>
      </c>
      <c r="AS10" s="175" t="inlineStr">
        <is>
          <t>其他（请备注说明）</t>
        </is>
      </c>
      <c r="AT10" s="175" t="inlineStr">
        <is>
          <t>电力</t>
        </is>
      </c>
      <c r="AU10" s="175" t="inlineStr">
        <is>
          <t>箱式炉</t>
        </is>
      </c>
      <c r="AW10" s="175" t="inlineStr">
        <is>
          <t>其他（请备注说明）</t>
        </is>
      </c>
      <c r="AX10" s="175" t="inlineStr">
        <is>
          <t>JB/T 12840</t>
        </is>
      </c>
      <c r="AY10" s="175" t="inlineStr">
        <is>
          <t>饱和蒸汽压力0.4MPa</t>
        </is>
      </c>
      <c r="AZ10" s="175" t="inlineStr">
        <is>
          <t>饱和蒸汽</t>
        </is>
      </c>
      <c r="BA10" s="175" t="inlineStr">
        <is>
          <t>饱和蒸汽</t>
        </is>
      </c>
      <c r="BJ10" s="175" t="inlineStr">
        <is>
          <t>JB/T 12840</t>
        </is>
      </c>
      <c r="BY10" s="175" t="inlineStr">
        <is>
          <t>H4b</t>
        </is>
      </c>
      <c r="CA10" s="175" t="inlineStr">
        <is>
          <t>饱和蒸汽压力0.4MPa</t>
        </is>
      </c>
      <c r="CP10" s="150" t="inlineStr">
        <is>
          <t>EV_TR_COND_T2</t>
        </is>
      </c>
      <c r="CQ10" s="150" t="inlineStr">
        <is>
          <t>非晶合金｜B(100℃)</t>
        </is>
      </c>
      <c r="CR10" s="150" t="inlineStr">
        <is>
          <t>10kV干式三相双绕组无励磁调压配电变压器</t>
        </is>
      </c>
      <c r="CS10" s="150" t="n"/>
      <c r="CT10" s="150" t="n"/>
      <c r="CU10" s="150" t="inlineStr">
        <is>
          <t>是</t>
        </is>
      </c>
      <c r="CV10" s="150" t="inlineStr">
        <is>
          <t>T02_AM_B_GENERAL</t>
        </is>
      </c>
      <c r="CW10" s="150" t="inlineStr">
        <is>
          <t>表2；非晶合金；B(100℃)；额定容量不等于630 kVA，不分阻抗组。</t>
        </is>
      </c>
      <c r="CX10" s="150" t="n">
        <v>4</v>
      </c>
      <c r="CY10" s="150" t="inlineStr">
        <is>
          <t>额定容量≠630 kVA</t>
        </is>
      </c>
      <c r="CZ10" t="inlineStr">
        <is>
          <t/>
        </is>
      </c>
      <c r="DA10" t="inlineStr">
        <is>
          <t/>
        </is>
      </c>
      <c r="DB10" s="15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>GB20052-T09</t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>储能，H级（145℃）</t>
        </is>
      </c>
      <c r="EP10" t="inlineStr">
        <is>
          <t/>
        </is>
      </c>
      <c r="EQ10" t="inlineStr">
        <is>
          <t>储能，H级（145℃）</t>
        </is>
      </c>
      <c r="ER10" t="inlineStr">
        <is>
          <t/>
        </is>
      </c>
      <c r="ES10" t="inlineStr">
        <is>
          <t>储能，H级（145℃）</t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</row>
    <row r="11">
      <c r="A11" s="150" t="inlineStr">
        <is>
          <t>变压器</t>
        </is>
      </c>
      <c r="B11" s="150" t="inlineStr">
        <is>
          <t>no_load_loss</t>
        </is>
      </c>
      <c r="C11" s="150" t="inlineStr">
        <is>
          <t>空载损耗</t>
        </is>
      </c>
      <c r="D11" s="150" t="inlineStr">
        <is>
          <t>设备参数</t>
        </is>
      </c>
      <c r="E11" s="150" t="inlineStr">
        <is>
          <t>数值</t>
        </is>
      </c>
      <c r="F11" s="150" t="inlineStr">
        <is>
          <t>W</t>
        </is>
      </c>
      <c r="G11" s="150" t="inlineStr">
        <is>
          <t>是</t>
        </is>
      </c>
      <c r="H11" s="150" t="inlineStr">
        <is>
          <t>整行启用时必填</t>
        </is>
      </c>
      <c r="I11" s="150" t="inlineStr">
        <is>
          <t>数值&gt;0</t>
        </is>
      </c>
      <c r="J11" s="150" t="n">
        <v>0</v>
      </c>
      <c r="K11" s="150" t="n"/>
      <c r="L11" s="150" t="n"/>
      <c r="M11" s="150" t="inlineStr">
        <is>
          <t>去首尾空格；全角转半角；保留原值，不自动改写</t>
        </is>
      </c>
      <c r="N11" s="150" t="inlineStr">
        <is>
          <t>异常时写入自动备注；不改写原值</t>
        </is>
      </c>
      <c r="O11" s="150" t="inlineStr">
        <is>
          <t>GB 20052-2024</t>
        </is>
      </c>
      <c r="P11" s="150" t="inlineStr">
        <is>
          <t>表1～表35</t>
        </is>
      </c>
      <c r="R11" s="175" t="inlineStr">
        <is>
          <t>110kV油浸式三相双绕组有载调压电力变压器</t>
        </is>
      </c>
      <c r="V11" s="175" t="inlineStr">
        <is>
          <t>电梯用永磁同步电动机</t>
        </is>
      </c>
      <c r="Y11" s="175" t="n">
        <v>32</v>
      </c>
      <c r="AA11" s="175" t="inlineStr">
        <is>
          <t>IC411</t>
        </is>
      </c>
      <c r="AB11" s="175" t="inlineStr">
        <is>
          <t>IC666</t>
        </is>
      </c>
      <c r="AE11" t="inlineStr">
        <is>
          <t>不确定类别</t>
        </is>
      </c>
      <c r="AR11" s="175" t="inlineStr">
        <is>
          <t>混流式（导叶）</t>
        </is>
      </c>
      <c r="AT11" s="175" t="inlineStr">
        <is>
          <t>其他（请备注说明）</t>
        </is>
      </c>
      <c r="AU11" s="175" t="inlineStr">
        <is>
          <t>台车炉</t>
        </is>
      </c>
      <c r="AX11" s="175" t="inlineStr">
        <is>
          <t>JB/T 14642</t>
        </is>
      </c>
      <c r="AY11" s="175" t="inlineStr">
        <is>
          <t>饱和蒸汽压力0.6MPa</t>
        </is>
      </c>
      <c r="AZ11" s="175" t="inlineStr">
        <is>
          <t>直燃</t>
        </is>
      </c>
      <c r="BA11" s="175" t="inlineStr">
        <is>
          <t>直燃</t>
        </is>
      </c>
      <c r="BJ11" s="175" t="inlineStr">
        <is>
          <t>JB/T 14642</t>
        </is>
      </c>
      <c r="BY11" s="175" t="inlineStr">
        <is>
          <t>H5b</t>
        </is>
      </c>
      <c r="CA11" s="175" t="inlineStr">
        <is>
          <t>饱和蒸汽压力0.6MPa</t>
        </is>
      </c>
      <c r="CP11" s="150" t="inlineStr">
        <is>
          <t>EV_TR_COND_T2</t>
        </is>
      </c>
      <c r="CQ11" s="150" t="inlineStr">
        <is>
          <t>非晶合金｜F(120℃)</t>
        </is>
      </c>
      <c r="CR11" s="150" t="inlineStr">
        <is>
          <t>10kV干式三相双绕组无励磁调压配电变压器</t>
        </is>
      </c>
      <c r="CS11" s="150" t="n"/>
      <c r="CT11" s="150" t="n"/>
      <c r="CU11" s="150" t="inlineStr">
        <is>
          <t>是</t>
        </is>
      </c>
      <c r="CV11" s="150" t="inlineStr">
        <is>
          <t>T02_AM_F_GENERAL</t>
        </is>
      </c>
      <c r="CW11" s="150" t="inlineStr">
        <is>
          <t>表2；非晶合金；F(120℃)；额定容量不等于630 kVA，不分阻抗组。</t>
        </is>
      </c>
      <c r="CX11" s="150" t="n">
        <v>5</v>
      </c>
      <c r="CY11" s="150" t="inlineStr">
        <is>
          <t>额定容量≠630 kVA</t>
        </is>
      </c>
      <c r="CZ11" t="inlineStr">
        <is>
          <t/>
        </is>
      </c>
      <c r="DA11" t="inlineStr">
        <is>
          <t/>
        </is>
      </c>
      <c r="DB11" s="150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>GB20052-T10</t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</row>
    <row r="12">
      <c r="A12" s="150" t="inlineStr">
        <is>
          <t>变压器</t>
        </is>
      </c>
      <c r="B12" s="150" t="inlineStr">
        <is>
          <t>load_loss</t>
        </is>
      </c>
      <c r="C12" s="150" t="inlineStr">
        <is>
          <t>负载损耗</t>
        </is>
      </c>
      <c r="D12" s="150" t="inlineStr">
        <is>
          <t>设备参数</t>
        </is>
      </c>
      <c r="E12" s="150" t="inlineStr">
        <is>
          <t>数值</t>
        </is>
      </c>
      <c r="F12" s="150" t="inlineStr">
        <is>
          <t>W</t>
        </is>
      </c>
      <c r="G12" s="150" t="inlineStr">
        <is>
          <t>是</t>
        </is>
      </c>
      <c r="H12" s="150" t="inlineStr">
        <is>
          <t>整行启用时必填</t>
        </is>
      </c>
      <c r="I12" s="150" t="inlineStr">
        <is>
          <t>数值&gt;0</t>
        </is>
      </c>
      <c r="J12" s="150" t="n">
        <v>0</v>
      </c>
      <c r="K12" s="150" t="n"/>
      <c r="L12" s="150" t="n"/>
      <c r="M12" s="150" t="inlineStr">
        <is>
          <t>去首尾空格；全角转半角；保留原值，不自动改写</t>
        </is>
      </c>
      <c r="N12" s="150" t="inlineStr">
        <is>
          <t>异常时写入自动备注；不改写原值</t>
        </is>
      </c>
      <c r="O12" s="150" t="inlineStr">
        <is>
          <t>GB 20052-2024</t>
        </is>
      </c>
      <c r="P12" s="150" t="inlineStr">
        <is>
          <t>表1～表35</t>
        </is>
      </c>
      <c r="R12" s="175" t="inlineStr">
        <is>
          <t>110kV油浸式三相三绕组有载调压电力变压器</t>
        </is>
      </c>
      <c r="V12" s="175" t="inlineStr">
        <is>
          <t>其他（请备注说明）</t>
        </is>
      </c>
      <c r="Y12" s="175" t="n">
        <v>40</v>
      </c>
      <c r="AA12" s="175" t="inlineStr">
        <is>
          <t>不适用</t>
        </is>
      </c>
      <c r="AB12" s="175" t="inlineStr">
        <is>
          <t>不适用</t>
        </is>
      </c>
      <c r="AR12" s="175" t="inlineStr">
        <is>
          <t>旋流式</t>
        </is>
      </c>
      <c r="AU12" s="175" t="inlineStr">
        <is>
          <t>热处理电热浴炉</t>
        </is>
      </c>
      <c r="AX12" s="175" t="inlineStr">
        <is>
          <t>JB/T 14640</t>
        </is>
      </c>
      <c r="AY12" s="175" t="inlineStr">
        <is>
          <t>饱和蒸汽压力0.8MPa</t>
        </is>
      </c>
      <c r="AZ12" s="175" t="inlineStr">
        <is>
          <t>不适用</t>
        </is>
      </c>
      <c r="BA12" s="175" t="inlineStr">
        <is>
          <t>不适用</t>
        </is>
      </c>
      <c r="BJ12" s="175" t="inlineStr">
        <is>
          <t>JB/T 14640</t>
        </is>
      </c>
      <c r="BY12" s="175" t="inlineStr">
        <is>
          <t>其他（请备注说明）</t>
        </is>
      </c>
      <c r="CA12" s="175" t="inlineStr">
        <is>
          <t>饱和蒸汽压力0.8MPa</t>
        </is>
      </c>
      <c r="CP12" s="150" t="inlineStr">
        <is>
          <t>EV_TR_COND_T2</t>
        </is>
      </c>
      <c r="CQ12" s="150" t="inlineStr">
        <is>
          <t>非晶合金｜H(145℃)</t>
        </is>
      </c>
      <c r="CR12" s="150" t="inlineStr">
        <is>
          <t>10kV干式三相双绕组无励磁调压配电变压器</t>
        </is>
      </c>
      <c r="CS12" s="150" t="n"/>
      <c r="CT12" s="150" t="n"/>
      <c r="CU12" s="150" t="inlineStr">
        <is>
          <t>是</t>
        </is>
      </c>
      <c r="CV12" s="150" t="inlineStr">
        <is>
          <t>T02_AM_H_GENERAL</t>
        </is>
      </c>
      <c r="CW12" s="150" t="inlineStr">
        <is>
          <t>表2；非晶合金；H(145℃)；额定容量不等于630 kVA，不分阻抗组。</t>
        </is>
      </c>
      <c r="CX12" s="150" t="n">
        <v>6</v>
      </c>
      <c r="CY12" s="150" t="inlineStr">
        <is>
          <t>额定容量≠630 kVA</t>
        </is>
      </c>
      <c r="CZ12" t="inlineStr">
        <is>
          <t/>
        </is>
      </c>
      <c r="DA12" t="inlineStr">
        <is>
          <t/>
        </is>
      </c>
      <c r="DB12" s="150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>GB20052-T11</t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</row>
    <row r="13">
      <c r="A13" s="150" t="inlineStr">
        <is>
          <t>变压器</t>
        </is>
      </c>
      <c r="B13" s="150" t="inlineStr">
        <is>
          <t>no_load_1</t>
        </is>
      </c>
      <c r="C13" s="150" t="inlineStr">
        <is>
          <t>空载损耗-1级</t>
        </is>
      </c>
      <c r="D13" s="150" t="inlineStr">
        <is>
          <t>标准查询结果</t>
        </is>
      </c>
      <c r="E13" s="150" t="inlineStr">
        <is>
          <t>数值</t>
        </is>
      </c>
      <c r="F13" s="150" t="inlineStr">
        <is>
          <t>W</t>
        </is>
      </c>
      <c r="G13" s="150" t="inlineStr">
        <is>
          <t>否</t>
        </is>
      </c>
      <c r="H13" s="150" t="inlineStr">
        <is>
          <t>本阶段锁定预留</t>
        </is>
      </c>
      <c r="I13" s="150" t="inlineStr">
        <is>
          <t>无</t>
        </is>
      </c>
      <c r="J13" s="150" t="n"/>
      <c r="K13" s="150" t="n"/>
      <c r="L13" s="150" t="n"/>
      <c r="M13" s="150" t="inlineStr">
        <is>
          <t>锁定预留，不清洗</t>
        </is>
      </c>
      <c r="N13" s="150" t="inlineStr">
        <is>
          <t>本阶段不查询、不判定</t>
        </is>
      </c>
      <c r="O13" s="150" t="inlineStr">
        <is>
          <t>GB 20052-2024</t>
        </is>
      </c>
      <c r="P13" s="150" t="inlineStr">
        <is>
          <t>表1～表35</t>
        </is>
      </c>
      <c r="R13" s="175" t="inlineStr">
        <is>
          <t>220kV油浸式三相双绕组无励磁调压电力变压器（低压非66kV）</t>
        </is>
      </c>
      <c r="Y13" s="175" t="n">
        <v>48</v>
      </c>
      <c r="AA13" s="175" t="inlineStr">
        <is>
          <t>其他（请备注说明）</t>
        </is>
      </c>
      <c r="AB13" s="175" t="inlineStr">
        <is>
          <t>其他（请备注说明）</t>
        </is>
      </c>
      <c r="AR13" s="175" t="inlineStr">
        <is>
          <t>混流式</t>
        </is>
      </c>
      <c r="AU13" s="175" t="inlineStr">
        <is>
          <t>辊底炉</t>
        </is>
      </c>
      <c r="AX13" s="175" t="inlineStr">
        <is>
          <t>JB/T 12839</t>
        </is>
      </c>
      <c r="AY13" s="175" t="inlineStr">
        <is>
          <t>直燃型机组</t>
        </is>
      </c>
      <c r="AZ13" s="175" t="inlineStr">
        <is>
          <t>其他（请备注说明）</t>
        </is>
      </c>
      <c r="BA13" s="175" t="inlineStr">
        <is>
          <t>其他（请备注说明）</t>
        </is>
      </c>
      <c r="BJ13" s="175" t="inlineStr">
        <is>
          <t>JB/T 12839</t>
        </is>
      </c>
      <c r="CA13" s="175" t="inlineStr">
        <is>
          <t>直燃型机组</t>
        </is>
      </c>
      <c r="CP13" s="150" t="inlineStr">
        <is>
          <t>EV_TR_COND_T2</t>
        </is>
      </c>
      <c r="CQ13" s="150" t="inlineStr">
        <is>
          <t>其他（请备注说明）</t>
        </is>
      </c>
      <c r="CR13" s="150" t="inlineStr">
        <is>
          <t>10kV干式三相双绕组无励磁调压配电变压器</t>
        </is>
      </c>
      <c r="CS13" s="150" t="n"/>
      <c r="CT13" s="150" t="n"/>
      <c r="CU13" s="150" t="inlineStr">
        <is>
          <t>是</t>
        </is>
      </c>
      <c r="CV13" s="150" t="inlineStr">
        <is>
          <t>T02_OTHER</t>
        </is>
      </c>
      <c r="CW13" s="150" t="inlineStr">
        <is>
          <t>表2：选择“其他”时请在填表备注中说明。</t>
        </is>
      </c>
      <c r="CX13" s="150" t="n">
        <v>7</v>
      </c>
      <c r="CY13" s="150" t="inlineStr">
        <is>
          <t>额定容量≠630 kVA</t>
        </is>
      </c>
      <c r="CZ13" t="inlineStr">
        <is>
          <t/>
        </is>
      </c>
      <c r="DA13" t="inlineStr">
        <is>
          <t/>
        </is>
      </c>
      <c r="DB13" s="150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>GB20052-T12</t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</row>
    <row r="14">
      <c r="A14" s="150" t="inlineStr">
        <is>
          <t>变压器</t>
        </is>
      </c>
      <c r="B14" s="150" t="inlineStr">
        <is>
          <t>no_load_2</t>
        </is>
      </c>
      <c r="C14" s="150" t="inlineStr">
        <is>
          <t>空载损耗-2级</t>
        </is>
      </c>
      <c r="D14" s="150" t="inlineStr">
        <is>
          <t>标准查询结果</t>
        </is>
      </c>
      <c r="E14" s="150" t="inlineStr">
        <is>
          <t>数值</t>
        </is>
      </c>
      <c r="F14" s="150" t="inlineStr">
        <is>
          <t>W</t>
        </is>
      </c>
      <c r="G14" s="150" t="inlineStr">
        <is>
          <t>否</t>
        </is>
      </c>
      <c r="H14" s="150" t="inlineStr">
        <is>
          <t>本阶段锁定预留</t>
        </is>
      </c>
      <c r="I14" s="150" t="inlineStr">
        <is>
          <t>无</t>
        </is>
      </c>
      <c r="J14" s="150" t="n"/>
      <c r="K14" s="150" t="n"/>
      <c r="L14" s="150" t="n"/>
      <c r="M14" s="150" t="inlineStr">
        <is>
          <t>锁定预留，不清洗</t>
        </is>
      </c>
      <c r="N14" s="150" t="inlineStr">
        <is>
          <t>本阶段不查询、不判定</t>
        </is>
      </c>
      <c r="O14" s="150" t="inlineStr">
        <is>
          <t>GB 20052-2024</t>
        </is>
      </c>
      <c r="P14" s="150" t="inlineStr">
        <is>
          <t>表1～表35</t>
        </is>
      </c>
      <c r="R14" s="175" t="inlineStr">
        <is>
          <t>220kV油浸式三相三绕组无励磁调压电力变压器</t>
        </is>
      </c>
      <c r="Y14" s="175" t="inlineStr">
        <is>
          <t>其他（请备注说明）</t>
        </is>
      </c>
      <c r="AR14" s="175" t="inlineStr">
        <is>
          <t>其他式</t>
        </is>
      </c>
      <c r="AU14" s="175" t="inlineStr">
        <is>
          <t>罩式炉</t>
        </is>
      </c>
      <c r="AX14" s="175" t="inlineStr">
        <is>
          <t>其他（请备注说明）</t>
        </is>
      </c>
      <c r="AY14" s="175" t="inlineStr">
        <is>
          <t>H1a</t>
        </is>
      </c>
      <c r="BJ14" s="175" t="inlineStr">
        <is>
          <t>其他（请备注说明）</t>
        </is>
      </c>
      <c r="CA14" s="175" t="inlineStr">
        <is>
          <t>H1a</t>
        </is>
      </c>
      <c r="CP14" s="150" t="inlineStr">
        <is>
          <t>EV_TR_COND_T2_630</t>
        </is>
      </c>
      <c r="CQ14" s="150" t="inlineStr">
        <is>
          <t>电工钢带｜B(100℃)｜阻抗4.0%</t>
        </is>
      </c>
      <c r="CR14" s="150" t="inlineStr">
        <is>
          <t>10kV干式三相双绕组无励磁调压配电变压器</t>
        </is>
      </c>
      <c r="CS14" s="150" t="n">
        <v>630</v>
      </c>
      <c r="CT14" s="150" t="n">
        <v>630</v>
      </c>
      <c r="CU14" s="150" t="inlineStr">
        <is>
          <t>是</t>
        </is>
      </c>
      <c r="CV14" s="150" t="inlineStr">
        <is>
          <t>T02_ES_B_UK4</t>
        </is>
      </c>
      <c r="CW14" s="150" t="inlineStr">
        <is>
          <t>表2；电工钢带；B(100℃)；额定容量630 kVA；短路阻抗4.0%。</t>
        </is>
      </c>
      <c r="CX14" s="150" t="n">
        <v>1</v>
      </c>
      <c r="CY14" s="150" t="inlineStr">
        <is>
          <t>额定容量=630 kVA</t>
        </is>
      </c>
      <c r="CZ14" t="inlineStr">
        <is>
          <t/>
        </is>
      </c>
      <c r="DA14" t="inlineStr">
        <is>
          <t/>
        </is>
      </c>
      <c r="DB14" s="150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s="150" t="inlineStr">
        <is>
          <t>GB20052-T13</t>
        </is>
      </c>
      <c r="DL14" s="150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</row>
    <row r="15">
      <c r="A15" s="150" t="inlineStr">
        <is>
          <t>变压器</t>
        </is>
      </c>
      <c r="B15" s="150" t="inlineStr">
        <is>
          <t>no_load_3</t>
        </is>
      </c>
      <c r="C15" s="150" t="inlineStr">
        <is>
          <t>空载损耗-3级</t>
        </is>
      </c>
      <c r="D15" s="150" t="inlineStr">
        <is>
          <t>标准查询结果</t>
        </is>
      </c>
      <c r="E15" s="150" t="inlineStr">
        <is>
          <t>数值</t>
        </is>
      </c>
      <c r="F15" s="150" t="inlineStr">
        <is>
          <t>W</t>
        </is>
      </c>
      <c r="G15" s="150" t="inlineStr">
        <is>
          <t>否</t>
        </is>
      </c>
      <c r="H15" s="150" t="inlineStr">
        <is>
          <t>本阶段锁定预留</t>
        </is>
      </c>
      <c r="I15" s="150" t="inlineStr">
        <is>
          <t>无</t>
        </is>
      </c>
      <c r="J15" s="150" t="n"/>
      <c r="K15" s="150" t="n"/>
      <c r="L15" s="150" t="n"/>
      <c r="M15" s="150" t="inlineStr">
        <is>
          <t>锁定预留，不清洗</t>
        </is>
      </c>
      <c r="N15" s="150" t="inlineStr">
        <is>
          <t>本阶段不查询、不判定</t>
        </is>
      </c>
      <c r="O15" s="150" t="inlineStr">
        <is>
          <t>GB 20052-2024</t>
        </is>
      </c>
      <c r="P15" s="150" t="inlineStr">
        <is>
          <t>表1～表35</t>
        </is>
      </c>
      <c r="R15" s="175" t="inlineStr">
        <is>
          <t>220kV油浸式三相双绕组低压为66kV无励磁调压电力变压器</t>
        </is>
      </c>
      <c r="AR15" s="175" t="inlineStr">
        <is>
          <t>充水式</t>
        </is>
      </c>
      <c r="AU15" s="175" t="inlineStr">
        <is>
          <t>其他（请备注说明）</t>
        </is>
      </c>
      <c r="AY15" s="175" t="inlineStr">
        <is>
          <t>H2a</t>
        </is>
      </c>
      <c r="CA15" s="175" t="inlineStr">
        <is>
          <t>H2a</t>
        </is>
      </c>
      <c r="CP15" s="150" t="inlineStr">
        <is>
          <t>EV_TR_COND_T2_630</t>
        </is>
      </c>
      <c r="CQ15" s="150" t="inlineStr">
        <is>
          <t>电工钢带｜F(120℃)｜阻抗4.0%</t>
        </is>
      </c>
      <c r="CR15" s="150" t="inlineStr">
        <is>
          <t>10kV干式三相双绕组无励磁调压配电变压器</t>
        </is>
      </c>
      <c r="CS15" s="150" t="n">
        <v>630</v>
      </c>
      <c r="CT15" s="150" t="n">
        <v>630</v>
      </c>
      <c r="CU15" s="150" t="inlineStr">
        <is>
          <t>是</t>
        </is>
      </c>
      <c r="CV15" s="150" t="inlineStr">
        <is>
          <t>T02_ES_F_UK4</t>
        </is>
      </c>
      <c r="CW15" s="150" t="inlineStr">
        <is>
          <t>表2；电工钢带；F(120℃)；额定容量630 kVA；短路阻抗4.0%。</t>
        </is>
      </c>
      <c r="CX15" s="150" t="n">
        <v>2</v>
      </c>
      <c r="CY15" s="150" t="inlineStr">
        <is>
          <t>额定容量=630 kVA</t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s="150" t="inlineStr">
        <is>
          <t>GB20052-T14</t>
        </is>
      </c>
      <c r="DL15" s="150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</row>
    <row r="16">
      <c r="A16" s="150" t="inlineStr">
        <is>
          <t>变压器</t>
        </is>
      </c>
      <c r="B16" s="150" t="inlineStr">
        <is>
          <t>load_1</t>
        </is>
      </c>
      <c r="C16" s="150" t="inlineStr">
        <is>
          <t>负载损耗-1级</t>
        </is>
      </c>
      <c r="D16" s="150" t="inlineStr">
        <is>
          <t>标准查询结果</t>
        </is>
      </c>
      <c r="E16" s="150" t="inlineStr">
        <is>
          <t>数值</t>
        </is>
      </c>
      <c r="F16" s="150" t="inlineStr">
        <is>
          <t>W</t>
        </is>
      </c>
      <c r="G16" s="150" t="inlineStr">
        <is>
          <t>否</t>
        </is>
      </c>
      <c r="H16" s="150" t="inlineStr">
        <is>
          <t>本阶段锁定预留</t>
        </is>
      </c>
      <c r="I16" s="150" t="inlineStr">
        <is>
          <t>无</t>
        </is>
      </c>
      <c r="J16" s="150" t="n"/>
      <c r="K16" s="150" t="n"/>
      <c r="L16" s="150" t="n"/>
      <c r="M16" s="150" t="inlineStr">
        <is>
          <t>锁定预留，不清洗</t>
        </is>
      </c>
      <c r="N16" s="150" t="inlineStr">
        <is>
          <t>本阶段不查询、不判定</t>
        </is>
      </c>
      <c r="O16" s="150" t="inlineStr">
        <is>
          <t>GB 20052-2024</t>
        </is>
      </c>
      <c r="P16" s="150" t="inlineStr">
        <is>
          <t>表1～表35</t>
        </is>
      </c>
      <c r="R16" s="175" t="inlineStr">
        <is>
          <t>220kV油浸式三相双绕组有载调压电力变压器</t>
        </is>
      </c>
      <c r="AR16" s="175" t="inlineStr">
        <is>
          <t>充油式</t>
        </is>
      </c>
      <c r="AY16" s="175" t="inlineStr">
        <is>
          <t>H3a</t>
        </is>
      </c>
      <c r="CA16" s="175" t="inlineStr">
        <is>
          <t>H3a</t>
        </is>
      </c>
      <c r="CP16" s="150" t="inlineStr">
        <is>
          <t>EV_TR_COND_T2_630</t>
        </is>
      </c>
      <c r="CQ16" s="150" t="inlineStr">
        <is>
          <t>电工钢带｜H(145℃)｜阻抗4.0%</t>
        </is>
      </c>
      <c r="CR16" s="150" t="inlineStr">
        <is>
          <t>10kV干式三相双绕组无励磁调压配电变压器</t>
        </is>
      </c>
      <c r="CS16" s="150" t="n">
        <v>630</v>
      </c>
      <c r="CT16" s="150" t="n">
        <v>630</v>
      </c>
      <c r="CU16" s="150" t="inlineStr">
        <is>
          <t>是</t>
        </is>
      </c>
      <c r="CV16" s="150" t="inlineStr">
        <is>
          <t>T02_ES_H_UK4</t>
        </is>
      </c>
      <c r="CW16" s="150" t="inlineStr">
        <is>
          <t>表2；电工钢带；H(145℃)；额定容量630 kVA；短路阻抗4.0%。</t>
        </is>
      </c>
      <c r="CX16" s="150" t="n">
        <v>3</v>
      </c>
      <c r="CY16" s="150" t="inlineStr">
        <is>
          <t>额定容量=630 kVA</t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s="150" t="inlineStr">
        <is>
          <t>GB20052-T15</t>
        </is>
      </c>
      <c r="DL16" s="150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</row>
    <row r="17">
      <c r="A17" s="150" t="inlineStr">
        <is>
          <t>变压器</t>
        </is>
      </c>
      <c r="B17" s="150" t="inlineStr">
        <is>
          <t>load_2</t>
        </is>
      </c>
      <c r="C17" s="150" t="inlineStr">
        <is>
          <t>负载损耗-2级</t>
        </is>
      </c>
      <c r="D17" s="150" t="inlineStr">
        <is>
          <t>标准查询结果</t>
        </is>
      </c>
      <c r="E17" s="150" t="inlineStr">
        <is>
          <t>数值</t>
        </is>
      </c>
      <c r="F17" s="150" t="inlineStr">
        <is>
          <t>W</t>
        </is>
      </c>
      <c r="G17" s="150" t="inlineStr">
        <is>
          <t>否</t>
        </is>
      </c>
      <c r="H17" s="150" t="inlineStr">
        <is>
          <t>本阶段锁定预留</t>
        </is>
      </c>
      <c r="I17" s="150" t="inlineStr">
        <is>
          <t>无</t>
        </is>
      </c>
      <c r="J17" s="150" t="n"/>
      <c r="K17" s="150" t="n"/>
      <c r="L17" s="150" t="n"/>
      <c r="M17" s="150" t="inlineStr">
        <is>
          <t>锁定预留，不清洗</t>
        </is>
      </c>
      <c r="N17" s="150" t="inlineStr">
        <is>
          <t>本阶段不查询、不判定</t>
        </is>
      </c>
      <c r="O17" s="150" t="inlineStr">
        <is>
          <t>GB 20052-2024</t>
        </is>
      </c>
      <c r="P17" s="150" t="inlineStr">
        <is>
          <t>表1～表35</t>
        </is>
      </c>
      <c r="R17" s="175" t="inlineStr">
        <is>
          <t>220kV油浸式三相三绕组有载调压电力变压器</t>
        </is>
      </c>
      <c r="AR17" s="175" t="inlineStr">
        <is>
          <t>屏蔽式</t>
        </is>
      </c>
      <c r="AY17" s="175" t="inlineStr">
        <is>
          <t>H4a</t>
        </is>
      </c>
      <c r="CA17" s="175" t="inlineStr">
        <is>
          <t>H4a</t>
        </is>
      </c>
      <c r="CP17" s="150" t="inlineStr">
        <is>
          <t>EV_TR_COND_T2_630</t>
        </is>
      </c>
      <c r="CQ17" s="150" t="inlineStr">
        <is>
          <t>非晶合金｜B(100℃)｜阻抗4.0%</t>
        </is>
      </c>
      <c r="CR17" s="150" t="inlineStr">
        <is>
          <t>10kV干式三相双绕组无励磁调压配电变压器</t>
        </is>
      </c>
      <c r="CS17" s="150" t="n">
        <v>630</v>
      </c>
      <c r="CT17" s="150" t="n">
        <v>630</v>
      </c>
      <c r="CU17" s="150" t="inlineStr">
        <is>
          <t>是</t>
        </is>
      </c>
      <c r="CV17" s="150" t="inlineStr">
        <is>
          <t>T02_AM_B_UK4</t>
        </is>
      </c>
      <c r="CW17" s="150" t="inlineStr">
        <is>
          <t>表2；非晶合金；B(100℃)；额定容量630 kVA；短路阻抗4.0%。</t>
        </is>
      </c>
      <c r="CX17" s="150" t="n">
        <v>4</v>
      </c>
      <c r="CY17" s="150" t="inlineStr">
        <is>
          <t>额定容量=630 kVA</t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s="150" t="inlineStr">
        <is>
          <t>GB20052-T16</t>
        </is>
      </c>
      <c r="DL17" s="150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</row>
    <row r="18">
      <c r="A18" s="150" t="inlineStr">
        <is>
          <t>变压器</t>
        </is>
      </c>
      <c r="B18" s="150" t="inlineStr">
        <is>
          <t>load_3</t>
        </is>
      </c>
      <c r="C18" s="150" t="inlineStr">
        <is>
          <t>负载损耗-3级</t>
        </is>
      </c>
      <c r="D18" s="150" t="inlineStr">
        <is>
          <t>标准查询结果</t>
        </is>
      </c>
      <c r="E18" s="150" t="inlineStr">
        <is>
          <t>数值</t>
        </is>
      </c>
      <c r="F18" s="150" t="inlineStr">
        <is>
          <t>W</t>
        </is>
      </c>
      <c r="G18" s="150" t="inlineStr">
        <is>
          <t>否</t>
        </is>
      </c>
      <c r="H18" s="150" t="inlineStr">
        <is>
          <t>本阶段锁定预留</t>
        </is>
      </c>
      <c r="I18" s="150" t="inlineStr">
        <is>
          <t>无</t>
        </is>
      </c>
      <c r="J18" s="150" t="n"/>
      <c r="K18" s="150" t="n"/>
      <c r="L18" s="150" t="n"/>
      <c r="M18" s="150" t="inlineStr">
        <is>
          <t>锁定预留，不清洗</t>
        </is>
      </c>
      <c r="N18" s="150" t="inlineStr">
        <is>
          <t>本阶段不查询、不判定</t>
        </is>
      </c>
      <c r="O18" s="150" t="inlineStr">
        <is>
          <t>GB 20052-2024</t>
        </is>
      </c>
      <c r="P18" s="150" t="inlineStr">
        <is>
          <t>表1～表35</t>
        </is>
      </c>
      <c r="R18" s="175" t="inlineStr">
        <is>
          <t>220kV油浸式三相三绕组有载调压自耦电力变压器</t>
        </is>
      </c>
      <c r="AR18" s="175" t="inlineStr">
        <is>
          <t>单相</t>
        </is>
      </c>
      <c r="AY18" s="175" t="inlineStr">
        <is>
          <t>H5a</t>
        </is>
      </c>
      <c r="CA18" s="175" t="inlineStr">
        <is>
          <t>H5a</t>
        </is>
      </c>
      <c r="CP18" s="150" t="inlineStr">
        <is>
          <t>EV_TR_COND_T2_630</t>
        </is>
      </c>
      <c r="CQ18" s="150" t="inlineStr">
        <is>
          <t>非晶合金｜F(120℃)｜阻抗4.0%</t>
        </is>
      </c>
      <c r="CR18" s="150" t="inlineStr">
        <is>
          <t>10kV干式三相双绕组无励磁调压配电变压器</t>
        </is>
      </c>
      <c r="CS18" s="150" t="n">
        <v>630</v>
      </c>
      <c r="CT18" s="150" t="n">
        <v>630</v>
      </c>
      <c r="CU18" s="150" t="inlineStr">
        <is>
          <t>是</t>
        </is>
      </c>
      <c r="CV18" s="150" t="inlineStr">
        <is>
          <t>T02_AM_F_UK4</t>
        </is>
      </c>
      <c r="CW18" s="150" t="inlineStr">
        <is>
          <t>表2；非晶合金；F(120℃)；额定容量630 kVA；短路阻抗4.0%。</t>
        </is>
      </c>
      <c r="CX18" s="150" t="n">
        <v>5</v>
      </c>
      <c r="CY18" s="150" t="inlineStr">
        <is>
          <t>额定容量=630 kVA</t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s="150" t="inlineStr">
        <is>
          <t>GB20052-T17</t>
        </is>
      </c>
      <c r="DL18" s="150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</row>
    <row r="19">
      <c r="A19" s="150" t="inlineStr">
        <is>
          <t>变压器</t>
        </is>
      </c>
      <c r="B19" s="150" t="inlineStr">
        <is>
          <t>conclusion</t>
        </is>
      </c>
      <c r="C19" s="150" t="inlineStr">
        <is>
          <t>能效等级</t>
        </is>
      </c>
      <c r="D19" s="150" t="inlineStr">
        <is>
          <t>结论</t>
        </is>
      </c>
      <c r="E19" s="150" t="inlineStr">
        <is>
          <t>文本</t>
        </is>
      </c>
      <c r="F19" s="150" t="inlineStr">
        <is>
          <t>-</t>
        </is>
      </c>
      <c r="G19" s="150" t="inlineStr">
        <is>
          <t>否</t>
        </is>
      </c>
      <c r="H19" s="150" t="inlineStr">
        <is>
          <t>本阶段锁定预留</t>
        </is>
      </c>
      <c r="I19" s="150" t="inlineStr">
        <is>
          <t>无</t>
        </is>
      </c>
      <c r="J19" s="150" t="n"/>
      <c r="K19" s="150" t="n"/>
      <c r="L19" s="150" t="n"/>
      <c r="M19" s="150" t="inlineStr">
        <is>
          <t>锁定预留，不清洗</t>
        </is>
      </c>
      <c r="N19" s="150" t="inlineStr">
        <is>
          <t>本阶段不查询、不判定</t>
        </is>
      </c>
      <c r="O19" s="150" t="inlineStr">
        <is>
          <t>GB 20052-2024</t>
        </is>
      </c>
      <c r="P19" s="150" t="inlineStr">
        <is>
          <t>表1～表35</t>
        </is>
      </c>
      <c r="R19" s="175" t="inlineStr">
        <is>
          <t>330kV油浸式三相双绕组无励磁调压电力变压器</t>
        </is>
      </c>
      <c r="AR19" s="175" t="inlineStr">
        <is>
          <t>蜗壳式</t>
        </is>
      </c>
      <c r="AY19" s="175" t="inlineStr">
        <is>
          <t>H1b</t>
        </is>
      </c>
      <c r="CA19" s="175" t="inlineStr">
        <is>
          <t>H1b</t>
        </is>
      </c>
      <c r="CP19" s="150" t="inlineStr">
        <is>
          <t>EV_TR_COND_T2_630</t>
        </is>
      </c>
      <c r="CQ19" s="150" t="inlineStr">
        <is>
          <t>非晶合金｜H(145℃)｜阻抗4.0%</t>
        </is>
      </c>
      <c r="CR19" s="150" t="inlineStr">
        <is>
          <t>10kV干式三相双绕组无励磁调压配电变压器</t>
        </is>
      </c>
      <c r="CS19" s="150" t="n">
        <v>630</v>
      </c>
      <c r="CT19" s="150" t="n">
        <v>630</v>
      </c>
      <c r="CU19" s="150" t="inlineStr">
        <is>
          <t>是</t>
        </is>
      </c>
      <c r="CV19" s="150" t="inlineStr">
        <is>
          <t>T02_AM_H_UK4</t>
        </is>
      </c>
      <c r="CW19" s="150" t="inlineStr">
        <is>
          <t>表2；非晶合金；H(145℃)；额定容量630 kVA；短路阻抗4.0%。</t>
        </is>
      </c>
      <c r="CX19" s="150" t="n">
        <v>6</v>
      </c>
      <c r="CY19" s="150" t="inlineStr">
        <is>
          <t>额定容量=630 kVA</t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s="150" t="inlineStr">
        <is>
          <t>GB20052-T18</t>
        </is>
      </c>
      <c r="DL19" s="150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</row>
    <row r="20">
      <c r="A20" s="150" t="inlineStr">
        <is>
          <t>变压器</t>
        </is>
      </c>
      <c r="B20" s="150" t="inlineStr">
        <is>
          <t>photo</t>
        </is>
      </c>
      <c r="C20" s="150" t="inlineStr">
        <is>
          <t>铭牌照片</t>
        </is>
      </c>
      <c r="D20" s="150" t="inlineStr">
        <is>
          <t>附件备注</t>
        </is>
      </c>
      <c r="E20" s="150" t="inlineStr">
        <is>
          <t>图片</t>
        </is>
      </c>
      <c r="F20" s="150" t="inlineStr">
        <is>
          <t>-</t>
        </is>
      </c>
      <c r="G20" s="150" t="inlineStr">
        <is>
          <t>是</t>
        </is>
      </c>
      <c r="H20" s="150" t="inlineStr">
        <is>
          <t>整行启用时必填</t>
        </is>
      </c>
      <c r="I20" s="150" t="inlineStr">
        <is>
          <t>无</t>
        </is>
      </c>
      <c r="J20" s="150" t="n"/>
      <c r="K20" s="150" t="n"/>
      <c r="L20" s="150" t="n"/>
      <c r="M20" s="150" t="inlineStr">
        <is>
          <t>仅接受Excel“置于单元格”图片；不接受浮动图片</t>
        </is>
      </c>
      <c r="N20" s="150" t="inlineStr">
        <is>
          <t>为空时提示缺少铭牌照片</t>
        </is>
      </c>
      <c r="O20" s="150" t="inlineStr">
        <is>
          <t>GB 20052-2024</t>
        </is>
      </c>
      <c r="P20" s="150" t="inlineStr">
        <is>
          <t>表1～表35</t>
        </is>
      </c>
      <c r="R20" s="175" t="inlineStr">
        <is>
          <t>330kV油浸式三相三绕组无励磁调压电力变压器</t>
        </is>
      </c>
      <c r="AR20" s="175" t="inlineStr">
        <is>
          <t>导叶式</t>
        </is>
      </c>
      <c r="AY20" s="175" t="inlineStr">
        <is>
          <t>H2b</t>
        </is>
      </c>
      <c r="CA20" s="175" t="inlineStr">
        <is>
          <t>H2b</t>
        </is>
      </c>
      <c r="CP20" s="150" t="inlineStr">
        <is>
          <t>EV_TR_COND_T2_630</t>
        </is>
      </c>
      <c r="CQ20" s="150" t="inlineStr">
        <is>
          <t>电工钢带｜B(100℃)｜阻抗6.0%～8.0%</t>
        </is>
      </c>
      <c r="CR20" s="150" t="inlineStr">
        <is>
          <t>10kV干式三相双绕组无励磁调压配电变压器</t>
        </is>
      </c>
      <c r="CS20" s="150" t="n">
        <v>630</v>
      </c>
      <c r="CT20" s="150" t="n">
        <v>630</v>
      </c>
      <c r="CU20" s="150" t="inlineStr">
        <is>
          <t>是</t>
        </is>
      </c>
      <c r="CV20" s="150" t="inlineStr">
        <is>
          <t>T02_ES_B_UK6_8</t>
        </is>
      </c>
      <c r="CW20" s="150" t="inlineStr">
        <is>
          <t>表2；电工钢带；B(100℃)；额定容量630 kVA；短路阻抗6.0%～8.0%。</t>
        </is>
      </c>
      <c r="CX20" s="150" t="n">
        <v>7</v>
      </c>
      <c r="CY20" s="150" t="inlineStr">
        <is>
          <t>额定容量=630 kVA</t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s="150" t="inlineStr">
        <is>
          <t>GB20052-T19</t>
        </is>
      </c>
      <c r="DL20" s="15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</row>
    <row r="21">
      <c r="A21" s="150" t="inlineStr">
        <is>
          <t>变压器</t>
        </is>
      </c>
      <c r="B21" s="150" t="inlineStr">
        <is>
          <t>fill_note</t>
        </is>
      </c>
      <c r="C21" s="150" t="inlineStr">
        <is>
          <t>填表备注</t>
        </is>
      </c>
      <c r="D21" s="150" t="inlineStr">
        <is>
          <t>附件备注</t>
        </is>
      </c>
      <c r="E21" s="150" t="inlineStr">
        <is>
          <t>文本</t>
        </is>
      </c>
      <c r="F21" s="150" t="inlineStr">
        <is>
          <t>-</t>
        </is>
      </c>
      <c r="G21" s="150" t="inlineStr">
        <is>
          <t>是</t>
        </is>
      </c>
      <c r="H21" s="150" t="inlineStr">
        <is>
          <t>可选</t>
        </is>
      </c>
      <c r="I21" s="150" t="inlineStr">
        <is>
          <t>无</t>
        </is>
      </c>
      <c r="J21" s="150" t="n"/>
      <c r="K21" s="150" t="n"/>
      <c r="L21" s="150" t="n"/>
      <c r="M21" s="150" t="inlineStr">
        <is>
          <t>去首尾空格；全角转半角；保留原值，不自动改写</t>
        </is>
      </c>
      <c r="N21" s="150" t="inlineStr">
        <is>
          <t>异常时写入自动备注；不改写原值</t>
        </is>
      </c>
      <c r="O21" s="150" t="inlineStr">
        <is>
          <t>GB 20052-2024</t>
        </is>
      </c>
      <c r="P21" s="150" t="inlineStr">
        <is>
          <t>表1～表35</t>
        </is>
      </c>
      <c r="R21" s="175" t="inlineStr">
        <is>
          <t>330kV油浸式三相三绕组无励磁调压自耦电力变压器（串联绕组末端调压，中压110kV）</t>
        </is>
      </c>
      <c r="AR21" s="175" t="inlineStr">
        <is>
          <t>其他（请备注说明）</t>
        </is>
      </c>
      <c r="AY21" s="175" t="inlineStr">
        <is>
          <t>H3b</t>
        </is>
      </c>
      <c r="CA21" s="175" t="inlineStr">
        <is>
          <t>H3b</t>
        </is>
      </c>
      <c r="CP21" s="150" t="inlineStr">
        <is>
          <t>EV_TR_COND_T2_630</t>
        </is>
      </c>
      <c r="CQ21" s="150" t="inlineStr">
        <is>
          <t>电工钢带｜F(120℃)｜阻抗6.0%～8.0%</t>
        </is>
      </c>
      <c r="CR21" s="150" t="inlineStr">
        <is>
          <t>10kV干式三相双绕组无励磁调压配电变压器</t>
        </is>
      </c>
      <c r="CS21" s="150" t="n">
        <v>630</v>
      </c>
      <c r="CT21" s="150" t="n">
        <v>630</v>
      </c>
      <c r="CU21" s="150" t="inlineStr">
        <is>
          <t>是</t>
        </is>
      </c>
      <c r="CV21" s="150" t="inlineStr">
        <is>
          <t>T02_ES_F_UK6_8</t>
        </is>
      </c>
      <c r="CW21" s="150" t="inlineStr">
        <is>
          <t>表2；电工钢带；F(120℃)；额定容量630 kVA；短路阻抗6.0%～8.0%。</t>
        </is>
      </c>
      <c r="CX21" s="150" t="n">
        <v>8</v>
      </c>
      <c r="CY21" s="150" t="inlineStr">
        <is>
          <t>额定容量=630 kVA</t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s="150" t="inlineStr">
        <is>
          <t>GB20052-T20</t>
        </is>
      </c>
      <c r="DL21" s="150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</row>
    <row r="22">
      <c r="A22" s="150" t="inlineStr">
        <is>
          <t>变压器</t>
        </is>
      </c>
      <c r="B22" s="150" t="inlineStr">
        <is>
          <t>auto_note</t>
        </is>
      </c>
      <c r="C22" s="150" t="inlineStr">
        <is>
          <t>自动备注</t>
        </is>
      </c>
      <c r="D22" s="150" t="inlineStr">
        <is>
          <t>附件备注</t>
        </is>
      </c>
      <c r="E22" s="150" t="inlineStr">
        <is>
          <t>公式</t>
        </is>
      </c>
      <c r="F22" s="150" t="inlineStr">
        <is>
          <t>-</t>
        </is>
      </c>
      <c r="G22" s="150" t="inlineStr">
        <is>
          <t>否</t>
        </is>
      </c>
      <c r="H22" s="150" t="inlineStr">
        <is>
          <t>公式生成</t>
        </is>
      </c>
      <c r="I22" s="150" t="inlineStr">
        <is>
          <t>无</t>
        </is>
      </c>
      <c r="J22" s="150" t="n"/>
      <c r="K22" s="150" t="n"/>
      <c r="L22" s="150" t="n"/>
      <c r="M22" s="150" t="inlineStr">
        <is>
          <t>锁定公式列，不清洗</t>
        </is>
      </c>
      <c r="N22" s="150" t="inlineStr">
        <is>
          <t>公式锁定并随表格扩展</t>
        </is>
      </c>
      <c r="O22" s="150" t="inlineStr">
        <is>
          <t>GB 20052-2024</t>
        </is>
      </c>
      <c r="P22" s="150" t="inlineStr">
        <is>
          <t>表1～表35</t>
        </is>
      </c>
      <c r="R22" s="175" t="inlineStr">
        <is>
          <t>330kV油浸式三相三绕组有载调压自耦电力变压器（串联绕组末端调压，中压110kV）</t>
        </is>
      </c>
      <c r="AY22" s="175" t="inlineStr">
        <is>
          <t>H4b</t>
        </is>
      </c>
      <c r="CA22" s="175" t="inlineStr">
        <is>
          <t>H4b</t>
        </is>
      </c>
      <c r="CP22" s="150" t="inlineStr">
        <is>
          <t>EV_TR_COND_T2_630</t>
        </is>
      </c>
      <c r="CQ22" s="150" t="inlineStr">
        <is>
          <t>电工钢带｜H(145℃)｜阻抗6.0%～8.0%</t>
        </is>
      </c>
      <c r="CR22" s="150" t="inlineStr">
        <is>
          <t>10kV干式三相双绕组无励磁调压配电变压器</t>
        </is>
      </c>
      <c r="CS22" s="150" t="n">
        <v>630</v>
      </c>
      <c r="CT22" s="150" t="n">
        <v>630</v>
      </c>
      <c r="CU22" s="150" t="inlineStr">
        <is>
          <t>是</t>
        </is>
      </c>
      <c r="CV22" s="150" t="inlineStr">
        <is>
          <t>T02_ES_H_UK6_8</t>
        </is>
      </c>
      <c r="CW22" s="150" t="inlineStr">
        <is>
          <t>表2；电工钢带；H(145℃)；额定容量630 kVA；短路阻抗6.0%～8.0%。</t>
        </is>
      </c>
      <c r="CX22" s="150" t="n">
        <v>9</v>
      </c>
      <c r="CY22" s="150" t="inlineStr">
        <is>
          <t>额定容量=630 kVA</t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s="150" t="inlineStr">
        <is>
          <t>GB20052-T21</t>
        </is>
      </c>
      <c r="DL22" s="150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</row>
    <row r="23">
      <c r="A23" s="150" t="n"/>
      <c r="B23" s="150" t="n"/>
      <c r="C23" s="150" t="n"/>
      <c r="D23" s="150" t="n"/>
      <c r="E23" s="150" t="n"/>
      <c r="F23" s="150" t="n"/>
      <c r="G23" s="150" t="n"/>
      <c r="H23" s="150" t="n"/>
      <c r="I23" s="150" t="n"/>
      <c r="J23" s="150" t="n"/>
      <c r="K23" s="150" t="n"/>
      <c r="L23" s="150" t="n"/>
      <c r="M23" s="150" t="n"/>
      <c r="N23" s="150" t="n"/>
      <c r="O23" s="150" t="n"/>
      <c r="P23" s="150" t="n"/>
      <c r="R23" s="175" t="inlineStr">
        <is>
          <t>330kV油浸式三相三绕组有载调压自耦电力变压器（中压110kV线端调压）</t>
        </is>
      </c>
      <c r="AY23" s="175" t="inlineStr">
        <is>
          <t>H5b</t>
        </is>
      </c>
      <c r="CA23" s="175" t="inlineStr">
        <is>
          <t>H5b</t>
        </is>
      </c>
      <c r="CP23" s="150" t="inlineStr">
        <is>
          <t>EV_TR_COND_T2_630</t>
        </is>
      </c>
      <c r="CQ23" s="150" t="inlineStr">
        <is>
          <t>非晶合金｜B(100℃)｜阻抗6.0%～8.0%</t>
        </is>
      </c>
      <c r="CR23" s="150" t="inlineStr">
        <is>
          <t>10kV干式三相双绕组无励磁调压配电变压器</t>
        </is>
      </c>
      <c r="CS23" s="150" t="n">
        <v>630</v>
      </c>
      <c r="CT23" s="150" t="n">
        <v>630</v>
      </c>
      <c r="CU23" s="150" t="inlineStr">
        <is>
          <t>是</t>
        </is>
      </c>
      <c r="CV23" s="150" t="inlineStr">
        <is>
          <t>T02_AM_B_UK6_8</t>
        </is>
      </c>
      <c r="CW23" s="150" t="inlineStr">
        <is>
          <t>表2；非晶合金；B(100℃)；额定容量630 kVA；短路阻抗6.0%～8.0%。</t>
        </is>
      </c>
      <c r="CX23" s="150" t="n">
        <v>10</v>
      </c>
      <c r="CY23" s="150" t="inlineStr">
        <is>
          <t>额定容量=630 kVA</t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s="150" t="inlineStr">
        <is>
          <t>GB20052-T22</t>
        </is>
      </c>
      <c r="DL23" s="150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</row>
    <row r="24">
      <c r="A24" s="150" t="inlineStr">
        <is>
          <t>电动机</t>
        </is>
      </c>
      <c r="B24" s="150" t="inlineStr">
        <is>
          <t>seq</t>
        </is>
      </c>
      <c r="C24" s="150" t="inlineStr">
        <is>
          <t>序号</t>
        </is>
      </c>
      <c r="D24" s="150" t="inlineStr">
        <is>
          <t>基础信息</t>
        </is>
      </c>
      <c r="E24" s="150" t="inlineStr">
        <is>
          <t>整数</t>
        </is>
      </c>
      <c r="F24" s="150" t="inlineStr">
        <is>
          <t>-</t>
        </is>
      </c>
      <c r="G24" s="150" t="inlineStr">
        <is>
          <t>否</t>
        </is>
      </c>
      <c r="H24" s="150" t="inlineStr">
        <is>
          <t>公式生成</t>
        </is>
      </c>
      <c r="I24" s="150" t="inlineStr">
        <is>
          <t>无</t>
        </is>
      </c>
      <c r="J24" s="150" t="n"/>
      <c r="K24" s="150" t="n"/>
      <c r="L24" s="150" t="str"/>
      <c r="M24" s="150" t="inlineStr">
        <is>
          <t>锁定公式列，不清洗</t>
        </is>
      </c>
      <c r="N24" s="150" t="inlineStr">
        <is>
          <t>公式锁定并随表格扩展</t>
        </is>
      </c>
      <c r="O24" s="150" t="inlineStr">
        <is>
          <t>GB 18613-2020；GB 30254-2024；GB 30253-2024</t>
        </is>
      </c>
      <c r="P24" s="150" t="inlineStr">
        <is>
          <t>三项标准相应表格</t>
        </is>
      </c>
      <c r="R24" s="175" t="inlineStr">
        <is>
          <t>330kV油浸式三相三绕组无励磁调压自耦电力变压器（中压220kV线端调压）</t>
        </is>
      </c>
      <c r="AY24" s="175" t="inlineStr">
        <is>
          <t>循环供水式热泵高温热水机组</t>
        </is>
      </c>
      <c r="CA24" s="175" t="inlineStr">
        <is>
          <t>循环供水式热泵高温热水机组</t>
        </is>
      </c>
      <c r="CP24" s="150" t="inlineStr">
        <is>
          <t>EV_TR_COND_T2_630</t>
        </is>
      </c>
      <c r="CQ24" s="150" t="inlineStr">
        <is>
          <t>非晶合金｜F(120℃)｜阻抗6.0%～8.0%</t>
        </is>
      </c>
      <c r="CR24" s="150" t="inlineStr">
        <is>
          <t>10kV干式三相双绕组无励磁调压配电变压器</t>
        </is>
      </c>
      <c r="CS24" s="150" t="n">
        <v>630</v>
      </c>
      <c r="CT24" s="150" t="n">
        <v>630</v>
      </c>
      <c r="CU24" s="150" t="inlineStr">
        <is>
          <t>是</t>
        </is>
      </c>
      <c r="CV24" s="150" t="inlineStr">
        <is>
          <t>T02_AM_F_UK6_8</t>
        </is>
      </c>
      <c r="CW24" s="150" t="inlineStr">
        <is>
          <t>表2；非晶合金；F(120℃)；额定容量630 kVA；短路阻抗6.0%～8.0%。</t>
        </is>
      </c>
      <c r="CX24" s="150" t="n">
        <v>11</v>
      </c>
      <c r="CY24" s="150" t="inlineStr">
        <is>
          <t>额定容量=630 kVA</t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s="150" t="inlineStr">
        <is>
          <t>GB20052-T23</t>
        </is>
      </c>
      <c r="DL24" s="150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</row>
    <row r="25">
      <c r="A25" s="150" t="inlineStr">
        <is>
          <t>电动机</t>
        </is>
      </c>
      <c r="B25" s="150" t="inlineStr">
        <is>
          <t>device_name</t>
        </is>
      </c>
      <c r="C25" s="150" t="inlineStr">
        <is>
          <t>设备名称</t>
        </is>
      </c>
      <c r="D25" s="150" t="inlineStr">
        <is>
          <t>基础信息</t>
        </is>
      </c>
      <c r="E25" s="150" t="inlineStr">
        <is>
          <t>文本</t>
        </is>
      </c>
      <c r="F25" s="150" t="inlineStr">
        <is>
          <t>-</t>
        </is>
      </c>
      <c r="G25" s="150" t="inlineStr">
        <is>
          <t>是</t>
        </is>
      </c>
      <c r="H25" s="150" t="inlineStr">
        <is>
          <t>整行启用时必填</t>
        </is>
      </c>
      <c r="I25" s="150" t="inlineStr">
        <is>
          <t>无</t>
        </is>
      </c>
      <c r="J25" s="150" t="n"/>
      <c r="K25" s="150" t="n"/>
      <c r="L25" s="150" t="str"/>
      <c r="M25" s="150" t="inlineStr">
        <is>
          <t>去首尾空格；全角转半角；保留原值，不自动改写</t>
        </is>
      </c>
      <c r="N25" s="150" t="inlineStr">
        <is>
          <t>异常时写入自动备注；不改写原值</t>
        </is>
      </c>
      <c r="O25" s="150" t="inlineStr">
        <is>
          <t>GB 18613-2020；GB 30254-2024；GB 30253-2024</t>
        </is>
      </c>
      <c r="P25" s="150" t="inlineStr">
        <is>
          <t>三项标准相应表格</t>
        </is>
      </c>
      <c r="R25" s="175" t="inlineStr">
        <is>
          <t>330kV油浸式三相三绕组有载调压自耦电力变压器（中压220kV线端调压）</t>
        </is>
      </c>
      <c r="AY25" s="175" t="inlineStr">
        <is>
          <t>数据中心标准机型</t>
        </is>
      </c>
      <c r="CA25" s="175" t="inlineStr">
        <is>
          <t>外冷式</t>
        </is>
      </c>
      <c r="CP25" s="150" t="inlineStr">
        <is>
          <t>EV_TR_COND_T2_630</t>
        </is>
      </c>
      <c r="CQ25" s="150" t="inlineStr">
        <is>
          <t>非晶合金｜H(145℃)｜阻抗6.0%～8.0%</t>
        </is>
      </c>
      <c r="CR25" s="150" t="inlineStr">
        <is>
          <t>10kV干式三相双绕组无励磁调压配电变压器</t>
        </is>
      </c>
      <c r="CS25" s="150" t="n">
        <v>630</v>
      </c>
      <c r="CT25" s="150" t="n">
        <v>630</v>
      </c>
      <c r="CU25" s="150" t="inlineStr">
        <is>
          <t>是</t>
        </is>
      </c>
      <c r="CV25" s="150" t="inlineStr">
        <is>
          <t>T02_AM_H_UK6_8</t>
        </is>
      </c>
      <c r="CW25" s="150" t="inlineStr">
        <is>
          <t>表2；非晶合金；H(145℃)；额定容量630 kVA；短路阻抗6.0%～8.0%。</t>
        </is>
      </c>
      <c r="CX25" s="150" t="n">
        <v>12</v>
      </c>
      <c r="CY25" s="150" t="inlineStr">
        <is>
          <t>额定容量=630 kVA</t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s="150" t="inlineStr">
        <is>
          <t>GB20052-T24</t>
        </is>
      </c>
      <c r="DL25" s="150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</row>
    <row r="26">
      <c r="A26" s="150" t="inlineStr">
        <is>
          <t>电动机</t>
        </is>
      </c>
      <c r="B26" s="150" t="inlineStr">
        <is>
          <t>model</t>
        </is>
      </c>
      <c r="C26" s="150" t="inlineStr">
        <is>
          <t>型号</t>
        </is>
      </c>
      <c r="D26" s="150" t="inlineStr">
        <is>
          <t>基础信息</t>
        </is>
      </c>
      <c r="E26" s="150" t="inlineStr">
        <is>
          <t>文本</t>
        </is>
      </c>
      <c r="F26" s="150" t="inlineStr">
        <is>
          <t>-</t>
        </is>
      </c>
      <c r="G26" s="150" t="inlineStr">
        <is>
          <t>是</t>
        </is>
      </c>
      <c r="H26" s="150" t="inlineStr">
        <is>
          <t>整行启用时必填</t>
        </is>
      </c>
      <c r="I26" s="150" t="inlineStr">
        <is>
          <t>无</t>
        </is>
      </c>
      <c r="J26" s="150" t="n"/>
      <c r="K26" s="150" t="n"/>
      <c r="L26" s="150" t="str"/>
      <c r="M26" s="150" t="inlineStr">
        <is>
          <t>去首尾空格；统一字母大小写、连接符和全半角；保留原值</t>
        </is>
      </c>
      <c r="N26" s="150" t="inlineStr">
        <is>
          <t>异常时写入自动备注；不改写原值</t>
        </is>
      </c>
      <c r="O26" s="150" t="inlineStr">
        <is>
          <t>GB 18613-2020；GB 30254-2024；GB 30253-2024</t>
        </is>
      </c>
      <c r="P26" s="150" t="inlineStr">
        <is>
          <t>三项标准相应表格</t>
        </is>
      </c>
      <c r="R26" s="175" t="inlineStr">
        <is>
          <t>500kV油浸式单相双绕组无励磁调压电力变压器</t>
        </is>
      </c>
      <c r="AY26" s="175" t="inlineStr">
        <is>
          <t>数据中心大温差型</t>
        </is>
      </c>
      <c r="CA26" s="175" t="inlineStr">
        <is>
          <t>内冷式</t>
        </is>
      </c>
      <c r="CP26" s="150" t="inlineStr">
        <is>
          <t>EV_TR_COND_T2_630</t>
        </is>
      </c>
      <c r="CQ26" s="150" t="inlineStr">
        <is>
          <t>其他（请备注说明）</t>
        </is>
      </c>
      <c r="CR26" s="150" t="inlineStr">
        <is>
          <t>10kV干式三相双绕组无励磁调压配电变压器</t>
        </is>
      </c>
      <c r="CS26" s="150" t="n">
        <v>630</v>
      </c>
      <c r="CT26" s="150" t="n">
        <v>630</v>
      </c>
      <c r="CU26" s="150" t="inlineStr">
        <is>
          <t>是</t>
        </is>
      </c>
      <c r="CV26" s="150" t="inlineStr">
        <is>
          <t>T02_OTHER_630</t>
        </is>
      </c>
      <c r="CW26" s="150" t="inlineStr">
        <is>
          <t>表2：选择“其他”时请在填表备注中说明。</t>
        </is>
      </c>
      <c r="CX26" s="150" t="n">
        <v>13</v>
      </c>
      <c r="CY26" s="150" t="inlineStr">
        <is>
          <t>额定容量=630 kVA</t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s="150" t="inlineStr">
        <is>
          <t>GB20052-T25</t>
        </is>
      </c>
      <c r="DL26" s="150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</row>
    <row r="27">
      <c r="A27" s="150" t="inlineStr">
        <is>
          <t>电动机</t>
        </is>
      </c>
      <c r="B27" s="150" t="inlineStr">
        <is>
          <t>quantity</t>
        </is>
      </c>
      <c r="C27" s="150" t="inlineStr">
        <is>
          <t>数量</t>
        </is>
      </c>
      <c r="D27" s="150" t="inlineStr">
        <is>
          <t>基础信息</t>
        </is>
      </c>
      <c r="E27" s="150" t="inlineStr">
        <is>
          <t>整数</t>
        </is>
      </c>
      <c r="F27" s="150" t="inlineStr">
        <is>
          <t>-</t>
        </is>
      </c>
      <c r="G27" s="150" t="inlineStr">
        <is>
          <t>是</t>
        </is>
      </c>
      <c r="H27" s="150" t="inlineStr">
        <is>
          <t>整行启用时必填</t>
        </is>
      </c>
      <c r="I27" s="150" t="inlineStr">
        <is>
          <t>正整数</t>
        </is>
      </c>
      <c r="J27" s="150" t="n">
        <v>1</v>
      </c>
      <c r="K27" s="150" t="n"/>
      <c r="L27" s="150" t="str"/>
      <c r="M27" s="150" t="inlineStr">
        <is>
          <t>去首尾空格；全角转半角；保留原值，不自动改写</t>
        </is>
      </c>
      <c r="N27" s="150" t="inlineStr">
        <is>
          <t>异常时写入自动备注；不改写原值</t>
        </is>
      </c>
      <c r="O27" s="150" t="inlineStr">
        <is>
          <t>GB 18613-2020；GB 30254-2024；GB 30253-2024</t>
        </is>
      </c>
      <c r="P27" s="150" t="inlineStr">
        <is>
          <t>三项标准相应表格</t>
        </is>
      </c>
      <c r="R27" s="175" t="inlineStr">
        <is>
          <t>500kV油浸式三相双绕组无励磁调压电力变压器</t>
        </is>
      </c>
      <c r="AY27" s="175" t="inlineStr">
        <is>
          <t>外冷式</t>
        </is>
      </c>
      <c r="CA27" s="175" t="inlineStr">
        <is>
          <t>内外冷串联式</t>
        </is>
      </c>
      <c r="CP27" s="150" t="inlineStr">
        <is>
          <t>EV_TR_COND_DIRECTION</t>
        </is>
      </c>
      <c r="CQ27" s="150" t="inlineStr">
        <is>
          <t>升压</t>
        </is>
      </c>
      <c r="CR27" s="150" t="inlineStr">
        <is>
          <t>110kV油浸式三相三绕组无励磁调压变压器</t>
        </is>
      </c>
      <c r="CS27" s="150" t="n"/>
      <c r="CT27" s="150" t="n"/>
      <c r="CU27" s="150" t="inlineStr">
        <is>
          <t>否</t>
        </is>
      </c>
      <c r="CV27" s="150" t="inlineStr">
        <is>
          <t>T09_UP</t>
        </is>
      </c>
      <c r="CW27" s="150" t="inlineStr">
        <is>
          <t>表9；升压；短路阻抗组合仅记录分支，本阶段损耗限值不变。</t>
        </is>
      </c>
      <c r="CX27" s="150" t="n">
        <v>1</v>
      </c>
      <c r="CY27" s="150" t="inlineStr">
        <is>
          <t>全部容量</t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>GB20052-T26</t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</row>
    <row r="28">
      <c r="A28" s="150" t="inlineStr">
        <is>
          <t>电动机</t>
        </is>
      </c>
      <c r="B28" s="150" t="inlineStr">
        <is>
          <t>location</t>
        </is>
      </c>
      <c r="C28" s="150" t="inlineStr">
        <is>
          <t>安装位置</t>
        </is>
      </c>
      <c r="D28" s="150" t="inlineStr">
        <is>
          <t>基础信息</t>
        </is>
      </c>
      <c r="E28" s="150" t="inlineStr">
        <is>
          <t>文本</t>
        </is>
      </c>
      <c r="F28" s="150" t="inlineStr">
        <is>
          <t>-</t>
        </is>
      </c>
      <c r="G28" s="150" t="inlineStr">
        <is>
          <t>是</t>
        </is>
      </c>
      <c r="H28" s="150" t="inlineStr">
        <is>
          <t>可选</t>
        </is>
      </c>
      <c r="I28" s="150" t="inlineStr">
        <is>
          <t>无</t>
        </is>
      </c>
      <c r="J28" s="150" t="n"/>
      <c r="K28" s="150" t="n"/>
      <c r="L28" s="150" t="str"/>
      <c r="M28" s="150" t="inlineStr">
        <is>
          <t>去首尾空格；全角转半角；保留原值，不自动改写</t>
        </is>
      </c>
      <c r="N28" s="150" t="inlineStr">
        <is>
          <t>异常时写入自动备注；不改写原值</t>
        </is>
      </c>
      <c r="O28" s="150" t="inlineStr">
        <is>
          <t>GB 18613-2020；GB 30254-2024；GB 30253-2024</t>
        </is>
      </c>
      <c r="P28" s="150" t="inlineStr">
        <is>
          <t>三项标准相应表格</t>
        </is>
      </c>
      <c r="R28" s="175" t="inlineStr">
        <is>
          <t>500kV油浸式单相三绕组无励磁调压自耦电力变压器（中压线端调压）</t>
        </is>
      </c>
      <c r="AY28" s="175" t="inlineStr">
        <is>
          <t>内冷式</t>
        </is>
      </c>
      <c r="CA28" s="175" t="inlineStr">
        <is>
          <t>蒸发冷却式冷却塔式</t>
        </is>
      </c>
      <c r="CP28" s="150" t="inlineStr">
        <is>
          <t>EV_TR_COND_DIRECTION</t>
        </is>
      </c>
      <c r="CQ28" s="150" t="inlineStr">
        <is>
          <t>降压</t>
        </is>
      </c>
      <c r="CR28" s="150" t="inlineStr">
        <is>
          <t>110kV油浸式三相三绕组无励磁调压变压器</t>
        </is>
      </c>
      <c r="CS28" s="150" t="n"/>
      <c r="CT28" s="150" t="n"/>
      <c r="CU28" s="150" t="inlineStr">
        <is>
          <t>否</t>
        </is>
      </c>
      <c r="CV28" s="150" t="inlineStr">
        <is>
          <t>T09_DOWN</t>
        </is>
      </c>
      <c r="CW28" s="150" t="inlineStr">
        <is>
          <t>表9；降压；短路阻抗组合仅记录分支，本阶段损耗限值不变。</t>
        </is>
      </c>
      <c r="CX28" s="150" t="n">
        <v>2</v>
      </c>
      <c r="CY28" s="150" t="inlineStr">
        <is>
          <t>全部容量</t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>GB20052-T27</t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</row>
    <row r="29">
      <c r="A29" s="150" t="inlineStr">
        <is>
          <t>电动机</t>
        </is>
      </c>
      <c r="B29" s="150" t="inlineStr">
        <is>
          <t>category</t>
        </is>
      </c>
      <c r="C29" s="150" t="inlineStr">
        <is>
          <t>设备类别</t>
        </is>
      </c>
      <c r="D29" s="150" t="inlineStr">
        <is>
          <t>设备参数</t>
        </is>
      </c>
      <c r="E29" s="150" t="inlineStr">
        <is>
          <t>文本</t>
        </is>
      </c>
      <c r="F29" s="150" t="inlineStr">
        <is>
          <t>-</t>
        </is>
      </c>
      <c r="G29" s="150" t="inlineStr">
        <is>
          <t>是</t>
        </is>
      </c>
      <c r="H29" s="150" t="inlineStr">
        <is>
          <t>整行启用时必填</t>
        </is>
      </c>
      <c r="I29" s="150" t="inlineStr">
        <is>
          <t>停止型下拉；粘贴后由自动备注复核</t>
        </is>
      </c>
      <c r="J29" s="150" t="n"/>
      <c r="K29" s="150" t="n"/>
      <c r="L29" s="150" t="inlineStr">
        <is>
          <t>EV_MOTOR_CATEGORY</t>
        </is>
      </c>
      <c r="M29" s="150" t="inlineStr">
        <is>
          <t>去首尾空格；全角转半角；保留原值，不自动改写</t>
        </is>
      </c>
      <c r="N29" s="150" t="inlineStr">
        <is>
          <t>异常时写入自动备注；不改写原值</t>
        </is>
      </c>
      <c r="O29" s="150" t="inlineStr">
        <is>
          <t>GB 18613-2020；GB 30254-2024；GB 30253-2024</t>
        </is>
      </c>
      <c r="P29" s="150" t="inlineStr">
        <is>
          <t>三项标准相应表格</t>
        </is>
      </c>
      <c r="R29" s="175" t="inlineStr">
        <is>
          <t>500kV油浸式单相三绕组有载调压自耦电力变压器（中压线端调压）</t>
        </is>
      </c>
      <c r="AY29" s="175" t="inlineStr">
        <is>
          <t>内外冷串联式</t>
        </is>
      </c>
      <c r="CA29" s="175" t="inlineStr">
        <is>
          <t>风冷式</t>
        </is>
      </c>
      <c r="CP29" s="150" t="inlineStr">
        <is>
          <t>EV_TR_COND_DIRECTION</t>
        </is>
      </c>
      <c r="CQ29" s="150" t="inlineStr">
        <is>
          <t>其他（请备注说明）</t>
        </is>
      </c>
      <c r="CR29" s="150" t="inlineStr">
        <is>
          <t>110kV油浸式三相三绕组无励磁调压变压器</t>
        </is>
      </c>
      <c r="CS29" s="150" t="n"/>
      <c r="CT29" s="150" t="n"/>
      <c r="CU29" s="150" t="inlineStr">
        <is>
          <t>否</t>
        </is>
      </c>
      <c r="CV29" s="150" t="inlineStr">
        <is>
          <t>T09_OTHER</t>
        </is>
      </c>
      <c r="CW29" s="150" t="inlineStr">
        <is>
          <t>表9：选择“其他”时请在填表备注中说明。</t>
        </is>
      </c>
      <c r="CX29" s="150" t="n">
        <v>3</v>
      </c>
      <c r="CY29" s="150" t="inlineStr">
        <is>
          <t>全部容量</t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>GB20052-T28</t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</row>
    <row r="30">
      <c r="A30" s="150" t="inlineStr">
        <is>
          <t>电动机</t>
        </is>
      </c>
      <c r="B30" s="150" t="inlineStr">
        <is>
          <t>rated_voltage</t>
        </is>
      </c>
      <c r="C30" s="150" t="inlineStr">
        <is>
          <t>额定电压</t>
        </is>
      </c>
      <c r="D30" s="150" t="inlineStr">
        <is>
          <t>设备参数</t>
        </is>
      </c>
      <c r="E30" s="150" t="inlineStr">
        <is>
          <t>文本</t>
        </is>
      </c>
      <c r="F30" s="150" t="inlineStr">
        <is>
          <t>kV</t>
        </is>
      </c>
      <c r="G30" s="150" t="inlineStr">
        <is>
          <t>是</t>
        </is>
      </c>
      <c r="H30" s="150" t="inlineStr">
        <is>
          <t>整行启用时必填</t>
        </is>
      </c>
      <c r="I30" s="150" t="inlineStr">
        <is>
          <t>停止型下拉；粘贴后由自动备注复核</t>
        </is>
      </c>
      <c r="J30" s="150" t="n"/>
      <c r="K30" s="150" t="n"/>
      <c r="L30" s="150" t="inlineStr">
        <is>
          <t>EV_MOTOR_VOLTAGE</t>
        </is>
      </c>
      <c r="M30" s="150" t="inlineStr">
        <is>
          <t>去首尾空格；全角转半角；保留原值，不自动改写</t>
        </is>
      </c>
      <c r="N30" s="150" t="inlineStr">
        <is>
          <t>异常时写入自动备注；不改写原值</t>
        </is>
      </c>
      <c r="O30" s="150" t="inlineStr">
        <is>
          <t>GB 18613-2020；GB 30254-2024；GB 30253-2024</t>
        </is>
      </c>
      <c r="P30" s="150" t="inlineStr">
        <is>
          <t>三项标准相应表格</t>
        </is>
      </c>
      <c r="R30" s="175" t="inlineStr">
        <is>
          <t>6kV油浸式三相双绕组无励磁调压新能源发电侧变压器（光伏/风电/储能，6kV~7.2kV/0.4kV~1.14kV）</t>
        </is>
      </c>
      <c r="AY30" s="175" t="inlineStr">
        <is>
          <t>蒸发冷却式冷却塔式</t>
        </is>
      </c>
      <c r="CA30" s="175" t="inlineStr">
        <is>
          <t>其他（请备注说明）</t>
        </is>
      </c>
      <c r="CP30" s="150" t="inlineStr">
        <is>
          <t>EV_TR_COND_DIRECTION</t>
        </is>
      </c>
      <c r="CQ30" s="150" t="inlineStr">
        <is>
          <t>升压</t>
        </is>
      </c>
      <c r="CR30" s="150" t="inlineStr">
        <is>
          <t>220kV油浸式三相三绕组无励磁调压电力变压器</t>
        </is>
      </c>
      <c r="CS30" s="150" t="n"/>
      <c r="CT30" s="150" t="n"/>
      <c r="CU30" s="150" t="inlineStr">
        <is>
          <t>否</t>
        </is>
      </c>
      <c r="CV30" s="150" t="inlineStr">
        <is>
          <t>T13_UP</t>
        </is>
      </c>
      <c r="CW30" s="150" t="inlineStr">
        <is>
          <t>表13；升压；短路阻抗组合仅记录分支，本阶段损耗限值不变。</t>
        </is>
      </c>
      <c r="CX30" s="150" t="n">
        <v>4</v>
      </c>
      <c r="CY30" s="150" t="inlineStr">
        <is>
          <t>全部容量</t>
        </is>
      </c>
      <c r="DK30" t="inlineStr">
        <is>
          <t>GB20052-T29</t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</row>
    <row r="31">
      <c r="A31" s="150" t="inlineStr">
        <is>
          <t>电动机</t>
        </is>
      </c>
      <c r="B31" s="150" t="inlineStr">
        <is>
          <t>rated_frequency</t>
        </is>
      </c>
      <c r="C31" s="150" t="inlineStr">
        <is>
          <t>额定频率</t>
        </is>
      </c>
      <c r="D31" s="150" t="inlineStr">
        <is>
          <t>设备参数</t>
        </is>
      </c>
      <c r="E31" s="150" t="inlineStr">
        <is>
          <t>文本</t>
        </is>
      </c>
      <c r="F31" s="150" t="inlineStr">
        <is>
          <t>Hz</t>
        </is>
      </c>
      <c r="G31" s="150" t="inlineStr">
        <is>
          <t>是</t>
        </is>
      </c>
      <c r="H31" s="150" t="inlineStr">
        <is>
          <t>整行启用时必填</t>
        </is>
      </c>
      <c r="I31" s="150" t="inlineStr">
        <is>
          <t>无</t>
        </is>
      </c>
      <c r="J31" s="150" t="n"/>
      <c r="K31" s="150" t="n"/>
      <c r="L31" s="150" t="str"/>
      <c r="M31" s="150" t="inlineStr">
        <is>
          <t>去首尾空格；全角转半角；保留原值，不自动改写</t>
        </is>
      </c>
      <c r="N31" s="150" t="inlineStr">
        <is>
          <t>异常时写入自动备注；不改写原值</t>
        </is>
      </c>
      <c r="O31" s="150" t="inlineStr">
        <is>
          <t>GB 18613-2020；GB 30254-2024；GB 30253-2024</t>
        </is>
      </c>
      <c r="P31" s="150" t="inlineStr">
        <is>
          <t>三项标准相应表格</t>
        </is>
      </c>
      <c r="R31" s="175" t="inlineStr">
        <is>
          <t>6kV干式三相双绕组无励磁调压新能源发电侧变压器（光伏/风电/储能，6kV~7.2kV/0.4kV~1.14kV）</t>
        </is>
      </c>
      <c r="AY31" s="175" t="inlineStr">
        <is>
          <t>风冷式</t>
        </is>
      </c>
      <c r="CP31" s="150" t="inlineStr">
        <is>
          <t>EV_TR_COND_DIRECTION</t>
        </is>
      </c>
      <c r="CQ31" s="150" t="inlineStr">
        <is>
          <t>降压</t>
        </is>
      </c>
      <c r="CR31" s="150" t="inlineStr">
        <is>
          <t>220kV油浸式三相三绕组无励磁调压电力变压器</t>
        </is>
      </c>
      <c r="CS31" s="150" t="n"/>
      <c r="CT31" s="150" t="n"/>
      <c r="CU31" s="150" t="inlineStr">
        <is>
          <t>否</t>
        </is>
      </c>
      <c r="CV31" s="150" t="inlineStr">
        <is>
          <t>T13_DOWN</t>
        </is>
      </c>
      <c r="CW31" s="150" t="inlineStr">
        <is>
          <t>表13；降压；短路阻抗组合仅记录分支，本阶段损耗限值不变。</t>
        </is>
      </c>
      <c r="CX31" s="150" t="n">
        <v>5</v>
      </c>
      <c r="CY31" s="150" t="inlineStr">
        <is>
          <t>全部容量</t>
        </is>
      </c>
      <c r="DK31" t="inlineStr">
        <is>
          <t>GB20052-T30</t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</row>
    <row r="32">
      <c r="A32" s="150" t="inlineStr">
        <is>
          <t>电动机</t>
        </is>
      </c>
      <c r="B32" s="150" t="inlineStr">
        <is>
          <t>cooling</t>
        </is>
      </c>
      <c r="C32" s="150" t="inlineStr">
        <is>
          <t>冷却方式</t>
        </is>
      </c>
      <c r="D32" s="150" t="inlineStr">
        <is>
          <t>设备参数</t>
        </is>
      </c>
      <c r="E32" s="150" t="inlineStr">
        <is>
          <t>文本</t>
        </is>
      </c>
      <c r="F32" s="150" t="inlineStr">
        <is>
          <t>-</t>
        </is>
      </c>
      <c r="G32" s="150" t="inlineStr">
        <is>
          <t>是</t>
        </is>
      </c>
      <c r="H32" s="150" t="inlineStr">
        <is>
          <t>高压产品条件必填</t>
        </is>
      </c>
      <c r="I32" s="150" t="inlineStr">
        <is>
          <t>停止型下拉；粘贴后由自动备注复核</t>
        </is>
      </c>
      <c r="J32" s="150" t="n"/>
      <c r="K32" s="150" t="n"/>
      <c r="L32" s="150" t="inlineStr">
        <is>
          <t>EV_COOLING_MOTOR_HV</t>
        </is>
      </c>
      <c r="M32" s="150" t="inlineStr">
        <is>
          <t>去首尾空格；全角转半角；保留原值，不自动改写</t>
        </is>
      </c>
      <c r="N32" s="150" t="inlineStr">
        <is>
          <t>异常时写入自动备注；不改写原值</t>
        </is>
      </c>
      <c r="O32" s="150" t="inlineStr">
        <is>
          <t>GB 18613-2020；GB 30254-2024；GB 30253-2024</t>
        </is>
      </c>
      <c r="P32" s="150" t="inlineStr">
        <is>
          <t>三项标准相应表格</t>
        </is>
      </c>
      <c r="R32" s="175" t="inlineStr">
        <is>
          <t>10kV油浸式三相双绕组无励磁调压新能源发电侧变压器（光伏/风电/储能，10kV~12kV/0.4kV~1.14kV）</t>
        </is>
      </c>
      <c r="AY32" s="175" t="inlineStr">
        <is>
          <t>其他（请备注说明）</t>
        </is>
      </c>
      <c r="CP32" s="150" t="inlineStr">
        <is>
          <t>EV_TR_COND_DIRECTION</t>
        </is>
      </c>
      <c r="CQ32" s="150" t="inlineStr">
        <is>
          <t>其他（请备注说明）</t>
        </is>
      </c>
      <c r="CR32" s="150" t="inlineStr">
        <is>
          <t>220kV油浸式三相三绕组无励磁调压电力变压器</t>
        </is>
      </c>
      <c r="CS32" s="150" t="n"/>
      <c r="CT32" s="150" t="n"/>
      <c r="CU32" s="150" t="inlineStr">
        <is>
          <t>否</t>
        </is>
      </c>
      <c r="CV32" s="150" t="inlineStr">
        <is>
          <t>T13_OTHER</t>
        </is>
      </c>
      <c r="CW32" s="150" t="inlineStr">
        <is>
          <t>表13：选择“其他”时请在填表备注中说明。</t>
        </is>
      </c>
      <c r="CX32" s="150" t="n">
        <v>6</v>
      </c>
      <c r="CY32" s="150" t="inlineStr">
        <is>
          <t>全部容量</t>
        </is>
      </c>
      <c r="DK32" t="inlineStr">
        <is>
          <t>GB20052-T31</t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</row>
    <row r="33">
      <c r="A33" s="150" t="inlineStr">
        <is>
          <t>电动机</t>
        </is>
      </c>
      <c r="B33" s="150" t="inlineStr">
        <is>
          <t>rated_power</t>
        </is>
      </c>
      <c r="C33" s="150" t="inlineStr">
        <is>
          <t>额定功率</t>
        </is>
      </c>
      <c r="D33" s="150" t="inlineStr">
        <is>
          <t>设备参数</t>
        </is>
      </c>
      <c r="E33" s="150" t="inlineStr">
        <is>
          <t>数值</t>
        </is>
      </c>
      <c r="F33" s="150" t="inlineStr">
        <is>
          <t>kW</t>
        </is>
      </c>
      <c r="G33" s="150" t="inlineStr">
        <is>
          <t>是</t>
        </is>
      </c>
      <c r="H33" s="150" t="inlineStr">
        <is>
          <t>整行启用时必填</t>
        </is>
      </c>
      <c r="I33" s="150" t="inlineStr">
        <is>
          <t>数值&gt;0</t>
        </is>
      </c>
      <c r="J33" s="150" t="n">
        <v>0</v>
      </c>
      <c r="K33" s="150" t="n"/>
      <c r="L33" s="150" t="str"/>
      <c r="M33" s="150" t="inlineStr">
        <is>
          <t>去首尾空格；全角转半角；保留原值，不自动改写</t>
        </is>
      </c>
      <c r="N33" s="150" t="inlineStr">
        <is>
          <t>异常时写入自动备注；不改写原值</t>
        </is>
      </c>
      <c r="O33" s="150" t="inlineStr">
        <is>
          <t>GB 18613-2020；GB 30254-2024；GB 30253-2024</t>
        </is>
      </c>
      <c r="P33" s="150" t="inlineStr">
        <is>
          <t>三项标准相应表格</t>
        </is>
      </c>
      <c r="R33" s="175" t="inlineStr">
        <is>
          <t>10kV干式三相双绕组无励磁调压新能源发电侧变压器（光伏/风电/储能，10kV~12kV/0.4kV~1.14kV）</t>
        </is>
      </c>
      <c r="CP33" s="150" t="inlineStr">
        <is>
          <t>EV_TR_COND_T15_NORMAL</t>
        </is>
      </c>
      <c r="CQ33" s="150" t="inlineStr">
        <is>
          <t>普通组</t>
        </is>
      </c>
      <c r="CR33" s="150" t="inlineStr">
        <is>
          <t>220kV油浸式三相双绕组有载调压电力变压器</t>
        </is>
      </c>
      <c r="CS33" s="150" t="n"/>
      <c r="CT33" s="150" t="n">
        <v>120000</v>
      </c>
      <c r="CU33" s="150" t="inlineStr">
        <is>
          <t>否</t>
        </is>
      </c>
      <c r="CV33" s="150" t="inlineStr">
        <is>
          <t>T15_NORMAL</t>
        </is>
      </c>
      <c r="CW33" s="150" t="inlineStr">
        <is>
          <t>表15；额定容量小于120000 kVA：仅普通组。</t>
        </is>
      </c>
      <c r="CX33" s="150" t="n">
        <v>1</v>
      </c>
      <c r="CY33" s="150" t="inlineStr">
        <is>
          <t>额定容量&lt;120000 kVA</t>
        </is>
      </c>
      <c r="DK33" t="inlineStr">
        <is>
          <t>GB20052-T32</t>
        </is>
      </c>
      <c r="DL33" s="150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</row>
    <row r="34">
      <c r="A34" s="150" t="inlineStr">
        <is>
          <t>电动机</t>
        </is>
      </c>
      <c r="B34" s="150" t="inlineStr">
        <is>
          <t>poles</t>
        </is>
      </c>
      <c r="C34" s="150" t="inlineStr">
        <is>
          <t>极数</t>
        </is>
      </c>
      <c r="D34" s="150" t="inlineStr">
        <is>
          <t>设备参数</t>
        </is>
      </c>
      <c r="E34" s="150" t="inlineStr">
        <is>
          <t>整数</t>
        </is>
      </c>
      <c r="F34" s="150" t="inlineStr">
        <is>
          <t>极</t>
        </is>
      </c>
      <c r="G34" s="150" t="inlineStr">
        <is>
          <t>是</t>
        </is>
      </c>
      <c r="H34" s="150" t="inlineStr">
        <is>
          <t>整行启用时必填</t>
        </is>
      </c>
      <c r="I34" s="150" t="inlineStr">
        <is>
          <t>停止型下拉；粘贴后由自动备注复核</t>
        </is>
      </c>
      <c r="J34" s="150" t="n"/>
      <c r="K34" s="150" t="n"/>
      <c r="L34" s="150" t="inlineStr">
        <is>
          <t>EV_POLES_PMSM</t>
        </is>
      </c>
      <c r="M34" s="150" t="inlineStr">
        <is>
          <t>去首尾空格；全角转半角；保留原值，不自动改写</t>
        </is>
      </c>
      <c r="N34" s="150" t="inlineStr">
        <is>
          <t>异常时写入自动备注；不改写原值</t>
        </is>
      </c>
      <c r="O34" s="150" t="inlineStr">
        <is>
          <t>GB 18613-2020；GB 30254-2024；GB 30253-2024</t>
        </is>
      </c>
      <c r="P34" s="150" t="inlineStr">
        <is>
          <t>三项标准相应表格</t>
        </is>
      </c>
      <c r="R34" s="175" t="inlineStr">
        <is>
          <t>35kV油浸式三相双绕组无励磁调压新能源发电侧变压器（光伏/风电/储能，35kV~38.5kV/0.4kV~1.14kV）</t>
        </is>
      </c>
      <c r="CP34" s="150" t="inlineStr">
        <is>
          <t>EV_TR_COND_T15_BOTH</t>
        </is>
      </c>
      <c r="CQ34" s="150" t="inlineStr">
        <is>
          <t>普通组</t>
        </is>
      </c>
      <c r="CR34" s="150" t="inlineStr">
        <is>
          <t>220kV油浸式三相双绕组有载调压电力变压器</t>
        </is>
      </c>
      <c r="CS34" s="150" t="n">
        <v>120000</v>
      </c>
      <c r="CT34" s="150" t="n">
        <v>180000</v>
      </c>
      <c r="CU34" s="150" t="inlineStr">
        <is>
          <t>是</t>
        </is>
      </c>
      <c r="CV34" s="150" t="inlineStr">
        <is>
          <t>T15_NORMAL</t>
        </is>
      </c>
      <c r="CW34" s="150" t="inlineStr">
        <is>
          <t>表15；120000 kVA≤额定容量≤180000 kVA：普通组。</t>
        </is>
      </c>
      <c r="CX34" s="150" t="n">
        <v>1</v>
      </c>
      <c r="CY34" s="150" t="inlineStr">
        <is>
          <t>120000 kVA≤额定容量≤180000 kVA</t>
        </is>
      </c>
      <c r="DK34" s="150" t="inlineStr">
        <is>
          <t>GB20052-T33</t>
        </is>
      </c>
      <c r="DL34" s="150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</row>
    <row r="35">
      <c r="A35" s="150" t="inlineStr">
        <is>
          <t>电动机</t>
        </is>
      </c>
      <c r="B35" s="150" t="inlineStr">
        <is>
          <t>rated_speed</t>
        </is>
      </c>
      <c r="C35" s="150" t="inlineStr">
        <is>
          <t>额定转速</t>
        </is>
      </c>
      <c r="D35" s="150" t="inlineStr">
        <is>
          <t>设备参数</t>
        </is>
      </c>
      <c r="E35" s="150" t="inlineStr">
        <is>
          <t>数值</t>
        </is>
      </c>
      <c r="F35" s="150" t="inlineStr">
        <is>
          <t>r/min</t>
        </is>
      </c>
      <c r="G35" s="150" t="inlineStr">
        <is>
          <t>是</t>
        </is>
      </c>
      <c r="H35" s="150" t="inlineStr">
        <is>
          <t>整行启用时必填</t>
        </is>
      </c>
      <c r="I35" s="150" t="inlineStr">
        <is>
          <t>数值&gt;0</t>
        </is>
      </c>
      <c r="J35" s="150" t="n">
        <v>0</v>
      </c>
      <c r="K35" s="150" t="n"/>
      <c r="L35" s="150" t="str"/>
      <c r="M35" s="150" t="inlineStr">
        <is>
          <t>去首尾空格；全角转半角；保留原值，不自动改写</t>
        </is>
      </c>
      <c r="N35" s="150" t="inlineStr">
        <is>
          <t>异常时写入自动备注；不改写原值</t>
        </is>
      </c>
      <c r="O35" s="150" t="inlineStr">
        <is>
          <t>GB 18613-2020；GB 30254-2024；GB 30253-2024</t>
        </is>
      </c>
      <c r="P35" s="150" t="inlineStr">
        <is>
          <t>三项标准相应表格</t>
        </is>
      </c>
      <c r="R35" s="175" t="inlineStr">
        <is>
          <t>35kV干式三相双绕组无励磁调压新能源发电侧变压器（光伏/风电/储能，35kV~38.5kV/0.4kV~1.14kV）</t>
        </is>
      </c>
      <c r="CP35" s="150" t="inlineStr">
        <is>
          <t>EV_TR_COND_T15_BOTH</t>
        </is>
      </c>
      <c r="CQ35" s="150" t="inlineStr">
        <is>
          <t>低压66/69kV组</t>
        </is>
      </c>
      <c r="CR35" s="150" t="inlineStr">
        <is>
          <t>220kV油浸式三相双绕组有载调压电力变压器</t>
        </is>
      </c>
      <c r="CS35" s="150" t="n">
        <v>120000</v>
      </c>
      <c r="CT35" s="150" t="n">
        <v>180000</v>
      </c>
      <c r="CU35" s="150" t="inlineStr">
        <is>
          <t>是</t>
        </is>
      </c>
      <c r="CV35" s="150" t="inlineStr">
        <is>
          <t>T15_LV66_69</t>
        </is>
      </c>
      <c r="CW35" s="150" t="inlineStr">
        <is>
          <t>表15；120000 kVA≤额定容量≤180000 kVA：低压66/69kV组。</t>
        </is>
      </c>
      <c r="CX35" s="150" t="n">
        <v>2</v>
      </c>
      <c r="CY35" s="150" t="inlineStr">
        <is>
          <t>120000 kVA≤额定容量≤180000 kVA</t>
        </is>
      </c>
      <c r="DK35" s="150" t="inlineStr">
        <is>
          <t>GB20052-T34</t>
        </is>
      </c>
      <c r="DL35" s="150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</row>
    <row r="36">
      <c r="A36" s="150" t="inlineStr">
        <is>
          <t>电动机</t>
        </is>
      </c>
      <c r="B36" s="150" t="inlineStr">
        <is>
          <t>efficiency</t>
        </is>
      </c>
      <c r="C36" s="150" t="inlineStr">
        <is>
          <t>效率</t>
        </is>
      </c>
      <c r="D36" s="150" t="inlineStr">
        <is>
          <t>设备参数</t>
        </is>
      </c>
      <c r="E36" s="150" t="inlineStr">
        <is>
          <t>数值</t>
        </is>
      </c>
      <c r="F36" s="150" t="inlineStr">
        <is>
          <t>%</t>
        </is>
      </c>
      <c r="G36" s="150" t="inlineStr">
        <is>
          <t>是</t>
        </is>
      </c>
      <c r="H36" s="150" t="inlineStr">
        <is>
          <t>整行启用时必填</t>
        </is>
      </c>
      <c r="I36" s="150" t="inlineStr">
        <is>
          <t>百分数本值1～100</t>
        </is>
      </c>
      <c r="J36" s="150" t="n">
        <v>1</v>
      </c>
      <c r="K36" s="150" t="n">
        <v>100</v>
      </c>
      <c r="L36" s="150" t="str"/>
      <c r="M36" s="150" t="inlineStr">
        <is>
          <t>按设备类别填写标准对应效率；变频调速永磁同步电动机按90%额定转速口径填写</t>
        </is>
      </c>
      <c r="N36" s="150" t="inlineStr">
        <is>
          <t>统一字段；不再单独填写90%额定转速效率</t>
        </is>
      </c>
      <c r="O36" s="150" t="inlineStr">
        <is>
          <t>GB 18613-2020；GB 30254-2024；GB 30253-2024</t>
        </is>
      </c>
      <c r="P36" s="150" t="inlineStr">
        <is>
          <t>三项标准相应表格</t>
        </is>
      </c>
      <c r="R36" s="175" t="inlineStr">
        <is>
          <t>66kV油浸式三相双绕组无励磁调压新能源发电侧变压器（光伏/风电/储能，66kV~72.5kV/0.4kV~1.14kV）</t>
        </is>
      </c>
      <c r="CP36" s="150" t="inlineStr">
        <is>
          <t>EV_TR_COND_T15_BOTH</t>
        </is>
      </c>
      <c r="CQ36" s="150" t="inlineStr">
        <is>
          <t>其他（请备注说明）</t>
        </is>
      </c>
      <c r="CR36" s="150" t="inlineStr">
        <is>
          <t>220kV油浸式三相双绕组有载调压电力变压器</t>
        </is>
      </c>
      <c r="CS36" s="150" t="n">
        <v>120000</v>
      </c>
      <c r="CT36" s="150" t="n">
        <v>180000</v>
      </c>
      <c r="CU36" s="150" t="inlineStr">
        <is>
          <t>是</t>
        </is>
      </c>
      <c r="CV36" s="150" t="inlineStr">
        <is>
          <t>T15_OTHER</t>
        </is>
      </c>
      <c r="CW36" s="150" t="inlineStr">
        <is>
          <t>表15：选择“其他”时请在填表备注中说明。</t>
        </is>
      </c>
      <c r="CX36" s="150" t="n">
        <v>3</v>
      </c>
      <c r="CY36" s="150" t="inlineStr">
        <is>
          <t>120000 kVA≤额定容量≤180000 kVA</t>
        </is>
      </c>
      <c r="DK36" s="150" t="inlineStr">
        <is>
          <t>GB20052-T35</t>
        </is>
      </c>
      <c r="DL36" s="150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</row>
    <row r="37">
      <c r="A37" s="150" t="inlineStr">
        <is>
          <t>电动机</t>
        </is>
      </c>
      <c r="B37" s="150" t="inlineStr">
        <is>
          <t>grade1</t>
        </is>
      </c>
      <c r="C37" s="150" t="inlineStr">
        <is>
          <t>1级对应效率指标</t>
        </is>
      </c>
      <c r="D37" s="150" t="inlineStr">
        <is>
          <t>标准查询结果</t>
        </is>
      </c>
      <c r="E37" s="150" t="inlineStr">
        <is>
          <t>数值</t>
        </is>
      </c>
      <c r="F37" s="150" t="inlineStr">
        <is>
          <t>%</t>
        </is>
      </c>
      <c r="G37" s="150" t="inlineStr">
        <is>
          <t>否</t>
        </is>
      </c>
      <c r="H37" s="150" t="inlineStr">
        <is>
          <t>本阶段锁定预留</t>
        </is>
      </c>
      <c r="I37" s="150" t="inlineStr">
        <is>
          <t>无</t>
        </is>
      </c>
      <c r="J37" s="150" t="n"/>
      <c r="K37" s="150" t="n"/>
      <c r="L37" s="150" t="str"/>
      <c r="M37" s="150" t="inlineStr">
        <is>
          <t>锁定预留，不清洗</t>
        </is>
      </c>
      <c r="N37" s="150" t="inlineStr">
        <is>
          <t>本阶段不查询、不判定</t>
        </is>
      </c>
      <c r="O37" s="150" t="inlineStr">
        <is>
          <t>GB 18613-2020；GB 30254-2024；GB 30253-2024</t>
        </is>
      </c>
      <c r="P37" s="150" t="inlineStr">
        <is>
          <t>三项标准相应表格</t>
        </is>
      </c>
      <c r="R37" s="175" t="inlineStr">
        <is>
          <t>其他类别</t>
        </is>
      </c>
      <c r="CP37" s="150" t="inlineStr">
        <is>
          <t>EV_TR_COND_T15_SPECIAL</t>
        </is>
      </c>
      <c r="CQ37" s="150" t="inlineStr">
        <is>
          <t>低压66/69kV组</t>
        </is>
      </c>
      <c r="CR37" s="150" t="inlineStr">
        <is>
          <t>220kV油浸式三相双绕组有载调压电力变压器</t>
        </is>
      </c>
      <c r="CS37" s="150" t="n">
        <v>180000</v>
      </c>
      <c r="CT37" s="150" t="n"/>
      <c r="CU37" s="150" t="inlineStr">
        <is>
          <t>否</t>
        </is>
      </c>
      <c r="CV37" s="150" t="inlineStr">
        <is>
          <t>T15_LV66_69</t>
        </is>
      </c>
      <c r="CW37" s="150" t="inlineStr">
        <is>
          <t>表15；额定容量大于180000 kVA：仅低压66/69kV组；240000 kVA为特殊组。</t>
        </is>
      </c>
      <c r="CX37" s="150" t="n">
        <v>1</v>
      </c>
      <c r="CY37" s="150" t="inlineStr">
        <is>
          <t>额定容量&gt;180000 kVA</t>
        </is>
      </c>
      <c r="DK37" s="150" t="inlineStr">
        <is>
          <t>OTHER_CATEGORY</t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</row>
    <row r="38">
      <c r="A38" s="150" t="inlineStr">
        <is>
          <t>电动机</t>
        </is>
      </c>
      <c r="B38" s="150" t="inlineStr">
        <is>
          <t>grade2</t>
        </is>
      </c>
      <c r="C38" s="150" t="inlineStr">
        <is>
          <t>2级对应效率指标</t>
        </is>
      </c>
      <c r="D38" s="150" t="inlineStr">
        <is>
          <t>标准查询结果</t>
        </is>
      </c>
      <c r="E38" s="150" t="inlineStr">
        <is>
          <t>数值</t>
        </is>
      </c>
      <c r="F38" s="150" t="inlineStr">
        <is>
          <t>%</t>
        </is>
      </c>
      <c r="G38" s="150" t="inlineStr">
        <is>
          <t>否</t>
        </is>
      </c>
      <c r="H38" s="150" t="inlineStr">
        <is>
          <t>本阶段锁定预留</t>
        </is>
      </c>
      <c r="I38" s="150" t="inlineStr">
        <is>
          <t>无</t>
        </is>
      </c>
      <c r="J38" s="150" t="n"/>
      <c r="K38" s="150" t="n"/>
      <c r="L38" s="150" t="str"/>
      <c r="M38" s="150" t="inlineStr">
        <is>
          <t>锁定预留，不清洗</t>
        </is>
      </c>
      <c r="N38" s="150" t="inlineStr">
        <is>
          <t>本阶段不查询、不判定</t>
        </is>
      </c>
      <c r="O38" s="150" t="inlineStr">
        <is>
          <t>GB 18613-2020；GB 30254-2024；GB 30253-2024</t>
        </is>
      </c>
      <c r="P38" s="150" t="inlineStr">
        <is>
          <t>三项标准相应表格</t>
        </is>
      </c>
      <c r="R38" t="inlineStr">
        <is>
          <t>不确定类别</t>
        </is>
      </c>
      <c r="CP38" s="150" t="inlineStr">
        <is>
          <t>EV_TR_COND_T27</t>
        </is>
      </c>
      <c r="CQ38" s="150" t="inlineStr">
        <is>
          <t>阻抗组A</t>
        </is>
      </c>
      <c r="CR38" s="150" t="inlineStr">
        <is>
          <t>500kV油浸式单相三绕组无励磁调压自耦电力变压器（中压线端调压）</t>
        </is>
      </c>
      <c r="CS38" s="150" t="n"/>
      <c r="CT38" s="150" t="n"/>
      <c r="CU38" s="150" t="inlineStr">
        <is>
          <t>是</t>
        </is>
      </c>
      <c r="CV38" s="150" t="inlineStr">
        <is>
          <t>T27_A</t>
        </is>
      </c>
      <c r="CW38" s="150" t="inlineStr">
        <is>
          <t>表27：阻抗组A；高—中 12%；高—低 34%～38%；中—低 20%～22%。</t>
        </is>
      </c>
      <c r="CX38" s="150" t="n">
        <v>1</v>
      </c>
      <c r="CY38" s="150" t="inlineStr">
        <is>
          <t>全部容量</t>
        </is>
      </c>
      <c r="DK38" t="inlineStr">
        <is>
          <t>UNCERTAIN_CATEGORY</t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</row>
    <row r="39">
      <c r="A39" s="150" t="inlineStr">
        <is>
          <t>电动机</t>
        </is>
      </c>
      <c r="B39" s="150" t="inlineStr">
        <is>
          <t>grade3</t>
        </is>
      </c>
      <c r="C39" s="150" t="inlineStr">
        <is>
          <t>3级对应效率指标</t>
        </is>
      </c>
      <c r="D39" s="150" t="inlineStr">
        <is>
          <t>标准查询结果</t>
        </is>
      </c>
      <c r="E39" s="150" t="inlineStr">
        <is>
          <t>数值</t>
        </is>
      </c>
      <c r="F39" s="150" t="inlineStr">
        <is>
          <t>%</t>
        </is>
      </c>
      <c r="G39" s="150" t="inlineStr">
        <is>
          <t>否</t>
        </is>
      </c>
      <c r="H39" s="150" t="inlineStr">
        <is>
          <t>本阶段锁定预留</t>
        </is>
      </c>
      <c r="I39" s="150" t="inlineStr">
        <is>
          <t>无</t>
        </is>
      </c>
      <c r="J39" s="150" t="n"/>
      <c r="K39" s="150" t="n"/>
      <c r="L39" s="150" t="str"/>
      <c r="M39" s="150" t="inlineStr">
        <is>
          <t>锁定预留，不清洗</t>
        </is>
      </c>
      <c r="N39" s="150" t="inlineStr">
        <is>
          <t>本阶段不查询、不判定</t>
        </is>
      </c>
      <c r="O39" s="150" t="inlineStr">
        <is>
          <t>GB 18613-2020；GB 30254-2024；GB 30253-2024</t>
        </is>
      </c>
      <c r="P39" s="150" t="inlineStr">
        <is>
          <t>三项标准相应表格</t>
        </is>
      </c>
      <c r="R39" t="inlineStr">
        <is>
          <t/>
        </is>
      </c>
      <c r="CP39" s="150" t="inlineStr">
        <is>
          <t>EV_TR_COND_T27</t>
        </is>
      </c>
      <c r="CQ39" s="150" t="inlineStr">
        <is>
          <t>阻抗组B</t>
        </is>
      </c>
      <c r="CR39" s="150" t="inlineStr">
        <is>
          <t>500kV油浸式单相三绕组无励磁调压自耦电力变压器（中压线端调压）</t>
        </is>
      </c>
      <c r="CS39" s="150" t="n"/>
      <c r="CT39" s="150" t="n"/>
      <c r="CU39" s="150" t="inlineStr">
        <is>
          <t>是</t>
        </is>
      </c>
      <c r="CV39" s="150" t="inlineStr">
        <is>
          <t>T27_B</t>
        </is>
      </c>
      <c r="CW39" s="150" t="inlineStr">
        <is>
          <t>表27：阻抗组B；高—中 12%；高—低 42%～46%；中—低 28%～30%。</t>
        </is>
      </c>
      <c r="CX39" s="150" t="n">
        <v>2</v>
      </c>
      <c r="CY39" s="150" t="inlineStr">
        <is>
          <t>全部容量</t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</row>
    <row r="40">
      <c r="A40" s="150" t="inlineStr">
        <is>
          <t>电动机</t>
        </is>
      </c>
      <c r="B40" s="150" t="inlineStr">
        <is>
          <t>conclusion</t>
        </is>
      </c>
      <c r="C40" s="150" t="inlineStr">
        <is>
          <t>能效等级</t>
        </is>
      </c>
      <c r="D40" s="150" t="inlineStr">
        <is>
          <t>结论</t>
        </is>
      </c>
      <c r="E40" s="150" t="inlineStr">
        <is>
          <t>文本</t>
        </is>
      </c>
      <c r="F40" s="150" t="inlineStr">
        <is>
          <t>-</t>
        </is>
      </c>
      <c r="G40" s="150" t="inlineStr">
        <is>
          <t>否</t>
        </is>
      </c>
      <c r="H40" s="150" t="inlineStr">
        <is>
          <t>本阶段锁定预留</t>
        </is>
      </c>
      <c r="I40" s="150" t="inlineStr">
        <is>
          <t>无</t>
        </is>
      </c>
      <c r="J40" s="150" t="n"/>
      <c r="K40" s="150" t="n"/>
      <c r="L40" s="150" t="str"/>
      <c r="M40" s="150" t="inlineStr">
        <is>
          <t>锁定预留，不清洗</t>
        </is>
      </c>
      <c r="N40" s="150" t="inlineStr">
        <is>
          <t>本阶段不查询、不判定</t>
        </is>
      </c>
      <c r="O40" s="150" t="inlineStr">
        <is>
          <t>GB 18613-2020；GB 30254-2024；GB 30253-2024</t>
        </is>
      </c>
      <c r="P40" s="150" t="inlineStr">
        <is>
          <t>三项标准相应表格</t>
        </is>
      </c>
      <c r="R40" t="inlineStr">
        <is>
          <t/>
        </is>
      </c>
      <c r="CP40" s="150" t="inlineStr">
        <is>
          <t>EV_TR_COND_T27</t>
        </is>
      </c>
      <c r="CQ40" s="150" t="inlineStr">
        <is>
          <t>阻抗组C</t>
        </is>
      </c>
      <c r="CR40" s="150" t="inlineStr">
        <is>
          <t>500kV油浸式单相三绕组无励磁调压自耦电力变压器（中压线端调压）</t>
        </is>
      </c>
      <c r="CS40" s="150" t="n"/>
      <c r="CT40" s="150" t="n"/>
      <c r="CU40" s="150" t="inlineStr">
        <is>
          <t>是</t>
        </is>
      </c>
      <c r="CV40" s="150" t="inlineStr">
        <is>
          <t>T27_C</t>
        </is>
      </c>
      <c r="CW40" s="150" t="inlineStr">
        <is>
          <t>表27：阻抗组C；高—中 14%～22%；高—低 42%～64%；中—低 28%～40%。</t>
        </is>
      </c>
      <c r="CX40" s="150" t="n">
        <v>3</v>
      </c>
      <c r="CY40" s="150" t="inlineStr">
        <is>
          <t>全部容量</t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</row>
    <row r="41">
      <c r="A41" s="150" t="inlineStr">
        <is>
          <t>电动机</t>
        </is>
      </c>
      <c r="B41" s="150" t="inlineStr">
        <is>
          <t>photo</t>
        </is>
      </c>
      <c r="C41" s="150" t="inlineStr">
        <is>
          <t>铭牌照片</t>
        </is>
      </c>
      <c r="D41" s="150" t="inlineStr">
        <is>
          <t>附件备注</t>
        </is>
      </c>
      <c r="E41" s="150" t="inlineStr">
        <is>
          <t>图片</t>
        </is>
      </c>
      <c r="F41" s="150" t="inlineStr">
        <is>
          <t>-</t>
        </is>
      </c>
      <c r="G41" s="150" t="inlineStr">
        <is>
          <t>是</t>
        </is>
      </c>
      <c r="H41" s="150" t="inlineStr">
        <is>
          <t>整行启用时必填</t>
        </is>
      </c>
      <c r="I41" s="150" t="inlineStr">
        <is>
          <t>无</t>
        </is>
      </c>
      <c r="J41" s="150" t="n"/>
      <c r="K41" s="150" t="n"/>
      <c r="L41" s="150" t="str"/>
      <c r="M41" s="150" t="inlineStr">
        <is>
          <t>仅接受Excel“置于单元格”图片；不接受浮动图片</t>
        </is>
      </c>
      <c r="N41" s="150" t="inlineStr">
        <is>
          <t>为空时提示缺少铭牌照片</t>
        </is>
      </c>
      <c r="O41" s="150" t="inlineStr">
        <is>
          <t>GB 18613-2020；GB 30254-2024；GB 30253-2024</t>
        </is>
      </c>
      <c r="P41" s="150" t="inlineStr">
        <is>
          <t>三项标准相应表格</t>
        </is>
      </c>
      <c r="R41" t="inlineStr">
        <is>
          <t/>
        </is>
      </c>
      <c r="CP41" s="150" t="inlineStr">
        <is>
          <t>EV_TR_COND_T27</t>
        </is>
      </c>
      <c r="CQ41" s="150" t="inlineStr">
        <is>
          <t>其他（请备注说明）</t>
        </is>
      </c>
      <c r="CR41" s="150" t="inlineStr">
        <is>
          <t>500kV油浸式单相三绕组无励磁调压自耦电力变压器（中压线端调压）</t>
        </is>
      </c>
      <c r="CS41" s="150" t="n"/>
      <c r="CT41" s="150" t="n"/>
      <c r="CU41" s="150" t="inlineStr">
        <is>
          <t>是</t>
        </is>
      </c>
      <c r="CV41" s="150" t="inlineStr">
        <is>
          <t>T27_OTHER</t>
        </is>
      </c>
      <c r="CW41" s="150" t="inlineStr">
        <is>
          <t>表27：选择“其他”时请在填表备注中说明。</t>
        </is>
      </c>
      <c r="CX41" s="150" t="n">
        <v>4</v>
      </c>
      <c r="CY41" s="150" t="inlineStr">
        <is>
          <t>全部容量</t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</row>
    <row r="42">
      <c r="A42" s="150" t="inlineStr">
        <is>
          <t>电动机</t>
        </is>
      </c>
      <c r="B42" s="150" t="inlineStr">
        <is>
          <t>fill_note</t>
        </is>
      </c>
      <c r="C42" s="150" t="inlineStr">
        <is>
          <t>填表备注</t>
        </is>
      </c>
      <c r="D42" s="150" t="inlineStr">
        <is>
          <t>附件备注</t>
        </is>
      </c>
      <c r="E42" s="150" t="inlineStr">
        <is>
          <t>文本</t>
        </is>
      </c>
      <c r="F42" s="150" t="inlineStr">
        <is>
          <t>-</t>
        </is>
      </c>
      <c r="G42" s="150" t="inlineStr">
        <is>
          <t>是</t>
        </is>
      </c>
      <c r="H42" s="150" t="inlineStr">
        <is>
          <t>可选</t>
        </is>
      </c>
      <c r="I42" s="150" t="inlineStr">
        <is>
          <t>无</t>
        </is>
      </c>
      <c r="J42" s="150" t="n"/>
      <c r="K42" s="150" t="n"/>
      <c r="L42" s="150" t="str"/>
      <c r="M42" s="150" t="inlineStr">
        <is>
          <t>去首尾空格；全角转半角；保留原值，不自动改写</t>
        </is>
      </c>
      <c r="N42" s="150" t="inlineStr">
        <is>
          <t>异常时写入自动备注；不改写原值</t>
        </is>
      </c>
      <c r="O42" s="150" t="inlineStr">
        <is>
          <t>GB 18613-2020；GB 30254-2024；GB 30253-2024</t>
        </is>
      </c>
      <c r="P42" s="150" t="inlineStr">
        <is>
          <t>三项标准相应表格</t>
        </is>
      </c>
      <c r="R42" t="inlineStr">
        <is>
          <t/>
        </is>
      </c>
      <c r="CP42" s="150" t="inlineStr">
        <is>
          <t>EV_TR_COND_T28</t>
        </is>
      </c>
      <c r="CQ42" s="150" t="inlineStr">
        <is>
          <t>阻抗组A</t>
        </is>
      </c>
      <c r="CR42" s="150" t="inlineStr">
        <is>
          <t>500kV油浸式单相三绕组有载调压自耦电力变压器（中压线端调压）</t>
        </is>
      </c>
      <c r="CS42" s="150" t="n"/>
      <c r="CT42" s="150" t="n"/>
      <c r="CU42" s="150" t="inlineStr">
        <is>
          <t>是</t>
        </is>
      </c>
      <c r="CV42" s="150" t="inlineStr">
        <is>
          <t>T28_A</t>
        </is>
      </c>
      <c r="CW42" s="150" t="inlineStr">
        <is>
          <t>表28：阻抗组A；高—中 12%；高—低 34%～38%；中—低 20%～22%。</t>
        </is>
      </c>
      <c r="CX42" s="150" t="n">
        <v>1</v>
      </c>
      <c r="CY42" s="150" t="inlineStr">
        <is>
          <t>全部容量</t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</row>
    <row r="43">
      <c r="A43" s="150" t="inlineStr">
        <is>
          <t>电动机</t>
        </is>
      </c>
      <c r="B43" s="150" t="inlineStr">
        <is>
          <t>auto_note</t>
        </is>
      </c>
      <c r="C43" s="150" t="inlineStr">
        <is>
          <t>自动备注</t>
        </is>
      </c>
      <c r="D43" s="150" t="inlineStr">
        <is>
          <t>附件备注</t>
        </is>
      </c>
      <c r="E43" s="150" t="inlineStr">
        <is>
          <t>公式</t>
        </is>
      </c>
      <c r="F43" s="150" t="inlineStr">
        <is>
          <t>-</t>
        </is>
      </c>
      <c r="G43" s="150" t="inlineStr">
        <is>
          <t>否</t>
        </is>
      </c>
      <c r="H43" s="150" t="inlineStr">
        <is>
          <t>公式生成</t>
        </is>
      </c>
      <c r="I43" s="150" t="inlineStr">
        <is>
          <t>无</t>
        </is>
      </c>
      <c r="J43" s="150" t="n"/>
      <c r="K43" s="150" t="n"/>
      <c r="L43" s="150" t="str"/>
      <c r="M43" s="150" t="inlineStr">
        <is>
          <t>锁定公式列，不清洗</t>
        </is>
      </c>
      <c r="N43" s="150" t="inlineStr">
        <is>
          <t>公式锁定并随表格扩展</t>
        </is>
      </c>
      <c r="O43" s="150" t="inlineStr">
        <is>
          <t>GB 18613-2020；GB 30254-2024；GB 30253-2024</t>
        </is>
      </c>
      <c r="P43" s="150" t="inlineStr">
        <is>
          <t>三项标准相应表格</t>
        </is>
      </c>
      <c r="R43" t="inlineStr">
        <is>
          <t/>
        </is>
      </c>
      <c r="CP43" s="150" t="inlineStr">
        <is>
          <t>EV_TR_COND_T28</t>
        </is>
      </c>
      <c r="CQ43" s="150" t="inlineStr">
        <is>
          <t>阻抗组B</t>
        </is>
      </c>
      <c r="CR43" s="150" t="inlineStr">
        <is>
          <t>500kV油浸式单相三绕组有载调压自耦电力变压器（中压线端调压）</t>
        </is>
      </c>
      <c r="CS43" s="150" t="n"/>
      <c r="CT43" s="150" t="n"/>
      <c r="CU43" s="150" t="inlineStr">
        <is>
          <t>是</t>
        </is>
      </c>
      <c r="CV43" s="150" t="inlineStr">
        <is>
          <t>T28_B</t>
        </is>
      </c>
      <c r="CW43" s="150" t="inlineStr">
        <is>
          <t>表28：阻抗组B；高—中 12%；高—低 42%～46%；中—低 28%～30%。</t>
        </is>
      </c>
      <c r="CX43" s="150" t="n">
        <v>2</v>
      </c>
      <c r="CY43" s="150" t="inlineStr">
        <is>
          <t>全部容量</t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</row>
    <row r="44">
      <c r="A44" s="150" t="inlineStr">
        <is>
          <t>空压机</t>
        </is>
      </c>
      <c r="B44" s="150" t="inlineStr">
        <is>
          <t>seq</t>
        </is>
      </c>
      <c r="C44" s="150" t="inlineStr">
        <is>
          <t>序号</t>
        </is>
      </c>
      <c r="D44" s="150" t="inlineStr">
        <is>
          <t>基础信息</t>
        </is>
      </c>
      <c r="E44" s="150" t="inlineStr">
        <is>
          <t>整数</t>
        </is>
      </c>
      <c r="F44" s="150" t="inlineStr">
        <is>
          <t>-</t>
        </is>
      </c>
      <c r="G44" s="150" t="inlineStr">
        <is>
          <t>否</t>
        </is>
      </c>
      <c r="H44" s="150" t="inlineStr">
        <is>
          <t>公式生成</t>
        </is>
      </c>
      <c r="I44" s="150" t="inlineStr">
        <is>
          <t>无</t>
        </is>
      </c>
      <c r="J44" s="150" t="n"/>
      <c r="K44" s="150" t="n"/>
      <c r="L44" s="150" t="str"/>
      <c r="M44" s="150" t="inlineStr">
        <is>
          <t>锁定公式列，不清洗</t>
        </is>
      </c>
      <c r="N44" s="150" t="inlineStr">
        <is>
          <t>公式锁定并随表格扩展</t>
        </is>
      </c>
      <c r="O44" s="150" t="inlineStr">
        <is>
          <t>GB 19153-2019</t>
        </is>
      </c>
      <c r="P44" s="150" t="inlineStr">
        <is>
          <t>表1～表4</t>
        </is>
      </c>
      <c r="R44" t="inlineStr">
        <is>
          <t/>
        </is>
      </c>
      <c r="CP44" s="150" t="inlineStr">
        <is>
          <t>EV_TR_COND_T28</t>
        </is>
      </c>
      <c r="CQ44" s="150" t="inlineStr">
        <is>
          <t>阻抗组C</t>
        </is>
      </c>
      <c r="CR44" s="150" t="inlineStr">
        <is>
          <t>500kV油浸式单相三绕组有载调压自耦电力变压器（中压线端调压）</t>
        </is>
      </c>
      <c r="CS44" s="150" t="n"/>
      <c r="CT44" s="150" t="n"/>
      <c r="CU44" s="150" t="inlineStr">
        <is>
          <t>是</t>
        </is>
      </c>
      <c r="CV44" s="150" t="inlineStr">
        <is>
          <t>T28_C</t>
        </is>
      </c>
      <c r="CW44" s="150" t="inlineStr">
        <is>
          <t>表28：阻抗组C；高—中 14%～15%；高—低 42%～46%；中—低 28%～30%。</t>
        </is>
      </c>
      <c r="CX44" s="150" t="n">
        <v>3</v>
      </c>
      <c r="CY44" s="150" t="inlineStr">
        <is>
          <t>全部容量</t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</row>
    <row r="45">
      <c r="A45" s="150" t="inlineStr">
        <is>
          <t>空压机</t>
        </is>
      </c>
      <c r="B45" s="150" t="inlineStr">
        <is>
          <t>device_name</t>
        </is>
      </c>
      <c r="C45" s="150" t="inlineStr">
        <is>
          <t>设备名称</t>
        </is>
      </c>
      <c r="D45" s="150" t="inlineStr">
        <is>
          <t>基础信息</t>
        </is>
      </c>
      <c r="E45" s="150" t="inlineStr">
        <is>
          <t>文本</t>
        </is>
      </c>
      <c r="F45" s="150" t="inlineStr">
        <is>
          <t>-</t>
        </is>
      </c>
      <c r="G45" s="150" t="inlineStr">
        <is>
          <t>是</t>
        </is>
      </c>
      <c r="H45" s="150" t="inlineStr">
        <is>
          <t>整行启用时必填</t>
        </is>
      </c>
      <c r="I45" s="150" t="inlineStr">
        <is>
          <t>无</t>
        </is>
      </c>
      <c r="J45" s="150" t="n"/>
      <c r="K45" s="150" t="n"/>
      <c r="L45" s="150" t="str"/>
      <c r="M45" s="150" t="inlineStr">
        <is>
          <t>去首尾空格；全角转半角；保留原值，不自动改写</t>
        </is>
      </c>
      <c r="N45" s="150" t="inlineStr">
        <is>
          <t>异常时写入自动备注；不改写原值</t>
        </is>
      </c>
      <c r="O45" s="150" t="inlineStr">
        <is>
          <t>GB 19153-2019</t>
        </is>
      </c>
      <c r="P45" s="150" t="inlineStr">
        <is>
          <t>表1～表4</t>
        </is>
      </c>
      <c r="R45" t="inlineStr">
        <is>
          <t/>
        </is>
      </c>
      <c r="CP45" s="150" t="inlineStr">
        <is>
          <t>EV_TR_COND_T28</t>
        </is>
      </c>
      <c r="CQ45" s="150" t="inlineStr">
        <is>
          <t>其他（请备注说明）</t>
        </is>
      </c>
      <c r="CR45" s="150" t="inlineStr">
        <is>
          <t>500kV油浸式单相三绕组有载调压自耦电力变压器（中压线端调压）</t>
        </is>
      </c>
      <c r="CS45" s="150" t="n"/>
      <c r="CT45" s="150" t="n"/>
      <c r="CU45" s="150" t="inlineStr">
        <is>
          <t>是</t>
        </is>
      </c>
      <c r="CV45" s="150" t="inlineStr">
        <is>
          <t>T28_OTHER</t>
        </is>
      </c>
      <c r="CW45" s="150" t="inlineStr">
        <is>
          <t>表28：选择“其他”时请在填表备注中说明。</t>
        </is>
      </c>
      <c r="CX45" s="150" t="n">
        <v>4</v>
      </c>
      <c r="CY45" s="150" t="inlineStr">
        <is>
          <t>全部容量</t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inlineStr">
        <is>
          <t/>
        </is>
      </c>
      <c r="EB45" t="inlineStr">
        <is>
          <t/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</row>
    <row r="46">
      <c r="A46" s="150" t="inlineStr">
        <is>
          <t>空压机</t>
        </is>
      </c>
      <c r="B46" s="150" t="inlineStr">
        <is>
          <t>model</t>
        </is>
      </c>
      <c r="C46" s="150" t="inlineStr">
        <is>
          <t>型号</t>
        </is>
      </c>
      <c r="D46" s="150" t="inlineStr">
        <is>
          <t>基础信息</t>
        </is>
      </c>
      <c r="E46" s="150" t="inlineStr">
        <is>
          <t>文本</t>
        </is>
      </c>
      <c r="F46" s="150" t="inlineStr">
        <is>
          <t>-</t>
        </is>
      </c>
      <c r="G46" s="150" t="inlineStr">
        <is>
          <t>是</t>
        </is>
      </c>
      <c r="H46" s="150" t="inlineStr">
        <is>
          <t>整行启用时必填</t>
        </is>
      </c>
      <c r="I46" s="150" t="inlineStr">
        <is>
          <t>无</t>
        </is>
      </c>
      <c r="J46" s="150" t="n"/>
      <c r="K46" s="150" t="n"/>
      <c r="L46" s="150" t="str"/>
      <c r="M46" s="150" t="inlineStr">
        <is>
          <t>去首尾空格；统一字母大小写、连接符和全半角；保留原值</t>
        </is>
      </c>
      <c r="N46" s="150" t="inlineStr">
        <is>
          <t>异常时写入自动备注；不改写原值</t>
        </is>
      </c>
      <c r="O46" s="150" t="inlineStr">
        <is>
          <t>GB 19153-2019</t>
        </is>
      </c>
      <c r="P46" s="150" t="inlineStr">
        <is>
          <t>表1～表4</t>
        </is>
      </c>
      <c r="R46" t="inlineStr">
        <is>
          <t/>
        </is>
      </c>
      <c r="CP46" s="150" t="inlineStr">
        <is>
          <t>EV_TR_COND_THERMAL</t>
        </is>
      </c>
      <c r="CQ46" s="150" t="inlineStr">
        <is>
          <t>B(100℃)</t>
        </is>
      </c>
      <c r="CR46" s="150" t="inlineStr">
        <is>
          <t>6kV干式三相双绕组无励磁调压新能源发电侧光伏用、风电用、储能用变压器（6kV~7.2kV/0.4kV~1.14kV）</t>
        </is>
      </c>
      <c r="CS46" s="150" t="n"/>
      <c r="CT46" s="150" t="n"/>
      <c r="CU46" s="150" t="inlineStr">
        <is>
          <t>是</t>
        </is>
      </c>
      <c r="CV46" s="150" t="inlineStr">
        <is>
          <t>T30_B</t>
        </is>
      </c>
      <c r="CW46" s="150" t="inlineStr">
        <is>
          <t>表30；干式新能源发电侧；B(100℃)。</t>
        </is>
      </c>
      <c r="CX46" s="150" t="n">
        <v>1</v>
      </c>
      <c r="CY46" s="150" t="inlineStr">
        <is>
          <t>全部容量</t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</row>
    <row r="47">
      <c r="A47" s="150" t="inlineStr">
        <is>
          <t>空压机</t>
        </is>
      </c>
      <c r="B47" s="150" t="inlineStr">
        <is>
          <t>quantity</t>
        </is>
      </c>
      <c r="C47" s="150" t="inlineStr">
        <is>
          <t>数量</t>
        </is>
      </c>
      <c r="D47" s="150" t="inlineStr">
        <is>
          <t>基础信息</t>
        </is>
      </c>
      <c r="E47" s="150" t="inlineStr">
        <is>
          <t>整数</t>
        </is>
      </c>
      <c r="F47" s="150" t="inlineStr">
        <is>
          <t>-</t>
        </is>
      </c>
      <c r="G47" s="150" t="inlineStr">
        <is>
          <t>是</t>
        </is>
      </c>
      <c r="H47" s="150" t="inlineStr">
        <is>
          <t>整行启用时必填</t>
        </is>
      </c>
      <c r="I47" s="150" t="inlineStr">
        <is>
          <t>正整数</t>
        </is>
      </c>
      <c r="J47" s="150" t="n">
        <v>1</v>
      </c>
      <c r="K47" s="150" t="n"/>
      <c r="L47" s="150" t="str"/>
      <c r="M47" s="150" t="inlineStr">
        <is>
          <t>去首尾空格；全角转半角；保留原值，不自动改写</t>
        </is>
      </c>
      <c r="N47" s="150" t="inlineStr">
        <is>
          <t>异常时写入自动备注；不改写原值</t>
        </is>
      </c>
      <c r="O47" s="150" t="inlineStr">
        <is>
          <t>GB 19153-2019</t>
        </is>
      </c>
      <c r="P47" s="150" t="inlineStr">
        <is>
          <t>表1～表4</t>
        </is>
      </c>
      <c r="R47" t="inlineStr">
        <is>
          <t/>
        </is>
      </c>
      <c r="CP47" s="150" t="inlineStr">
        <is>
          <t>EV_TR_COND_THERMAL</t>
        </is>
      </c>
      <c r="CQ47" s="150" t="inlineStr">
        <is>
          <t>F(120℃)</t>
        </is>
      </c>
      <c r="CR47" s="150" t="inlineStr">
        <is>
          <t>6kV干式三相双绕组无励磁调压新能源发电侧光伏用、风电用、储能用变压器（6kV~7.2kV/0.4kV~1.14kV）</t>
        </is>
      </c>
      <c r="CS47" s="150" t="n"/>
      <c r="CT47" s="150" t="n"/>
      <c r="CU47" s="150" t="inlineStr">
        <is>
          <t>是</t>
        </is>
      </c>
      <c r="CV47" s="150" t="inlineStr">
        <is>
          <t>T30_F</t>
        </is>
      </c>
      <c r="CW47" s="150" t="inlineStr">
        <is>
          <t>表30；干式新能源发电侧；F(120℃)。</t>
        </is>
      </c>
      <c r="CX47" s="150" t="n">
        <v>2</v>
      </c>
      <c r="CY47" s="150" t="inlineStr">
        <is>
          <t>全部容量</t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</row>
    <row r="48">
      <c r="A48" s="150" t="inlineStr">
        <is>
          <t>空压机</t>
        </is>
      </c>
      <c r="B48" s="150" t="inlineStr">
        <is>
          <t>location</t>
        </is>
      </c>
      <c r="C48" s="150" t="inlineStr">
        <is>
          <t>安装位置</t>
        </is>
      </c>
      <c r="D48" s="150" t="inlineStr">
        <is>
          <t>基础信息</t>
        </is>
      </c>
      <c r="E48" s="150" t="inlineStr">
        <is>
          <t>文本</t>
        </is>
      </c>
      <c r="F48" s="150" t="inlineStr">
        <is>
          <t>-</t>
        </is>
      </c>
      <c r="G48" s="150" t="inlineStr">
        <is>
          <t>是</t>
        </is>
      </c>
      <c r="H48" s="150" t="inlineStr">
        <is>
          <t>可选</t>
        </is>
      </c>
      <c r="I48" s="150" t="inlineStr">
        <is>
          <t>无</t>
        </is>
      </c>
      <c r="J48" s="150" t="n"/>
      <c r="K48" s="150" t="n"/>
      <c r="L48" s="150" t="str"/>
      <c r="M48" s="150" t="inlineStr">
        <is>
          <t>去首尾空格；全角转半角；保留原值，不自动改写</t>
        </is>
      </c>
      <c r="N48" s="150" t="inlineStr">
        <is>
          <t>异常时写入自动备注；不改写原值</t>
        </is>
      </c>
      <c r="O48" s="150" t="inlineStr">
        <is>
          <t>GB 19153-2019</t>
        </is>
      </c>
      <c r="P48" s="150" t="inlineStr">
        <is>
          <t>表1～表4</t>
        </is>
      </c>
      <c r="R48" t="inlineStr">
        <is>
          <t/>
        </is>
      </c>
      <c r="CP48" s="150" t="inlineStr">
        <is>
          <t>EV_TR_COND_THERMAL</t>
        </is>
      </c>
      <c r="CQ48" s="150" t="inlineStr">
        <is>
          <t>H(145℃)</t>
        </is>
      </c>
      <c r="CR48" s="150" t="inlineStr">
        <is>
          <t>6kV干式三相双绕组无励磁调压新能源发电侧光伏用、风电用、储能用变压器（6kV~7.2kV/0.4kV~1.14kV）</t>
        </is>
      </c>
      <c r="CS48" s="150" t="n"/>
      <c r="CT48" s="150" t="n"/>
      <c r="CU48" s="150" t="inlineStr">
        <is>
          <t>是</t>
        </is>
      </c>
      <c r="CV48" s="150" t="inlineStr">
        <is>
          <t>T30_H</t>
        </is>
      </c>
      <c r="CW48" s="150" t="inlineStr">
        <is>
          <t>表30；干式新能源发电侧；H(145℃)。</t>
        </is>
      </c>
      <c r="CX48" s="150" t="n">
        <v>3</v>
      </c>
      <c r="CY48" s="150" t="inlineStr">
        <is>
          <t>全部容量</t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</row>
    <row r="49">
      <c r="A49" s="150" t="inlineStr">
        <is>
          <t>空压机</t>
        </is>
      </c>
      <c r="B49" s="150" t="inlineStr">
        <is>
          <t>category</t>
        </is>
      </c>
      <c r="C49" s="150" t="inlineStr">
        <is>
          <t>设备类别</t>
        </is>
      </c>
      <c r="D49" s="150" t="inlineStr">
        <is>
          <t>设备参数</t>
        </is>
      </c>
      <c r="E49" s="150" t="inlineStr">
        <is>
          <t>文本</t>
        </is>
      </c>
      <c r="F49" s="150" t="inlineStr">
        <is>
          <t>-</t>
        </is>
      </c>
      <c r="G49" s="150" t="inlineStr">
        <is>
          <t>是</t>
        </is>
      </c>
      <c r="H49" s="150" t="inlineStr">
        <is>
          <t>整行启用时必填</t>
        </is>
      </c>
      <c r="I49" s="150" t="inlineStr">
        <is>
          <t>停止型下拉；粘贴后由自动备注复核</t>
        </is>
      </c>
      <c r="J49" s="150" t="n"/>
      <c r="K49" s="150" t="n"/>
      <c r="L49" s="150" t="inlineStr">
        <is>
          <t>EV_COMPRESSOR_CATEGORY</t>
        </is>
      </c>
      <c r="M49" s="150" t="inlineStr">
        <is>
          <t>去首尾空格；全角转半角；保留原值，不自动改写</t>
        </is>
      </c>
      <c r="N49" s="150" t="inlineStr">
        <is>
          <t>异常时写入自动备注；不改写原值</t>
        </is>
      </c>
      <c r="O49" s="150" t="inlineStr">
        <is>
          <t>GB 19153-2019</t>
        </is>
      </c>
      <c r="P49" s="150" t="inlineStr">
        <is>
          <t>表1～表4</t>
        </is>
      </c>
      <c r="R49" t="inlineStr">
        <is>
          <t/>
        </is>
      </c>
      <c r="CP49" s="150" t="inlineStr">
        <is>
          <t>EV_TR_COND_THERMAL</t>
        </is>
      </c>
      <c r="CQ49" s="150" t="inlineStr">
        <is>
          <t>其他（请备注说明）</t>
        </is>
      </c>
      <c r="CR49" s="150" t="inlineStr">
        <is>
          <t>6kV干式三相双绕组无励磁调压新能源发电侧光伏用、风电用、储能用变压器（6kV~7.2kV/0.4kV~1.14kV）</t>
        </is>
      </c>
      <c r="CS49" s="150" t="n"/>
      <c r="CT49" s="150" t="n"/>
      <c r="CU49" s="150" t="inlineStr">
        <is>
          <t>是</t>
        </is>
      </c>
      <c r="CV49" s="150" t="inlineStr">
        <is>
          <t>T30_OTHER</t>
        </is>
      </c>
      <c r="CW49" s="150" t="inlineStr">
        <is>
          <t>表30：选择“其他”时请在填表备注中说明。</t>
        </is>
      </c>
      <c r="CX49" s="150" t="n">
        <v>4</v>
      </c>
      <c r="CY49" s="150" t="inlineStr">
        <is>
          <t>全部容量</t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inlineStr">
        <is>
          <t/>
        </is>
      </c>
      <c r="EB49" t="inlineStr">
        <is>
          <t/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</row>
    <row r="50">
      <c r="A50" s="150" t="inlineStr">
        <is>
          <t>空压机</t>
        </is>
      </c>
      <c r="B50" s="150" t="inlineStr">
        <is>
          <t>input_power</t>
        </is>
      </c>
      <c r="C50" s="150" t="inlineStr">
        <is>
          <t>驱动电动机额定功率（合计）</t>
        </is>
      </c>
      <c r="D50" s="150" t="inlineStr">
        <is>
          <t>设备参数</t>
        </is>
      </c>
      <c r="E50" s="150" t="inlineStr">
        <is>
          <t>数值</t>
        </is>
      </c>
      <c r="F50" s="150" t="inlineStr">
        <is>
          <t>kW</t>
        </is>
      </c>
      <c r="G50" s="150" t="inlineStr">
        <is>
          <t>是</t>
        </is>
      </c>
      <c r="H50" s="150" t="inlineStr">
        <is>
          <t>整行启用时必填</t>
        </is>
      </c>
      <c r="I50" s="150" t="inlineStr">
        <is>
          <t>数值&gt;0</t>
        </is>
      </c>
      <c r="J50" s="150" t="n">
        <v>0</v>
      </c>
      <c r="K50" s="150" t="n"/>
      <c r="L50" s="150" t="str"/>
      <c r="M50" s="150" t="inlineStr">
        <is>
          <t>去首尾空格；全角转半角；保留原值，不自动改写</t>
        </is>
      </c>
      <c r="N50" s="150" t="inlineStr">
        <is>
          <t>异常时写入自动备注；不改写原值</t>
        </is>
      </c>
      <c r="O50" s="150" t="inlineStr">
        <is>
          <t>GB 19153-2019</t>
        </is>
      </c>
      <c r="P50" s="150" t="inlineStr">
        <is>
          <t>表1～表4</t>
        </is>
      </c>
      <c r="R50" t="inlineStr">
        <is>
          <t/>
        </is>
      </c>
      <c r="CP50" s="150" t="inlineStr">
        <is>
          <t>EV_TR_COND_THERMAL</t>
        </is>
      </c>
      <c r="CQ50" s="150" t="inlineStr">
        <is>
          <t>B(100℃)</t>
        </is>
      </c>
      <c r="CR50" s="150" t="inlineStr">
        <is>
          <t>10kV干式三相双绕组无励磁调压新能源发电侧光伏用、风电用、储能用变压器（10kV~12kV/0.4kV~1.14kV）</t>
        </is>
      </c>
      <c r="CS50" s="150" t="n"/>
      <c r="CT50" s="150" t="n"/>
      <c r="CU50" s="150" t="inlineStr">
        <is>
          <t>是</t>
        </is>
      </c>
      <c r="CV50" s="150" t="inlineStr">
        <is>
          <t>T32_B</t>
        </is>
      </c>
      <c r="CW50" s="150" t="inlineStr">
        <is>
          <t>表32；干式新能源发电侧；B(100℃)。</t>
        </is>
      </c>
      <c r="CX50" s="150" t="n">
        <v>5</v>
      </c>
      <c r="CY50" s="150" t="inlineStr">
        <is>
          <t>全部容量</t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</row>
    <row r="51">
      <c r="A51" s="150" t="inlineStr">
        <is>
          <t>空压机</t>
        </is>
      </c>
      <c r="B51" s="150" t="inlineStr">
        <is>
          <t>volume_flow</t>
        </is>
      </c>
      <c r="C51" s="150" t="inlineStr">
        <is>
          <t>容积流量</t>
        </is>
      </c>
      <c r="D51" s="150" t="inlineStr">
        <is>
          <t>设备参数</t>
        </is>
      </c>
      <c r="E51" s="150" t="inlineStr">
        <is>
          <t>数值</t>
        </is>
      </c>
      <c r="F51" s="150" t="inlineStr">
        <is>
          <t>m³/min</t>
        </is>
      </c>
      <c r="G51" s="150" t="inlineStr">
        <is>
          <t>是</t>
        </is>
      </c>
      <c r="H51" s="150" t="inlineStr">
        <is>
          <t>整行启用时必填</t>
        </is>
      </c>
      <c r="I51" s="150" t="inlineStr">
        <is>
          <t>数值&gt;0</t>
        </is>
      </c>
      <c r="J51" s="150" t="n">
        <v>0</v>
      </c>
      <c r="K51" s="150" t="n"/>
      <c r="L51" s="150" t="str"/>
      <c r="M51" s="150" t="inlineStr">
        <is>
          <t>去首尾空格；全角转半角；保留原值，不自动改写</t>
        </is>
      </c>
      <c r="N51" s="150" t="inlineStr">
        <is>
          <t>异常时写入自动备注；不改写原值</t>
        </is>
      </c>
      <c r="O51" s="150" t="inlineStr">
        <is>
          <t>GB 19153-2019</t>
        </is>
      </c>
      <c r="P51" s="150" t="inlineStr">
        <is>
          <t>表1～表4</t>
        </is>
      </c>
      <c r="R51" t="inlineStr">
        <is>
          <t/>
        </is>
      </c>
      <c r="CP51" s="150" t="inlineStr">
        <is>
          <t>EV_TR_COND_THERMAL</t>
        </is>
      </c>
      <c r="CQ51" s="150" t="inlineStr">
        <is>
          <t>F(120℃)</t>
        </is>
      </c>
      <c r="CR51" s="150" t="inlineStr">
        <is>
          <t>10kV干式三相双绕组无励磁调压新能源发电侧光伏用、风电用、储能用变压器（10kV~12kV/0.4kV~1.14kV）</t>
        </is>
      </c>
      <c r="CS51" s="150" t="n"/>
      <c r="CT51" s="150" t="n"/>
      <c r="CU51" s="150" t="inlineStr">
        <is>
          <t>是</t>
        </is>
      </c>
      <c r="CV51" s="150" t="inlineStr">
        <is>
          <t>T32_F</t>
        </is>
      </c>
      <c r="CW51" s="150" t="inlineStr">
        <is>
          <t>表32；干式新能源发电侧；F(120℃)。</t>
        </is>
      </c>
      <c r="CX51" s="150" t="n">
        <v>6</v>
      </c>
      <c r="CY51" s="150" t="inlineStr">
        <is>
          <t>全部容量</t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</row>
    <row r="52">
      <c r="A52" s="150" t="inlineStr">
        <is>
          <t>空压机</t>
        </is>
      </c>
      <c r="B52" s="150" t="inlineStr">
        <is>
          <t>discharge_pressure</t>
        </is>
      </c>
      <c r="C52" s="150" t="inlineStr">
        <is>
          <t>额定排气压力</t>
        </is>
      </c>
      <c r="D52" s="150" t="inlineStr">
        <is>
          <t>设备参数</t>
        </is>
      </c>
      <c r="E52" s="150" t="inlineStr">
        <is>
          <t>数值</t>
        </is>
      </c>
      <c r="F52" s="150" t="inlineStr">
        <is>
          <t>MPa</t>
        </is>
      </c>
      <c r="G52" s="150" t="inlineStr">
        <is>
          <t>是</t>
        </is>
      </c>
      <c r="H52" s="150" t="inlineStr">
        <is>
          <t>整行启用时必填</t>
        </is>
      </c>
      <c r="I52" s="150" t="inlineStr">
        <is>
          <t>数值&gt;0</t>
        </is>
      </c>
      <c r="J52" s="150" t="n">
        <v>0</v>
      </c>
      <c r="K52" s="150" t="n"/>
      <c r="L52" s="150" t="str"/>
      <c r="M52" s="150" t="inlineStr">
        <is>
          <t>去首尾空格；全角转半角；保留原值，不自动改写</t>
        </is>
      </c>
      <c r="N52" s="150" t="inlineStr">
        <is>
          <t>异常时写入自动备注；不改写原值</t>
        </is>
      </c>
      <c r="O52" s="150" t="inlineStr">
        <is>
          <t>GB 19153-2019</t>
        </is>
      </c>
      <c r="P52" s="150" t="inlineStr">
        <is>
          <t>表1～表4</t>
        </is>
      </c>
      <c r="R52" t="inlineStr">
        <is>
          <t/>
        </is>
      </c>
      <c r="CP52" s="150" t="inlineStr">
        <is>
          <t>EV_TR_COND_THERMAL</t>
        </is>
      </c>
      <c r="CQ52" s="150" t="inlineStr">
        <is>
          <t>H(145℃)</t>
        </is>
      </c>
      <c r="CR52" s="150" t="inlineStr">
        <is>
          <t>10kV干式三相双绕组无励磁调压新能源发电侧光伏用、风电用、储能用变压器（10kV~12kV/0.4kV~1.14kV）</t>
        </is>
      </c>
      <c r="CS52" s="150" t="n"/>
      <c r="CT52" s="150" t="n"/>
      <c r="CU52" s="150" t="inlineStr">
        <is>
          <t>是</t>
        </is>
      </c>
      <c r="CV52" s="150" t="inlineStr">
        <is>
          <t>T32_H</t>
        </is>
      </c>
      <c r="CW52" s="150" t="inlineStr">
        <is>
          <t>表32；干式新能源发电侧；H(145℃)。</t>
        </is>
      </c>
      <c r="CX52" s="150" t="n">
        <v>7</v>
      </c>
      <c r="CY52" s="150" t="inlineStr">
        <is>
          <t>全部容量</t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</row>
    <row r="53">
      <c r="A53" s="150" t="inlineStr">
        <is>
          <t>空压机</t>
        </is>
      </c>
      <c r="B53" s="150" t="inlineStr">
        <is>
          <t>cooling</t>
        </is>
      </c>
      <c r="C53" s="150" t="inlineStr">
        <is>
          <t>冷却方式</t>
        </is>
      </c>
      <c r="D53" s="150" t="inlineStr">
        <is>
          <t>设备参数</t>
        </is>
      </c>
      <c r="E53" s="150" t="inlineStr">
        <is>
          <t>文本</t>
        </is>
      </c>
      <c r="F53" s="150" t="inlineStr">
        <is>
          <t>-</t>
        </is>
      </c>
      <c r="G53" s="150" t="inlineStr">
        <is>
          <t>是</t>
        </is>
      </c>
      <c r="H53" s="150" t="inlineStr">
        <is>
          <t>整行启用时必填</t>
        </is>
      </c>
      <c r="I53" s="150" t="inlineStr">
        <is>
          <t>停止型下拉；粘贴后由自动备注复核</t>
        </is>
      </c>
      <c r="J53" s="150" t="n"/>
      <c r="K53" s="150" t="n"/>
      <c r="L53" s="150" t="inlineStr">
        <is>
          <t>EV_COMPRESSOR_COOLING</t>
        </is>
      </c>
      <c r="M53" s="150" t="inlineStr">
        <is>
          <t>去首尾空格；全角转半角；保留原值，不自动改写</t>
        </is>
      </c>
      <c r="N53" s="150" t="inlineStr">
        <is>
          <t>异常时写入自动备注；不改写原值</t>
        </is>
      </c>
      <c r="O53" s="150" t="inlineStr">
        <is>
          <t>GB 19153-2019</t>
        </is>
      </c>
      <c r="P53" s="150" t="inlineStr">
        <is>
          <t>表1～表4</t>
        </is>
      </c>
      <c r="R53" t="inlineStr">
        <is>
          <t/>
        </is>
      </c>
      <c r="CP53" s="150" t="inlineStr">
        <is>
          <t>EV_TR_COND_THERMAL</t>
        </is>
      </c>
      <c r="CQ53" s="150" t="inlineStr">
        <is>
          <t>其他（请备注说明）</t>
        </is>
      </c>
      <c r="CR53" s="150" t="inlineStr">
        <is>
          <t>10kV干式三相双绕组无励磁调压新能源发电侧光伏用、风电用、储能用变压器（10kV~12kV/0.4kV~1.14kV）</t>
        </is>
      </c>
      <c r="CS53" s="150" t="n"/>
      <c r="CT53" s="150" t="n"/>
      <c r="CU53" s="150" t="inlineStr">
        <is>
          <t>是</t>
        </is>
      </c>
      <c r="CV53" s="150" t="inlineStr">
        <is>
          <t>T32_OTHER</t>
        </is>
      </c>
      <c r="CW53" s="150" t="inlineStr">
        <is>
          <t>表32：选择“其他”时请在填表备注中说明。</t>
        </is>
      </c>
      <c r="CX53" s="150" t="n">
        <v>8</v>
      </c>
      <c r="CY53" s="150" t="inlineStr">
        <is>
          <t>全部容量</t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</row>
    <row r="54">
      <c r="A54" s="150" t="inlineStr">
        <is>
          <t>空压机</t>
        </is>
      </c>
      <c r="B54" s="150" t="inlineStr">
        <is>
          <t>specific_power</t>
        </is>
      </c>
      <c r="C54" s="150" t="inlineStr">
        <is>
          <t>机组比功率</t>
        </is>
      </c>
      <c r="D54" s="150" t="inlineStr">
        <is>
          <t>设备参数</t>
        </is>
      </c>
      <c r="E54" s="150" t="inlineStr">
        <is>
          <t>数值</t>
        </is>
      </c>
      <c r="F54" s="150" t="inlineStr">
        <is>
          <t>kW/(m³/min)</t>
        </is>
      </c>
      <c r="G54" s="150" t="inlineStr">
        <is>
          <t>是</t>
        </is>
      </c>
      <c r="H54" s="150" t="inlineStr">
        <is>
          <t>整行启用时必填</t>
        </is>
      </c>
      <c r="I54" s="150" t="inlineStr">
        <is>
          <t>数值&gt;0</t>
        </is>
      </c>
      <c r="J54" s="150" t="n">
        <v>0</v>
      </c>
      <c r="K54" s="150" t="n"/>
      <c r="L54" s="150" t="str"/>
      <c r="M54" s="150" t="inlineStr">
        <is>
          <t>去首尾空格；全角转半角；保留原值，不自动改写</t>
        </is>
      </c>
      <c r="N54" s="150" t="inlineStr">
        <is>
          <t>异常时写入自动备注；不改写原值</t>
        </is>
      </c>
      <c r="O54" s="150" t="inlineStr">
        <is>
          <t>GB 19153-2019</t>
        </is>
      </c>
      <c r="P54" s="150" t="inlineStr">
        <is>
          <t>表1～表4</t>
        </is>
      </c>
      <c r="R54" t="inlineStr">
        <is>
          <t/>
        </is>
      </c>
      <c r="CP54" s="150" t="inlineStr">
        <is>
          <t>EV_TR_COND_THERMAL</t>
        </is>
      </c>
      <c r="CQ54" s="150" t="inlineStr">
        <is>
          <t>B(100℃)</t>
        </is>
      </c>
      <c r="CR54" s="150" t="inlineStr">
        <is>
          <t>35kV干式三相双绕组无励磁调压新能源发电侧光伏用、风电用、储能用变压器（35kV~38.5kV/0.4kV~1.14kV）</t>
        </is>
      </c>
      <c r="CS54" s="150" t="n"/>
      <c r="CT54" s="150" t="n"/>
      <c r="CU54" s="150" t="inlineStr">
        <is>
          <t>是</t>
        </is>
      </c>
      <c r="CV54" s="150" t="inlineStr">
        <is>
          <t>T34_B</t>
        </is>
      </c>
      <c r="CW54" s="150" t="inlineStr">
        <is>
          <t>表34；干式新能源发电侧；B(100℃)。</t>
        </is>
      </c>
      <c r="CX54" s="150" t="n">
        <v>9</v>
      </c>
      <c r="CY54" s="150" t="inlineStr">
        <is>
          <t>全部容量</t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</row>
    <row r="55">
      <c r="A55" s="150" t="inlineStr">
        <is>
          <t>空压机</t>
        </is>
      </c>
      <c r="B55" s="150" t="inlineStr">
        <is>
          <t>sp1</t>
        </is>
      </c>
      <c r="C55" s="150" t="inlineStr">
        <is>
          <t>1级机组比功率</t>
        </is>
      </c>
      <c r="D55" s="150" t="inlineStr">
        <is>
          <t>标准查询结果</t>
        </is>
      </c>
      <c r="E55" s="150" t="inlineStr">
        <is>
          <t>数值</t>
        </is>
      </c>
      <c r="F55" s="150" t="inlineStr">
        <is>
          <t>kW/(m³/min)</t>
        </is>
      </c>
      <c r="G55" s="150" t="inlineStr">
        <is>
          <t>否</t>
        </is>
      </c>
      <c r="H55" s="150" t="inlineStr">
        <is>
          <t>本阶段锁定预留</t>
        </is>
      </c>
      <c r="I55" s="150" t="inlineStr">
        <is>
          <t>无</t>
        </is>
      </c>
      <c r="J55" s="150" t="n"/>
      <c r="K55" s="150" t="n"/>
      <c r="L55" s="150" t="str"/>
      <c r="M55" s="150" t="inlineStr">
        <is>
          <t>锁定预留，不清洗</t>
        </is>
      </c>
      <c r="N55" s="150" t="inlineStr">
        <is>
          <t>本阶段不查询、不判定</t>
        </is>
      </c>
      <c r="O55" s="150" t="inlineStr">
        <is>
          <t>GB 19153-2019</t>
        </is>
      </c>
      <c r="P55" s="150" t="inlineStr">
        <is>
          <t>表1～表4</t>
        </is>
      </c>
      <c r="R55" t="inlineStr">
        <is>
          <t/>
        </is>
      </c>
      <c r="CP55" s="150" t="inlineStr">
        <is>
          <t>EV_TR_COND_THERMAL</t>
        </is>
      </c>
      <c r="CQ55" s="150" t="inlineStr">
        <is>
          <t>F(120℃)</t>
        </is>
      </c>
      <c r="CR55" s="150" t="inlineStr">
        <is>
          <t>35kV干式三相双绕组无励磁调压新能源发电侧光伏用、风电用、储能用变压器（35kV~38.5kV/0.4kV~1.14kV）</t>
        </is>
      </c>
      <c r="CS55" s="150" t="n"/>
      <c r="CT55" s="150" t="n"/>
      <c r="CU55" s="150" t="inlineStr">
        <is>
          <t>是</t>
        </is>
      </c>
      <c r="CV55" s="150" t="inlineStr">
        <is>
          <t>T34_F</t>
        </is>
      </c>
      <c r="CW55" s="150" t="inlineStr">
        <is>
          <t>表34；干式新能源发电侧；F(120℃)。</t>
        </is>
      </c>
      <c r="CX55" s="150" t="n">
        <v>10</v>
      </c>
      <c r="CY55" s="150" t="inlineStr">
        <is>
          <t>全部容量</t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</row>
    <row r="56">
      <c r="A56" s="150" t="inlineStr">
        <is>
          <t>空压机</t>
        </is>
      </c>
      <c r="B56" s="150" t="inlineStr">
        <is>
          <t>sp2</t>
        </is>
      </c>
      <c r="C56" s="150" t="inlineStr">
        <is>
          <t>2级机组比功率</t>
        </is>
      </c>
      <c r="D56" s="150" t="inlineStr">
        <is>
          <t>标准查询结果</t>
        </is>
      </c>
      <c r="E56" s="150" t="inlineStr">
        <is>
          <t>数值</t>
        </is>
      </c>
      <c r="F56" s="150" t="inlineStr">
        <is>
          <t>kW/(m³/min)</t>
        </is>
      </c>
      <c r="G56" s="150" t="inlineStr">
        <is>
          <t>否</t>
        </is>
      </c>
      <c r="H56" s="150" t="inlineStr">
        <is>
          <t>本阶段锁定预留</t>
        </is>
      </c>
      <c r="I56" s="150" t="inlineStr">
        <is>
          <t>无</t>
        </is>
      </c>
      <c r="J56" s="150" t="n"/>
      <c r="K56" s="150" t="n"/>
      <c r="L56" s="150" t="str"/>
      <c r="M56" s="150" t="inlineStr">
        <is>
          <t>锁定预留，不清洗</t>
        </is>
      </c>
      <c r="N56" s="150" t="inlineStr">
        <is>
          <t>本阶段不查询、不判定</t>
        </is>
      </c>
      <c r="O56" s="150" t="inlineStr">
        <is>
          <t>GB 19153-2019</t>
        </is>
      </c>
      <c r="P56" s="150" t="inlineStr">
        <is>
          <t>表1～表4</t>
        </is>
      </c>
      <c r="R56" t="inlineStr">
        <is>
          <t/>
        </is>
      </c>
      <c r="CP56" s="150" t="inlineStr">
        <is>
          <t>EV_TR_COND_THERMAL</t>
        </is>
      </c>
      <c r="CQ56" s="150" t="inlineStr">
        <is>
          <t>H(145℃)</t>
        </is>
      </c>
      <c r="CR56" s="150" t="inlineStr">
        <is>
          <t>35kV干式三相双绕组无励磁调压新能源发电侧光伏用、风电用、储能用变压器（35kV~38.5kV/0.4kV~1.14kV）</t>
        </is>
      </c>
      <c r="CS56" s="150" t="n"/>
      <c r="CT56" s="150" t="n"/>
      <c r="CU56" s="150" t="inlineStr">
        <is>
          <t>是</t>
        </is>
      </c>
      <c r="CV56" s="150" t="inlineStr">
        <is>
          <t>T34_H</t>
        </is>
      </c>
      <c r="CW56" s="150" t="inlineStr">
        <is>
          <t>表34；干式新能源发电侧；H(145℃)。</t>
        </is>
      </c>
      <c r="CX56" s="150" t="n">
        <v>11</v>
      </c>
      <c r="CY56" s="150" t="inlineStr">
        <is>
          <t>全部容量</t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</row>
    <row r="57">
      <c r="A57" s="150" t="inlineStr">
        <is>
          <t>空压机</t>
        </is>
      </c>
      <c r="B57" s="150" t="inlineStr">
        <is>
          <t>sp3</t>
        </is>
      </c>
      <c r="C57" s="150" t="inlineStr">
        <is>
          <t>3级机组比功率</t>
        </is>
      </c>
      <c r="D57" s="150" t="inlineStr">
        <is>
          <t>标准查询结果</t>
        </is>
      </c>
      <c r="E57" s="150" t="inlineStr">
        <is>
          <t>数值</t>
        </is>
      </c>
      <c r="F57" s="150" t="inlineStr">
        <is>
          <t>kW/(m³/min)</t>
        </is>
      </c>
      <c r="G57" s="150" t="inlineStr">
        <is>
          <t>否</t>
        </is>
      </c>
      <c r="H57" s="150" t="inlineStr">
        <is>
          <t>本阶段锁定预留</t>
        </is>
      </c>
      <c r="I57" s="150" t="inlineStr">
        <is>
          <t>无</t>
        </is>
      </c>
      <c r="J57" s="150" t="n"/>
      <c r="K57" s="150" t="n"/>
      <c r="L57" s="150" t="str"/>
      <c r="M57" s="150" t="inlineStr">
        <is>
          <t>锁定预留，不清洗</t>
        </is>
      </c>
      <c r="N57" s="150" t="inlineStr">
        <is>
          <t>本阶段不查询、不判定</t>
        </is>
      </c>
      <c r="O57" s="150" t="inlineStr">
        <is>
          <t>GB 19153-2019</t>
        </is>
      </c>
      <c r="P57" s="150" t="inlineStr">
        <is>
          <t>表1～表4</t>
        </is>
      </c>
      <c r="R57" t="inlineStr">
        <is>
          <t/>
        </is>
      </c>
      <c r="CP57" s="150" t="inlineStr">
        <is>
          <t>EV_TR_COND_THERMAL</t>
        </is>
      </c>
      <c r="CQ57" s="150" t="inlineStr">
        <is>
          <t>其他（请备注说明）</t>
        </is>
      </c>
      <c r="CR57" s="150" t="inlineStr">
        <is>
          <t>35kV干式三相双绕组无励磁调压新能源发电侧光伏用、风电用、储能用变压器（35kV~38.5kV/0.4kV~1.14kV）</t>
        </is>
      </c>
      <c r="CS57" s="150" t="n"/>
      <c r="CT57" s="150" t="n"/>
      <c r="CU57" s="150" t="inlineStr">
        <is>
          <t>是</t>
        </is>
      </c>
      <c r="CV57" s="150" t="inlineStr">
        <is>
          <t>T34_OTHER</t>
        </is>
      </c>
      <c r="CW57" s="150" t="inlineStr">
        <is>
          <t>表34：选择“其他”时请在填表备注中说明。</t>
        </is>
      </c>
      <c r="CX57" s="150" t="n">
        <v>12</v>
      </c>
      <c r="CY57" s="150" t="inlineStr">
        <is>
          <t>全部容量</t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</row>
    <row r="58">
      <c r="A58" s="150" t="inlineStr">
        <is>
          <t>空压机</t>
        </is>
      </c>
      <c r="B58" s="150" t="inlineStr">
        <is>
          <t>conclusion</t>
        </is>
      </c>
      <c r="C58" s="150" t="inlineStr">
        <is>
          <t>能效等级</t>
        </is>
      </c>
      <c r="D58" s="150" t="inlineStr">
        <is>
          <t>结论</t>
        </is>
      </c>
      <c r="E58" s="150" t="inlineStr">
        <is>
          <t>文本</t>
        </is>
      </c>
      <c r="F58" s="150" t="inlineStr">
        <is>
          <t>-</t>
        </is>
      </c>
      <c r="G58" s="150" t="inlineStr">
        <is>
          <t>否</t>
        </is>
      </c>
      <c r="H58" s="150" t="inlineStr">
        <is>
          <t>本阶段锁定预留</t>
        </is>
      </c>
      <c r="I58" s="150" t="inlineStr">
        <is>
          <t>无</t>
        </is>
      </c>
      <c r="J58" s="150" t="n"/>
      <c r="K58" s="150" t="n"/>
      <c r="L58" s="150" t="str"/>
      <c r="M58" s="150" t="inlineStr">
        <is>
          <t>锁定预留，不清洗</t>
        </is>
      </c>
      <c r="N58" s="150" t="inlineStr">
        <is>
          <t>本阶段不查询、不判定</t>
        </is>
      </c>
      <c r="O58" s="150" t="inlineStr">
        <is>
          <t>GB 19153-2019</t>
        </is>
      </c>
      <c r="P58" s="150" t="inlineStr">
        <is>
          <t>表1～表4</t>
        </is>
      </c>
      <c r="R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</row>
    <row r="59">
      <c r="A59" s="150" t="inlineStr">
        <is>
          <t>空压机</t>
        </is>
      </c>
      <c r="B59" s="150" t="inlineStr">
        <is>
          <t>photo</t>
        </is>
      </c>
      <c r="C59" s="150" t="inlineStr">
        <is>
          <t>铭牌照片</t>
        </is>
      </c>
      <c r="D59" s="150" t="inlineStr">
        <is>
          <t>附件备注</t>
        </is>
      </c>
      <c r="E59" s="150" t="inlineStr">
        <is>
          <t>图片</t>
        </is>
      </c>
      <c r="F59" s="150" t="inlineStr">
        <is>
          <t>-</t>
        </is>
      </c>
      <c r="G59" s="150" t="inlineStr">
        <is>
          <t>是</t>
        </is>
      </c>
      <c r="H59" s="150" t="inlineStr">
        <is>
          <t>整行启用时必填</t>
        </is>
      </c>
      <c r="I59" s="150" t="inlineStr">
        <is>
          <t>无</t>
        </is>
      </c>
      <c r="J59" s="150" t="n"/>
      <c r="K59" s="150" t="n"/>
      <c r="L59" s="150" t="str"/>
      <c r="M59" s="150" t="inlineStr">
        <is>
          <t>仅接受Excel“置于单元格”图片；不接受浮动图片</t>
        </is>
      </c>
      <c r="N59" s="150" t="inlineStr">
        <is>
          <t>为空时提示缺少铭牌照片</t>
        </is>
      </c>
      <c r="O59" s="150" t="inlineStr">
        <is>
          <t>GB 19153-2019</t>
        </is>
      </c>
      <c r="P59" s="150" t="inlineStr">
        <is>
          <t>表1～表4</t>
        </is>
      </c>
      <c r="R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</row>
    <row r="60">
      <c r="A60" s="150" t="inlineStr">
        <is>
          <t>空压机</t>
        </is>
      </c>
      <c r="B60" s="150" t="inlineStr">
        <is>
          <t>fill_note</t>
        </is>
      </c>
      <c r="C60" s="150" t="inlineStr">
        <is>
          <t>填表备注</t>
        </is>
      </c>
      <c r="D60" s="150" t="inlineStr">
        <is>
          <t>附件备注</t>
        </is>
      </c>
      <c r="E60" s="150" t="inlineStr">
        <is>
          <t>文本</t>
        </is>
      </c>
      <c r="F60" s="150" t="inlineStr">
        <is>
          <t>-</t>
        </is>
      </c>
      <c r="G60" s="150" t="inlineStr">
        <is>
          <t>是</t>
        </is>
      </c>
      <c r="H60" s="150" t="inlineStr">
        <is>
          <t>可选</t>
        </is>
      </c>
      <c r="I60" s="150" t="inlineStr">
        <is>
          <t>无</t>
        </is>
      </c>
      <c r="J60" s="150" t="n"/>
      <c r="K60" s="150" t="n"/>
      <c r="L60" s="150" t="str"/>
      <c r="M60" s="150" t="inlineStr">
        <is>
          <t>去首尾空格；全角转半角；保留原值，不自动改写</t>
        </is>
      </c>
      <c r="N60" s="150" t="inlineStr">
        <is>
          <t>异常时写入自动备注；不改写原值</t>
        </is>
      </c>
      <c r="O60" s="150" t="inlineStr">
        <is>
          <t>GB 19153-2019</t>
        </is>
      </c>
      <c r="P60" s="150" t="inlineStr">
        <is>
          <t>表1～表4</t>
        </is>
      </c>
      <c r="R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</row>
    <row r="61">
      <c r="A61" s="150" t="inlineStr">
        <is>
          <t>空压机</t>
        </is>
      </c>
      <c r="B61" s="150" t="inlineStr">
        <is>
          <t>auto_note</t>
        </is>
      </c>
      <c r="C61" s="150" t="inlineStr">
        <is>
          <t>自动备注</t>
        </is>
      </c>
      <c r="D61" s="150" t="inlineStr">
        <is>
          <t>附件备注</t>
        </is>
      </c>
      <c r="E61" s="150" t="inlineStr">
        <is>
          <t>公式</t>
        </is>
      </c>
      <c r="F61" s="150" t="inlineStr">
        <is>
          <t>-</t>
        </is>
      </c>
      <c r="G61" s="150" t="inlineStr">
        <is>
          <t>否</t>
        </is>
      </c>
      <c r="H61" s="150" t="inlineStr">
        <is>
          <t>公式生成</t>
        </is>
      </c>
      <c r="I61" s="150" t="inlineStr">
        <is>
          <t>无</t>
        </is>
      </c>
      <c r="J61" s="150" t="n"/>
      <c r="K61" s="150" t="n"/>
      <c r="L61" s="150" t="str"/>
      <c r="M61" s="150" t="inlineStr">
        <is>
          <t>锁定公式列，不清洗</t>
        </is>
      </c>
      <c r="N61" s="150" t="inlineStr">
        <is>
          <t>公式锁定并随表格扩展</t>
        </is>
      </c>
      <c r="O61" s="150" t="inlineStr">
        <is>
          <t>GB 19153-2019</t>
        </is>
      </c>
      <c r="P61" s="150" t="inlineStr">
        <is>
          <t>表1～表4</t>
        </is>
      </c>
      <c r="R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</row>
    <row r="62">
      <c r="A62" s="150" t="inlineStr">
        <is>
          <t>离心泵</t>
        </is>
      </c>
      <c r="B62" s="150" t="inlineStr">
        <is>
          <t>seq</t>
        </is>
      </c>
      <c r="C62" s="150" t="inlineStr">
        <is>
          <t>序号</t>
        </is>
      </c>
      <c r="D62" s="150" t="inlineStr">
        <is>
          <t>基础信息</t>
        </is>
      </c>
      <c r="E62" s="150" t="inlineStr">
        <is>
          <t>整数</t>
        </is>
      </c>
      <c r="F62" s="150" t="inlineStr">
        <is>
          <t>-</t>
        </is>
      </c>
      <c r="G62" s="150" t="inlineStr">
        <is>
          <t>否</t>
        </is>
      </c>
      <c r="H62" s="150" t="inlineStr">
        <is>
          <t>公式生成</t>
        </is>
      </c>
      <c r="I62" s="150" t="inlineStr">
        <is>
          <t>无</t>
        </is>
      </c>
      <c r="J62" s="150" t="n"/>
      <c r="K62" s="150" t="n"/>
      <c r="L62" s="150" t="str"/>
      <c r="M62" s="150" t="inlineStr">
        <is>
          <t>锁定公式列，不清洗</t>
        </is>
      </c>
      <c r="N62" s="150" t="inlineStr">
        <is>
          <t>公式锁定并随表格扩展</t>
        </is>
      </c>
      <c r="O62" s="150" t="inlineStr">
        <is>
          <t>GB 19762-2025</t>
        </is>
      </c>
      <c r="P62" s="150" t="inlineStr">
        <is>
          <t>表1～表3及公式</t>
        </is>
      </c>
    </row>
    <row r="63">
      <c r="A63" s="150" t="inlineStr">
        <is>
          <t>离心泵</t>
        </is>
      </c>
      <c r="B63" s="150" t="inlineStr">
        <is>
          <t>device_name</t>
        </is>
      </c>
      <c r="C63" s="150" t="inlineStr">
        <is>
          <t>设备名称</t>
        </is>
      </c>
      <c r="D63" s="150" t="inlineStr">
        <is>
          <t>基础信息</t>
        </is>
      </c>
      <c r="E63" s="150" t="inlineStr">
        <is>
          <t>文本</t>
        </is>
      </c>
      <c r="F63" s="150" t="inlineStr">
        <is>
          <t>-</t>
        </is>
      </c>
      <c r="G63" s="150" t="inlineStr">
        <is>
          <t>是</t>
        </is>
      </c>
      <c r="H63" s="150" t="inlineStr">
        <is>
          <t>整行启用时必填</t>
        </is>
      </c>
      <c r="I63" s="150" t="inlineStr">
        <is>
          <t>无</t>
        </is>
      </c>
      <c r="J63" s="150" t="n"/>
      <c r="K63" s="150" t="n"/>
      <c r="L63" s="150" t="str"/>
      <c r="M63" s="150" t="inlineStr">
        <is>
          <t>去首尾空格；全角转半角；保留原值，不自动改写</t>
        </is>
      </c>
      <c r="N63" s="150" t="inlineStr">
        <is>
          <t>异常时写入自动备注；不改写原值</t>
        </is>
      </c>
      <c r="O63" s="150" t="inlineStr">
        <is>
          <t>GB 19762-2025</t>
        </is>
      </c>
      <c r="P63" s="150" t="inlineStr">
        <is>
          <t>表1～表3及公式</t>
        </is>
      </c>
    </row>
    <row r="64">
      <c r="A64" s="150" t="inlineStr">
        <is>
          <t>离心泵</t>
        </is>
      </c>
      <c r="B64" s="150" t="inlineStr">
        <is>
          <t>model</t>
        </is>
      </c>
      <c r="C64" s="150" t="inlineStr">
        <is>
          <t>型号</t>
        </is>
      </c>
      <c r="D64" s="150" t="inlineStr">
        <is>
          <t>基础信息</t>
        </is>
      </c>
      <c r="E64" s="150" t="inlineStr">
        <is>
          <t>文本</t>
        </is>
      </c>
      <c r="F64" s="150" t="inlineStr">
        <is>
          <t>-</t>
        </is>
      </c>
      <c r="G64" s="150" t="inlineStr">
        <is>
          <t>是</t>
        </is>
      </c>
      <c r="H64" s="150" t="inlineStr">
        <is>
          <t>整行启用时必填</t>
        </is>
      </c>
      <c r="I64" s="150" t="inlineStr">
        <is>
          <t>无</t>
        </is>
      </c>
      <c r="J64" s="150" t="n"/>
      <c r="K64" s="150" t="n"/>
      <c r="L64" s="150" t="str"/>
      <c r="M64" s="150" t="inlineStr">
        <is>
          <t>去首尾空格；统一字母大小写、连接符和全半角；保留原值</t>
        </is>
      </c>
      <c r="N64" s="150" t="inlineStr">
        <is>
          <t>异常时写入自动备注；不改写原值</t>
        </is>
      </c>
      <c r="O64" s="150" t="inlineStr">
        <is>
          <t>GB 19762-2025</t>
        </is>
      </c>
      <c r="P64" s="150" t="inlineStr">
        <is>
          <t>表1～表3及公式</t>
        </is>
      </c>
    </row>
    <row r="65">
      <c r="A65" s="150" t="inlineStr">
        <is>
          <t>离心泵</t>
        </is>
      </c>
      <c r="B65" s="150" t="inlineStr">
        <is>
          <t>quantity</t>
        </is>
      </c>
      <c r="C65" s="150" t="inlineStr">
        <is>
          <t>数量</t>
        </is>
      </c>
      <c r="D65" s="150" t="inlineStr">
        <is>
          <t>基础信息</t>
        </is>
      </c>
      <c r="E65" s="150" t="inlineStr">
        <is>
          <t>整数</t>
        </is>
      </c>
      <c r="F65" s="150" t="inlineStr">
        <is>
          <t>-</t>
        </is>
      </c>
      <c r="G65" s="150" t="inlineStr">
        <is>
          <t>是</t>
        </is>
      </c>
      <c r="H65" s="150" t="inlineStr">
        <is>
          <t>整行启用时必填</t>
        </is>
      </c>
      <c r="I65" s="150" t="inlineStr">
        <is>
          <t>正整数</t>
        </is>
      </c>
      <c r="J65" s="150" t="n">
        <v>1</v>
      </c>
      <c r="K65" s="150" t="n"/>
      <c r="L65" s="150" t="str"/>
      <c r="M65" s="150" t="inlineStr">
        <is>
          <t>去首尾空格；全角转半角；保留原值，不自动改写</t>
        </is>
      </c>
      <c r="N65" s="150" t="inlineStr">
        <is>
          <t>异常时写入自动备注；不改写原值</t>
        </is>
      </c>
      <c r="O65" s="150" t="inlineStr">
        <is>
          <t>GB 19762-2025</t>
        </is>
      </c>
      <c r="P65" s="150" t="inlineStr">
        <is>
          <t>表1～表3及公式</t>
        </is>
      </c>
    </row>
    <row r="66">
      <c r="A66" s="150" t="inlineStr">
        <is>
          <t>离心泵</t>
        </is>
      </c>
      <c r="B66" s="150" t="inlineStr">
        <is>
          <t>location</t>
        </is>
      </c>
      <c r="C66" s="150" t="inlineStr">
        <is>
          <t>安装位置</t>
        </is>
      </c>
      <c r="D66" s="150" t="inlineStr">
        <is>
          <t>基础信息</t>
        </is>
      </c>
      <c r="E66" s="150" t="inlineStr">
        <is>
          <t>文本</t>
        </is>
      </c>
      <c r="F66" s="150" t="inlineStr">
        <is>
          <t>-</t>
        </is>
      </c>
      <c r="G66" s="150" t="inlineStr">
        <is>
          <t>是</t>
        </is>
      </c>
      <c r="H66" s="150" t="inlineStr">
        <is>
          <t>可选</t>
        </is>
      </c>
      <c r="I66" s="150" t="inlineStr">
        <is>
          <t>无</t>
        </is>
      </c>
      <c r="J66" s="150" t="n"/>
      <c r="K66" s="150" t="n"/>
      <c r="L66" s="150" t="str"/>
      <c r="M66" s="150" t="inlineStr">
        <is>
          <t>去首尾空格；全角转半角；保留原值，不自动改写</t>
        </is>
      </c>
      <c r="N66" s="150" t="inlineStr">
        <is>
          <t>异常时写入自动备注；不改写原值</t>
        </is>
      </c>
      <c r="O66" s="150" t="inlineStr">
        <is>
          <t>GB 19762-2025</t>
        </is>
      </c>
      <c r="P66" s="150" t="inlineStr">
        <is>
          <t>表1～表3及公式</t>
        </is>
      </c>
    </row>
    <row r="67">
      <c r="A67" s="150" t="inlineStr">
        <is>
          <t>离心泵</t>
        </is>
      </c>
      <c r="B67" s="150" t="inlineStr">
        <is>
          <t>category</t>
        </is>
      </c>
      <c r="C67" s="150" t="inlineStr">
        <is>
          <t>设备类别</t>
        </is>
      </c>
      <c r="D67" s="150" t="inlineStr">
        <is>
          <t>设备参数</t>
        </is>
      </c>
      <c r="E67" s="150" t="inlineStr">
        <is>
          <t>文本</t>
        </is>
      </c>
      <c r="F67" s="150" t="inlineStr">
        <is>
          <t>-</t>
        </is>
      </c>
      <c r="G67" s="150" t="inlineStr">
        <is>
          <t>是</t>
        </is>
      </c>
      <c r="H67" s="150" t="inlineStr">
        <is>
          <t>整行启用时必填</t>
        </is>
      </c>
      <c r="I67" s="150" t="inlineStr">
        <is>
          <t>枚举：EV_PUMP_CATEGORY（停止型下拉）</t>
        </is>
      </c>
      <c r="J67" s="150" t="n"/>
      <c r="K67" s="150" t="n"/>
      <c r="L67" s="150" t="inlineStr">
        <is>
          <t>EV_PUMP_CATEGORY</t>
        </is>
      </c>
      <c r="M67" s="150" t="inlineStr">
        <is>
          <t>去首尾空格；全角转半角；保留原值，不自动改写</t>
        </is>
      </c>
      <c r="N67" s="150" t="inlineStr">
        <is>
          <t>由软件评价写入；模板不判定</t>
        </is>
      </c>
      <c r="O67" s="150" t="inlineStr">
        <is>
          <t>GB 19762-2025</t>
        </is>
      </c>
      <c r="P67" s="150" t="inlineStr">
        <is>
          <t>表1～表3及公式</t>
        </is>
      </c>
    </row>
    <row r="68">
      <c r="A68" s="150" t="inlineStr">
        <is>
          <t>离心泵</t>
        </is>
      </c>
      <c r="B68" s="150" t="inlineStr">
        <is>
          <t>suction</t>
        </is>
      </c>
      <c r="C68" s="150" t="inlineStr">
        <is>
          <t>单吸/双吸</t>
        </is>
      </c>
      <c r="D68" s="150" t="inlineStr">
        <is>
          <t>设备参数</t>
        </is>
      </c>
      <c r="E68" s="150" t="inlineStr">
        <is>
          <t>文本</t>
        </is>
      </c>
      <c r="F68" s="150" t="inlineStr">
        <is>
          <t>-</t>
        </is>
      </c>
      <c r="G68" s="150" t="inlineStr">
        <is>
          <t>是</t>
        </is>
      </c>
      <c r="H68" s="150" t="inlineStr">
        <is>
          <t>整行启用时必填</t>
        </is>
      </c>
      <c r="I68" s="150" t="inlineStr">
        <is>
          <t>枚举：单吸/双吸（停止型下拉）</t>
        </is>
      </c>
      <c r="J68" s="150" t="n"/>
      <c r="K68" s="150" t="n"/>
      <c r="L68" s="150" t="inlineStr">
        <is>
          <t>EV_SUCTION</t>
        </is>
      </c>
      <c r="M68" s="150" t="inlineStr">
        <is>
          <t>去首尾空格；全角转半角；保留原值，不自动改写</t>
        </is>
      </c>
      <c r="N68" s="150" t="inlineStr">
        <is>
          <t>由软件评价写入；模板不判定</t>
        </is>
      </c>
      <c r="O68" s="150" t="inlineStr">
        <is>
          <t>GB 19762-2025</t>
        </is>
      </c>
      <c r="P68" s="150" t="inlineStr">
        <is>
          <t>表1～表3及公式</t>
        </is>
      </c>
    </row>
    <row r="69">
      <c r="A69" s="150" t="inlineStr">
        <is>
          <t>离心泵</t>
        </is>
      </c>
      <c r="B69" s="150" t="inlineStr">
        <is>
          <t>flow</t>
        </is>
      </c>
      <c r="C69" s="150" t="inlineStr">
        <is>
          <t>流量</t>
        </is>
      </c>
      <c r="D69" s="150" t="inlineStr">
        <is>
          <t>设备参数</t>
        </is>
      </c>
      <c r="E69" s="150" t="inlineStr">
        <is>
          <t>数值</t>
        </is>
      </c>
      <c r="F69" s="150" t="inlineStr">
        <is>
          <t>m³/h</t>
        </is>
      </c>
      <c r="G69" s="150" t="inlineStr">
        <is>
          <t>是</t>
        </is>
      </c>
      <c r="H69" s="150" t="inlineStr">
        <is>
          <t>整行启用时必填</t>
        </is>
      </c>
      <c r="I69" s="150" t="inlineStr">
        <is>
          <t>数值&gt;0</t>
        </is>
      </c>
      <c r="J69" s="150" t="n">
        <v>0</v>
      </c>
      <c r="K69" s="150" t="n"/>
      <c r="L69" s="150" t="str"/>
      <c r="M69" s="150" t="inlineStr">
        <is>
          <t>去首尾空格；全角转半角；保留原值，不自动改写</t>
        </is>
      </c>
      <c r="N69" s="150" t="inlineStr">
        <is>
          <t>异常时写入自动备注；不改写原值</t>
        </is>
      </c>
      <c r="O69" s="150" t="inlineStr">
        <is>
          <t>GB 19762-2025</t>
        </is>
      </c>
      <c r="P69" s="150" t="inlineStr">
        <is>
          <t>表1～表3及公式</t>
        </is>
      </c>
    </row>
    <row r="70">
      <c r="A70" s="150" t="inlineStr">
        <is>
          <t>离心泵</t>
        </is>
      </c>
      <c r="B70" s="150" t="inlineStr">
        <is>
          <t>head</t>
        </is>
      </c>
      <c r="C70" s="150" t="inlineStr">
        <is>
          <t>扬程</t>
        </is>
      </c>
      <c r="D70" s="150" t="inlineStr">
        <is>
          <t>设备参数</t>
        </is>
      </c>
      <c r="E70" s="150" t="inlineStr">
        <is>
          <t>数值</t>
        </is>
      </c>
      <c r="F70" s="150" t="inlineStr">
        <is>
          <t>m</t>
        </is>
      </c>
      <c r="G70" s="150" t="inlineStr">
        <is>
          <t>是</t>
        </is>
      </c>
      <c r="H70" s="150" t="inlineStr">
        <is>
          <t>整行启用时必填</t>
        </is>
      </c>
      <c r="I70" s="150" t="inlineStr">
        <is>
          <t>数值&gt;0</t>
        </is>
      </c>
      <c r="J70" s="150" t="n">
        <v>0</v>
      </c>
      <c r="K70" s="150" t="n"/>
      <c r="L70" s="150" t="str"/>
      <c r="M70" s="150" t="inlineStr">
        <is>
          <t>去首尾空格；全角转半角；保留原值，不自动改写</t>
        </is>
      </c>
      <c r="N70" s="150" t="inlineStr">
        <is>
          <t>异常时写入自动备注；不改写原值</t>
        </is>
      </c>
      <c r="O70" s="150" t="inlineStr">
        <is>
          <t>GB 19762-2025</t>
        </is>
      </c>
      <c r="P70" s="150" t="inlineStr">
        <is>
          <t>表1～表3及公式</t>
        </is>
      </c>
    </row>
    <row r="71">
      <c r="A71" s="150" t="inlineStr">
        <is>
          <t>离心泵</t>
        </is>
      </c>
      <c r="B71" s="150" t="inlineStr">
        <is>
          <t>speed</t>
        </is>
      </c>
      <c r="C71" s="150" t="inlineStr">
        <is>
          <t>额定转速</t>
        </is>
      </c>
      <c r="D71" s="150" t="inlineStr">
        <is>
          <t>设备参数</t>
        </is>
      </c>
      <c r="E71" s="150" t="inlineStr">
        <is>
          <t>数值</t>
        </is>
      </c>
      <c r="F71" s="150" t="inlineStr">
        <is>
          <t>r/min</t>
        </is>
      </c>
      <c r="G71" s="150" t="inlineStr">
        <is>
          <t>是</t>
        </is>
      </c>
      <c r="H71" s="150" t="inlineStr">
        <is>
          <t>整行启用时必填</t>
        </is>
      </c>
      <c r="I71" s="150" t="inlineStr">
        <is>
          <t>数值&gt;0</t>
        </is>
      </c>
      <c r="J71" s="150" t="n">
        <v>0</v>
      </c>
      <c r="K71" s="150" t="n"/>
      <c r="L71" s="150" t="str"/>
      <c r="M71" s="150" t="inlineStr">
        <is>
          <t>去首尾空格；全角转半角；保留原值，不自动改写</t>
        </is>
      </c>
      <c r="N71" s="150" t="inlineStr">
        <is>
          <t>异常时写入自动备注；不改写原值</t>
        </is>
      </c>
      <c r="O71" s="150" t="inlineStr">
        <is>
          <t>GB 19762-2025</t>
        </is>
      </c>
      <c r="P71" s="150" t="inlineStr">
        <is>
          <t>表1～表3及公式</t>
        </is>
      </c>
    </row>
    <row r="72">
      <c r="A72" s="150" t="inlineStr">
        <is>
          <t>离心泵</t>
        </is>
      </c>
      <c r="B72" s="150" t="inlineStr">
        <is>
          <t>power</t>
        </is>
      </c>
      <c r="C72" s="150" t="inlineStr">
        <is>
          <t>额定功率</t>
        </is>
      </c>
      <c r="D72" s="150" t="inlineStr">
        <is>
          <t>设备参数</t>
        </is>
      </c>
      <c r="E72" s="150" t="inlineStr">
        <is>
          <t>数值</t>
        </is>
      </c>
      <c r="F72" s="150" t="inlineStr">
        <is>
          <t>kW</t>
        </is>
      </c>
      <c r="G72" s="150" t="inlineStr">
        <is>
          <t>是</t>
        </is>
      </c>
      <c r="H72" s="150" t="inlineStr">
        <is>
          <t>整行启用时必填</t>
        </is>
      </c>
      <c r="I72" s="150" t="inlineStr">
        <is>
          <t>数值&gt;0</t>
        </is>
      </c>
      <c r="J72" s="150" t="n">
        <v>0</v>
      </c>
      <c r="K72" s="150" t="n"/>
      <c r="L72" s="150" t="str"/>
      <c r="M72" s="150" t="inlineStr">
        <is>
          <t>去首尾空格；全角转半角；保留原值，不自动改写</t>
        </is>
      </c>
      <c r="N72" s="150" t="inlineStr">
        <is>
          <t>异常时写入自动备注；不改写原值</t>
        </is>
      </c>
      <c r="O72" s="150" t="inlineStr">
        <is>
          <t>GB 19762-2025</t>
        </is>
      </c>
      <c r="P72" s="150" t="inlineStr">
        <is>
          <t>表1～表3及公式</t>
        </is>
      </c>
    </row>
    <row r="73">
      <c r="A73" s="150" t="inlineStr">
        <is>
          <t>离心泵</t>
        </is>
      </c>
      <c r="B73" s="150" t="inlineStr">
        <is>
          <t>stages</t>
        </is>
      </c>
      <c r="C73" s="150" t="inlineStr">
        <is>
          <t>级数</t>
        </is>
      </c>
      <c r="D73" s="150" t="inlineStr">
        <is>
          <t>设备参数</t>
        </is>
      </c>
      <c r="E73" s="150" t="inlineStr">
        <is>
          <t>整数</t>
        </is>
      </c>
      <c r="F73" s="150" t="inlineStr">
        <is>
          <t>级</t>
        </is>
      </c>
      <c r="G73" s="150" t="inlineStr">
        <is>
          <t>是</t>
        </is>
      </c>
      <c r="H73" s="150" t="inlineStr">
        <is>
          <t>多级泵条件必填</t>
        </is>
      </c>
      <c r="I73" s="150" t="inlineStr">
        <is>
          <t>正整数；单级类别固定为1，多级类别应为≥2</t>
        </is>
      </c>
      <c r="J73" s="150" t="n">
        <v>1</v>
      </c>
      <c r="K73" s="150" t="n"/>
      <c r="L73" s="150" t="str"/>
      <c r="M73" s="150" t="inlineStr">
        <is>
          <t>去首尾空格；全角转半角；保留原值，不自动改写</t>
        </is>
      </c>
      <c r="N73" s="150" t="inlineStr">
        <is>
          <t>由软件评价写入；模板不判定</t>
        </is>
      </c>
      <c r="O73" s="150" t="inlineStr">
        <is>
          <t>GB 19762-2025</t>
        </is>
      </c>
      <c r="P73" s="150" t="inlineStr">
        <is>
          <t>表1～表3及公式</t>
        </is>
      </c>
    </row>
    <row r="74">
      <c r="A74" s="150" t="inlineStr">
        <is>
          <t>离心泵</t>
        </is>
      </c>
      <c r="B74" s="150" t="inlineStr">
        <is>
          <t>efficiency</t>
        </is>
      </c>
      <c r="C74" s="150" t="inlineStr">
        <is>
          <t>泵效率</t>
        </is>
      </c>
      <c r="D74" s="150" t="inlineStr">
        <is>
          <t>设备参数</t>
        </is>
      </c>
      <c r="E74" s="150" t="inlineStr">
        <is>
          <t>数值</t>
        </is>
      </c>
      <c r="F74" s="150" t="inlineStr">
        <is>
          <t>%</t>
        </is>
      </c>
      <c r="G74" s="150" t="inlineStr">
        <is>
          <t>是</t>
        </is>
      </c>
      <c r="H74" s="150" t="inlineStr">
        <is>
          <t>整行启用时必填</t>
        </is>
      </c>
      <c r="I74" s="150" t="inlineStr">
        <is>
          <t>百分数本值1～100</t>
        </is>
      </c>
      <c r="J74" s="150" t="n">
        <v>1</v>
      </c>
      <c r="K74" s="150" t="n">
        <v>100</v>
      </c>
      <c r="L74" s="150" t="str"/>
      <c r="M74" s="150" t="inlineStr">
        <is>
          <t>去首尾空格；全角转半角；保留原值，不自动改写</t>
        </is>
      </c>
      <c r="N74" s="150" t="inlineStr">
        <is>
          <t>异常时写入自动备注；不改写原值</t>
        </is>
      </c>
      <c r="O74" s="150" t="inlineStr">
        <is>
          <t>GB 19762-2025</t>
        </is>
      </c>
      <c r="P74" s="150" t="inlineStr">
        <is>
          <t>表1～表3及公式</t>
        </is>
      </c>
    </row>
    <row r="75">
      <c r="A75" s="150" t="inlineStr">
        <is>
          <t>离心泵</t>
        </is>
      </c>
      <c r="B75" s="150" t="inlineStr">
        <is>
          <t>specific_speed</t>
        </is>
      </c>
      <c r="C75" s="150" t="inlineStr">
        <is>
          <t>比转速</t>
        </is>
      </c>
      <c r="D75" s="150" t="inlineStr">
        <is>
          <t>计算辅助结果</t>
        </is>
      </c>
      <c r="E75" s="150" t="inlineStr">
        <is>
          <t>文本</t>
        </is>
      </c>
      <c r="F75" s="150" t="inlineStr">
        <is>
          <t>-</t>
        </is>
      </c>
      <c r="G75" s="150" t="inlineStr">
        <is>
          <t>否</t>
        </is>
      </c>
      <c r="H75" s="150" t="inlineStr">
        <is>
          <t>本阶段锁定预留</t>
        </is>
      </c>
      <c r="I75" s="150" t="inlineStr">
        <is>
          <t>无</t>
        </is>
      </c>
      <c r="J75" s="150" t="n"/>
      <c r="K75" s="150" t="n"/>
      <c r="L75" s="150" t="str"/>
      <c r="M75" s="150" t="inlineStr">
        <is>
          <t>锁定预留，不清洗</t>
        </is>
      </c>
      <c r="N75" s="150" t="inlineStr">
        <is>
          <t>本阶段不查询、不判定</t>
        </is>
      </c>
      <c r="O75" s="150" t="inlineStr">
        <is>
          <t>GB 19762-2025</t>
        </is>
      </c>
      <c r="P75" s="150" t="inlineStr">
        <is>
          <t>表1～表3及公式</t>
        </is>
      </c>
    </row>
    <row r="76">
      <c r="A76" s="150" t="inlineStr">
        <is>
          <t>离心泵</t>
        </is>
      </c>
      <c r="B76" s="150" t="inlineStr">
        <is>
          <t>c1</t>
        </is>
      </c>
      <c r="C76" s="150" t="inlineStr">
        <is>
          <t>C1</t>
        </is>
      </c>
      <c r="D76" s="150" t="inlineStr">
        <is>
          <t>计算辅助结果</t>
        </is>
      </c>
      <c r="E76" s="150" t="inlineStr">
        <is>
          <t>文本</t>
        </is>
      </c>
      <c r="F76" s="150" t="inlineStr">
        <is>
          <t>-</t>
        </is>
      </c>
      <c r="G76" s="150" t="inlineStr">
        <is>
          <t>否</t>
        </is>
      </c>
      <c r="H76" s="150" t="inlineStr">
        <is>
          <t>本阶段锁定预留</t>
        </is>
      </c>
      <c r="I76" s="150" t="inlineStr">
        <is>
          <t>无</t>
        </is>
      </c>
      <c r="J76" s="150" t="n"/>
      <c r="K76" s="150" t="n"/>
      <c r="L76" s="150" t="str"/>
      <c r="M76" s="150" t="inlineStr">
        <is>
          <t>锁定预留，不清洗</t>
        </is>
      </c>
      <c r="N76" s="150" t="inlineStr">
        <is>
          <t>本阶段不查询、不判定</t>
        </is>
      </c>
      <c r="O76" s="150" t="inlineStr">
        <is>
          <t>GB 19762-2025</t>
        </is>
      </c>
      <c r="P76" s="150" t="inlineStr">
        <is>
          <t>表1～表3及公式</t>
        </is>
      </c>
    </row>
    <row r="77">
      <c r="A77" s="150" t="inlineStr">
        <is>
          <t>离心泵</t>
        </is>
      </c>
      <c r="B77" s="150" t="inlineStr">
        <is>
          <t>c2</t>
        </is>
      </c>
      <c r="C77" s="150" t="inlineStr">
        <is>
          <t>C2</t>
        </is>
      </c>
      <c r="D77" s="150" t="inlineStr">
        <is>
          <t>计算辅助结果</t>
        </is>
      </c>
      <c r="E77" s="150" t="inlineStr">
        <is>
          <t>文本</t>
        </is>
      </c>
      <c r="F77" s="150" t="inlineStr">
        <is>
          <t>-</t>
        </is>
      </c>
      <c r="G77" s="150" t="inlineStr">
        <is>
          <t>否</t>
        </is>
      </c>
      <c r="H77" s="150" t="inlineStr">
        <is>
          <t>本阶段锁定预留</t>
        </is>
      </c>
      <c r="I77" s="150" t="inlineStr">
        <is>
          <t>无</t>
        </is>
      </c>
      <c r="J77" s="150" t="n"/>
      <c r="K77" s="150" t="n"/>
      <c r="L77" s="150" t="str"/>
      <c r="M77" s="150" t="inlineStr">
        <is>
          <t>锁定预留，不清洗</t>
        </is>
      </c>
      <c r="N77" s="150" t="inlineStr">
        <is>
          <t>本阶段不查询、不判定</t>
        </is>
      </c>
      <c r="O77" s="150" t="inlineStr">
        <is>
          <t>GB 19762-2025</t>
        </is>
      </c>
      <c r="P77" s="150" t="inlineStr">
        <is>
          <t>表1～表3及公式</t>
        </is>
      </c>
    </row>
    <row r="78">
      <c r="A78" s="150" t="inlineStr">
        <is>
          <t>离心泵</t>
        </is>
      </c>
      <c r="B78" s="150" t="inlineStr">
        <is>
          <t>c3</t>
        </is>
      </c>
      <c r="C78" s="150" t="inlineStr">
        <is>
          <t>C3</t>
        </is>
      </c>
      <c r="D78" s="150" t="inlineStr">
        <is>
          <t>计算辅助结果</t>
        </is>
      </c>
      <c r="E78" s="150" t="inlineStr">
        <is>
          <t>文本</t>
        </is>
      </c>
      <c r="F78" s="150" t="inlineStr">
        <is>
          <t>-</t>
        </is>
      </c>
      <c r="G78" s="150" t="inlineStr">
        <is>
          <t>否</t>
        </is>
      </c>
      <c r="H78" s="150" t="inlineStr">
        <is>
          <t>本阶段锁定预留</t>
        </is>
      </c>
      <c r="I78" s="150" t="inlineStr">
        <is>
          <t>无</t>
        </is>
      </c>
      <c r="J78" s="150" t="n"/>
      <c r="K78" s="150" t="n"/>
      <c r="L78" s="150" t="str"/>
      <c r="M78" s="150" t="inlineStr">
        <is>
          <t>锁定预留，不清洗</t>
        </is>
      </c>
      <c r="N78" s="150" t="inlineStr">
        <is>
          <t>本阶段不查询、不判定</t>
        </is>
      </c>
      <c r="O78" s="150" t="inlineStr">
        <is>
          <t>GB 19762-2025</t>
        </is>
      </c>
      <c r="P78" s="150" t="inlineStr">
        <is>
          <t>表1～表3及公式</t>
        </is>
      </c>
    </row>
    <row r="79">
      <c r="A79" s="150" t="inlineStr">
        <is>
          <t>离心泵</t>
        </is>
      </c>
      <c r="B79" s="150" t="inlineStr">
        <is>
          <t>base_efficiency</t>
        </is>
      </c>
      <c r="C79" s="150" t="inlineStr">
        <is>
          <t>基准效率</t>
        </is>
      </c>
      <c r="D79" s="150" t="inlineStr">
        <is>
          <t>计算辅助结果</t>
        </is>
      </c>
      <c r="E79" s="150" t="inlineStr">
        <is>
          <t>数值</t>
        </is>
      </c>
      <c r="F79" s="150" t="inlineStr">
        <is>
          <t>%</t>
        </is>
      </c>
      <c r="G79" s="150" t="inlineStr">
        <is>
          <t>否</t>
        </is>
      </c>
      <c r="H79" s="150" t="inlineStr">
        <is>
          <t>本阶段锁定预留</t>
        </is>
      </c>
      <c r="I79" s="150" t="inlineStr">
        <is>
          <t>无</t>
        </is>
      </c>
      <c r="J79" s="150" t="n"/>
      <c r="K79" s="150" t="n"/>
      <c r="L79" s="150" t="str"/>
      <c r="M79" s="150" t="inlineStr">
        <is>
          <t>锁定预留，不清洗</t>
        </is>
      </c>
      <c r="N79" s="150" t="inlineStr">
        <is>
          <t>本阶段不查询、不判定</t>
        </is>
      </c>
      <c r="O79" s="150" t="inlineStr">
        <is>
          <t>GB 19762-2025</t>
        </is>
      </c>
      <c r="P79" s="150" t="inlineStr">
        <is>
          <t>表1～表3及公式</t>
        </is>
      </c>
    </row>
    <row r="80">
      <c r="A80" s="150" t="inlineStr">
        <is>
          <t>离心泵</t>
        </is>
      </c>
      <c r="B80" s="150" t="inlineStr">
        <is>
          <t>correction</t>
        </is>
      </c>
      <c r="C80" s="150" t="inlineStr">
        <is>
          <t>效率修正值</t>
        </is>
      </c>
      <c r="D80" s="150" t="inlineStr">
        <is>
          <t>计算辅助结果</t>
        </is>
      </c>
      <c r="E80" s="150" t="inlineStr">
        <is>
          <t>数值</t>
        </is>
      </c>
      <c r="F80" s="150" t="inlineStr">
        <is>
          <t>%</t>
        </is>
      </c>
      <c r="G80" s="150" t="inlineStr">
        <is>
          <t>否</t>
        </is>
      </c>
      <c r="H80" s="150" t="inlineStr">
        <is>
          <t>本阶段锁定预留</t>
        </is>
      </c>
      <c r="I80" s="150" t="inlineStr">
        <is>
          <t>无</t>
        </is>
      </c>
      <c r="J80" s="150" t="n"/>
      <c r="K80" s="150" t="n"/>
      <c r="L80" s="150" t="str"/>
      <c r="M80" s="150" t="inlineStr">
        <is>
          <t>锁定预留，不清洗</t>
        </is>
      </c>
      <c r="N80" s="150" t="inlineStr">
        <is>
          <t>本阶段不查询、不判定</t>
        </is>
      </c>
      <c r="O80" s="150" t="inlineStr">
        <is>
          <t>GB 19762-2025</t>
        </is>
      </c>
      <c r="P80" s="150" t="inlineStr">
        <is>
          <t>表1～表3及公式</t>
        </is>
      </c>
    </row>
    <row r="81">
      <c r="A81" s="150" t="inlineStr">
        <is>
          <t>离心泵</t>
        </is>
      </c>
      <c r="B81" s="150" t="inlineStr">
        <is>
          <t>specified_efficiency</t>
        </is>
      </c>
      <c r="C81" s="150" t="inlineStr">
        <is>
          <t>规定点效率</t>
        </is>
      </c>
      <c r="D81" s="150" t="inlineStr">
        <is>
          <t>计算辅助结果</t>
        </is>
      </c>
      <c r="E81" s="150" t="inlineStr">
        <is>
          <t>数值</t>
        </is>
      </c>
      <c r="F81" s="150" t="inlineStr">
        <is>
          <t>%</t>
        </is>
      </c>
      <c r="G81" s="150" t="inlineStr">
        <is>
          <t>否</t>
        </is>
      </c>
      <c r="H81" s="150" t="inlineStr">
        <is>
          <t>本阶段锁定预留</t>
        </is>
      </c>
      <c r="I81" s="150" t="inlineStr">
        <is>
          <t>无</t>
        </is>
      </c>
      <c r="J81" s="150" t="n"/>
      <c r="K81" s="150" t="n"/>
      <c r="L81" s="150" t="str"/>
      <c r="M81" s="150" t="inlineStr">
        <is>
          <t>锁定预留，不清洗</t>
        </is>
      </c>
      <c r="N81" s="150" t="inlineStr">
        <is>
          <t>本阶段不查询、不判定</t>
        </is>
      </c>
      <c r="O81" s="150" t="inlineStr">
        <is>
          <t>GB 19762-2025</t>
        </is>
      </c>
      <c r="P81" s="150" t="inlineStr">
        <is>
          <t>表1～表3及公式</t>
        </is>
      </c>
    </row>
    <row r="82">
      <c r="A82" s="150" t="inlineStr">
        <is>
          <t>离心泵</t>
        </is>
      </c>
      <c r="B82" s="150" t="inlineStr">
        <is>
          <t>grade1</t>
        </is>
      </c>
      <c r="C82" s="150" t="inlineStr">
        <is>
          <t>1级效率</t>
        </is>
      </c>
      <c r="D82" s="150" t="inlineStr">
        <is>
          <t>标准查询结果</t>
        </is>
      </c>
      <c r="E82" s="150" t="inlineStr">
        <is>
          <t>数值</t>
        </is>
      </c>
      <c r="F82" s="150" t="inlineStr">
        <is>
          <t>%</t>
        </is>
      </c>
      <c r="G82" s="150" t="inlineStr">
        <is>
          <t>否</t>
        </is>
      </c>
      <c r="H82" s="150" t="inlineStr">
        <is>
          <t>本阶段锁定预留</t>
        </is>
      </c>
      <c r="I82" s="150" t="inlineStr">
        <is>
          <t>无</t>
        </is>
      </c>
      <c r="J82" s="150" t="n"/>
      <c r="K82" s="150" t="n"/>
      <c r="L82" s="150" t="str"/>
      <c r="M82" s="150" t="inlineStr">
        <is>
          <t>锁定预留，不清洗</t>
        </is>
      </c>
      <c r="N82" s="150" t="inlineStr">
        <is>
          <t>本阶段不查询、不判定</t>
        </is>
      </c>
      <c r="O82" s="150" t="inlineStr">
        <is>
          <t>GB 19762-2025</t>
        </is>
      </c>
      <c r="P82" s="150" t="inlineStr">
        <is>
          <t>表1～表3及公式</t>
        </is>
      </c>
    </row>
    <row r="83">
      <c r="A83" s="150" t="inlineStr">
        <is>
          <t>离心泵</t>
        </is>
      </c>
      <c r="B83" s="150" t="inlineStr">
        <is>
          <t>grade2</t>
        </is>
      </c>
      <c r="C83" s="150" t="inlineStr">
        <is>
          <t>2级效率</t>
        </is>
      </c>
      <c r="D83" s="150" t="inlineStr">
        <is>
          <t>标准查询结果</t>
        </is>
      </c>
      <c r="E83" s="150" t="inlineStr">
        <is>
          <t>数值</t>
        </is>
      </c>
      <c r="F83" s="150" t="inlineStr">
        <is>
          <t>%</t>
        </is>
      </c>
      <c r="G83" s="150" t="inlineStr">
        <is>
          <t>否</t>
        </is>
      </c>
      <c r="H83" s="150" t="inlineStr">
        <is>
          <t>本阶段锁定预留</t>
        </is>
      </c>
      <c r="I83" s="150" t="inlineStr">
        <is>
          <t>无</t>
        </is>
      </c>
      <c r="J83" s="150" t="n"/>
      <c r="K83" s="150" t="n"/>
      <c r="L83" s="150" t="str"/>
      <c r="M83" s="150" t="inlineStr">
        <is>
          <t>锁定预留，不清洗</t>
        </is>
      </c>
      <c r="N83" s="150" t="inlineStr">
        <is>
          <t>本阶段不查询、不判定</t>
        </is>
      </c>
      <c r="O83" s="150" t="inlineStr">
        <is>
          <t>GB 19762-2025</t>
        </is>
      </c>
      <c r="P83" s="150" t="inlineStr">
        <is>
          <t>表1～表3及公式</t>
        </is>
      </c>
    </row>
    <row r="84">
      <c r="A84" s="150" t="inlineStr">
        <is>
          <t>离心泵</t>
        </is>
      </c>
      <c r="B84" s="150" t="inlineStr">
        <is>
          <t>grade3</t>
        </is>
      </c>
      <c r="C84" s="150" t="inlineStr">
        <is>
          <t>3级效率</t>
        </is>
      </c>
      <c r="D84" s="150" t="inlineStr">
        <is>
          <t>标准查询结果</t>
        </is>
      </c>
      <c r="E84" s="150" t="inlineStr">
        <is>
          <t>数值</t>
        </is>
      </c>
      <c r="F84" s="150" t="inlineStr">
        <is>
          <t>%</t>
        </is>
      </c>
      <c r="G84" s="150" t="inlineStr">
        <is>
          <t>否</t>
        </is>
      </c>
      <c r="H84" s="150" t="inlineStr">
        <is>
          <t>本阶段锁定预留</t>
        </is>
      </c>
      <c r="I84" s="150" t="inlineStr">
        <is>
          <t>无</t>
        </is>
      </c>
      <c r="J84" s="150" t="n"/>
      <c r="K84" s="150" t="n"/>
      <c r="L84" s="150" t="str"/>
      <c r="M84" s="150" t="inlineStr">
        <is>
          <t>锁定预留，不清洗</t>
        </is>
      </c>
      <c r="N84" s="150" t="inlineStr">
        <is>
          <t>本阶段不查询、不判定</t>
        </is>
      </c>
      <c r="O84" s="150" t="inlineStr">
        <is>
          <t>GB 19762-2025</t>
        </is>
      </c>
      <c r="P84" s="150" t="inlineStr">
        <is>
          <t>表1～表3及公式</t>
        </is>
      </c>
    </row>
    <row r="85">
      <c r="A85" s="150" t="inlineStr">
        <is>
          <t>离心泵</t>
        </is>
      </c>
      <c r="B85" s="150" t="inlineStr">
        <is>
          <t>conclusion</t>
        </is>
      </c>
      <c r="C85" s="150" t="inlineStr">
        <is>
          <t>能效等级</t>
        </is>
      </c>
      <c r="D85" s="150" t="inlineStr">
        <is>
          <t>结论</t>
        </is>
      </c>
      <c r="E85" s="150" t="inlineStr">
        <is>
          <t>文本</t>
        </is>
      </c>
      <c r="F85" s="150" t="inlineStr">
        <is>
          <t>-</t>
        </is>
      </c>
      <c r="G85" s="150" t="inlineStr">
        <is>
          <t>否</t>
        </is>
      </c>
      <c r="H85" s="150" t="inlineStr">
        <is>
          <t>本阶段锁定预留</t>
        </is>
      </c>
      <c r="I85" s="150" t="inlineStr">
        <is>
          <t>无</t>
        </is>
      </c>
      <c r="J85" s="150" t="n"/>
      <c r="K85" s="150" t="n"/>
      <c r="L85" s="150" t="str"/>
      <c r="M85" s="150" t="inlineStr">
        <is>
          <t>锁定预留，不清洗</t>
        </is>
      </c>
      <c r="N85" s="150" t="inlineStr">
        <is>
          <t>本阶段不查询、不判定</t>
        </is>
      </c>
      <c r="O85" s="150" t="inlineStr">
        <is>
          <t>GB 19762-2025</t>
        </is>
      </c>
      <c r="P85" s="150" t="inlineStr">
        <is>
          <t>表1～表3及公式</t>
        </is>
      </c>
    </row>
    <row r="86">
      <c r="A86" s="150" t="inlineStr">
        <is>
          <t>离心泵</t>
        </is>
      </c>
      <c r="B86" s="150" t="inlineStr">
        <is>
          <t>photo</t>
        </is>
      </c>
      <c r="C86" s="150" t="inlineStr">
        <is>
          <t>铭牌照片</t>
        </is>
      </c>
      <c r="D86" s="150" t="inlineStr">
        <is>
          <t>附件备注</t>
        </is>
      </c>
      <c r="E86" s="150" t="inlineStr">
        <is>
          <t>图片</t>
        </is>
      </c>
      <c r="F86" s="150" t="inlineStr">
        <is>
          <t>-</t>
        </is>
      </c>
      <c r="G86" s="150" t="inlineStr">
        <is>
          <t>是</t>
        </is>
      </c>
      <c r="H86" s="150" t="inlineStr">
        <is>
          <t>整行启用时必填</t>
        </is>
      </c>
      <c r="I86" s="150" t="inlineStr">
        <is>
          <t>无</t>
        </is>
      </c>
      <c r="J86" s="150" t="n"/>
      <c r="K86" s="150" t="n"/>
      <c r="L86" s="150" t="str"/>
      <c r="M86" s="150" t="inlineStr">
        <is>
          <t>仅接受Excel“置于单元格”图片；不接受浮动图片</t>
        </is>
      </c>
      <c r="N86" s="150" t="inlineStr">
        <is>
          <t>为空时提示缺少铭牌照片</t>
        </is>
      </c>
      <c r="O86" s="150" t="inlineStr">
        <is>
          <t>GB 19762-2025</t>
        </is>
      </c>
      <c r="P86" s="150" t="inlineStr">
        <is>
          <t>表1～表3及公式</t>
        </is>
      </c>
    </row>
    <row r="87">
      <c r="A87" s="150" t="inlineStr">
        <is>
          <t>离心泵</t>
        </is>
      </c>
      <c r="B87" s="150" t="inlineStr">
        <is>
          <t>fill_note</t>
        </is>
      </c>
      <c r="C87" s="150" t="inlineStr">
        <is>
          <t>填表备注</t>
        </is>
      </c>
      <c r="D87" s="150" t="inlineStr">
        <is>
          <t>附件备注</t>
        </is>
      </c>
      <c r="E87" s="150" t="inlineStr">
        <is>
          <t>文本</t>
        </is>
      </c>
      <c r="F87" s="150" t="inlineStr">
        <is>
          <t>-</t>
        </is>
      </c>
      <c r="G87" s="150" t="inlineStr">
        <is>
          <t>是</t>
        </is>
      </c>
      <c r="H87" s="150" t="inlineStr">
        <is>
          <t>可选</t>
        </is>
      </c>
      <c r="I87" s="150" t="inlineStr">
        <is>
          <t>无</t>
        </is>
      </c>
      <c r="J87" s="150" t="n"/>
      <c r="K87" s="150" t="n"/>
      <c r="L87" s="150" t="str"/>
      <c r="M87" s="150" t="inlineStr">
        <is>
          <t>去首尾空格；全角转半角；保留原值，不自动改写</t>
        </is>
      </c>
      <c r="N87" s="150" t="inlineStr">
        <is>
          <t>异常时写入自动备注；不改写原值</t>
        </is>
      </c>
      <c r="O87" s="150" t="inlineStr">
        <is>
          <t>GB 19762-2025</t>
        </is>
      </c>
      <c r="P87" s="150" t="inlineStr">
        <is>
          <t>表1～表3及公式</t>
        </is>
      </c>
    </row>
    <row r="88">
      <c r="A88" s="150" t="inlineStr">
        <is>
          <t>离心泵</t>
        </is>
      </c>
      <c r="B88" s="150" t="inlineStr">
        <is>
          <t>auto_note</t>
        </is>
      </c>
      <c r="C88" s="150" t="inlineStr">
        <is>
          <t>自动备注</t>
        </is>
      </c>
      <c r="D88" s="150" t="inlineStr">
        <is>
          <t>附件备注</t>
        </is>
      </c>
      <c r="E88" s="150" t="inlineStr">
        <is>
          <t>公式</t>
        </is>
      </c>
      <c r="F88" s="150" t="inlineStr">
        <is>
          <t>-</t>
        </is>
      </c>
      <c r="G88" s="150" t="inlineStr">
        <is>
          <t>否</t>
        </is>
      </c>
      <c r="H88" s="150" t="inlineStr">
        <is>
          <t>公式生成</t>
        </is>
      </c>
      <c r="I88" s="150" t="inlineStr">
        <is>
          <t>无</t>
        </is>
      </c>
      <c r="J88" s="150" t="n"/>
      <c r="K88" s="150" t="n"/>
      <c r="L88" s="150" t="str"/>
      <c r="M88" s="150" t="inlineStr">
        <is>
          <t>锁定公式列，不清洗</t>
        </is>
      </c>
      <c r="N88" s="150" t="inlineStr">
        <is>
          <t>由软件评价写入，模板不含业务公式</t>
        </is>
      </c>
      <c r="O88" s="150" t="inlineStr">
        <is>
          <t>GB 19762-2025</t>
        </is>
      </c>
      <c r="P88" s="150" t="inlineStr">
        <is>
          <t>表1～表3及公式</t>
        </is>
      </c>
    </row>
    <row r="89">
      <c r="A89" s="150" t="inlineStr">
        <is>
          <t>离心通风机</t>
        </is>
      </c>
      <c r="B89" s="150" t="inlineStr">
        <is>
          <t>seq</t>
        </is>
      </c>
      <c r="C89" s="150" t="inlineStr">
        <is>
          <t>序号</t>
        </is>
      </c>
      <c r="D89" s="150" t="inlineStr">
        <is>
          <t>基础信息</t>
        </is>
      </c>
      <c r="E89" s="150" t="inlineStr">
        <is>
          <t>整数</t>
        </is>
      </c>
      <c r="F89" s="150" t="inlineStr">
        <is>
          <t>-</t>
        </is>
      </c>
      <c r="G89" s="150" t="inlineStr">
        <is>
          <t>否</t>
        </is>
      </c>
      <c r="H89" s="150" t="inlineStr">
        <is>
          <t>公式生成</t>
        </is>
      </c>
      <c r="I89" s="150" t="inlineStr">
        <is>
          <t>无</t>
        </is>
      </c>
      <c r="J89" s="150" t="n"/>
      <c r="K89" s="150" t="n"/>
      <c r="L89" s="150" t="str"/>
      <c r="M89" s="150" t="inlineStr">
        <is>
          <t>锁定公式列，不清洗</t>
        </is>
      </c>
      <c r="N89" s="150" t="inlineStr">
        <is>
          <t>公式锁定并随表格扩展</t>
        </is>
      </c>
      <c r="O89" s="150" t="inlineStr">
        <is>
          <t>GB 19761-2020</t>
        </is>
      </c>
      <c r="P89" s="150" t="inlineStr">
        <is>
          <t>表1～表4</t>
        </is>
      </c>
    </row>
    <row r="90">
      <c r="A90" s="150" t="inlineStr">
        <is>
          <t>离心通风机</t>
        </is>
      </c>
      <c r="B90" s="150" t="inlineStr">
        <is>
          <t>device_name</t>
        </is>
      </c>
      <c r="C90" s="150" t="inlineStr">
        <is>
          <t>设备名称</t>
        </is>
      </c>
      <c r="D90" s="150" t="inlineStr">
        <is>
          <t>基础信息</t>
        </is>
      </c>
      <c r="E90" s="150" t="inlineStr">
        <is>
          <t>文本</t>
        </is>
      </c>
      <c r="F90" s="150" t="inlineStr">
        <is>
          <t>-</t>
        </is>
      </c>
      <c r="G90" s="150" t="inlineStr">
        <is>
          <t>是</t>
        </is>
      </c>
      <c r="H90" s="150" t="inlineStr">
        <is>
          <t>整行启用时必填</t>
        </is>
      </c>
      <c r="I90" s="150" t="inlineStr">
        <is>
          <t>无</t>
        </is>
      </c>
      <c r="J90" s="150" t="n"/>
      <c r="K90" s="150" t="n"/>
      <c r="L90" s="150" t="str"/>
      <c r="M90" s="150" t="inlineStr">
        <is>
          <t>去首尾空格；全角转半角；保留原值，不自动改写</t>
        </is>
      </c>
      <c r="N90" s="150" t="inlineStr">
        <is>
          <t>异常时写入自动备注；不改写原值</t>
        </is>
      </c>
      <c r="O90" s="150" t="inlineStr">
        <is>
          <t>GB 19761-2020</t>
        </is>
      </c>
      <c r="P90" s="150" t="inlineStr">
        <is>
          <t>表1～表4</t>
        </is>
      </c>
    </row>
    <row r="91">
      <c r="A91" s="150" t="inlineStr">
        <is>
          <t>离心通风机</t>
        </is>
      </c>
      <c r="B91" s="150" t="inlineStr">
        <is>
          <t>model</t>
        </is>
      </c>
      <c r="C91" s="150" t="inlineStr">
        <is>
          <t>型号</t>
        </is>
      </c>
      <c r="D91" s="150" t="inlineStr">
        <is>
          <t>基础信息</t>
        </is>
      </c>
      <c r="E91" s="150" t="inlineStr">
        <is>
          <t>文本</t>
        </is>
      </c>
      <c r="F91" s="150" t="inlineStr">
        <is>
          <t>-</t>
        </is>
      </c>
      <c r="G91" s="150" t="inlineStr">
        <is>
          <t>是</t>
        </is>
      </c>
      <c r="H91" s="150" t="inlineStr">
        <is>
          <t>整行启用时必填</t>
        </is>
      </c>
      <c r="I91" s="150" t="inlineStr">
        <is>
          <t>无</t>
        </is>
      </c>
      <c r="J91" s="150" t="n"/>
      <c r="K91" s="150" t="n"/>
      <c r="L91" s="150" t="str"/>
      <c r="M91" s="150" t="inlineStr">
        <is>
          <t>去首尾空格；统一字母大小写、连接符和全半角；保留原值</t>
        </is>
      </c>
      <c r="N91" s="150" t="inlineStr">
        <is>
          <t>异常时写入自动备注；不改写原值</t>
        </is>
      </c>
      <c r="O91" s="150" t="inlineStr">
        <is>
          <t>GB 19761-2020</t>
        </is>
      </c>
      <c r="P91" s="150" t="inlineStr">
        <is>
          <t>表1～表4</t>
        </is>
      </c>
    </row>
    <row r="92">
      <c r="A92" s="150" t="inlineStr">
        <is>
          <t>离心通风机</t>
        </is>
      </c>
      <c r="B92" s="150" t="inlineStr">
        <is>
          <t>quantity</t>
        </is>
      </c>
      <c r="C92" s="150" t="inlineStr">
        <is>
          <t>数量</t>
        </is>
      </c>
      <c r="D92" s="150" t="inlineStr">
        <is>
          <t>基础信息</t>
        </is>
      </c>
      <c r="E92" s="150" t="inlineStr">
        <is>
          <t>整数</t>
        </is>
      </c>
      <c r="F92" s="150" t="inlineStr">
        <is>
          <t>-</t>
        </is>
      </c>
      <c r="G92" s="150" t="inlineStr">
        <is>
          <t>是</t>
        </is>
      </c>
      <c r="H92" s="150" t="inlineStr">
        <is>
          <t>整行启用时必填</t>
        </is>
      </c>
      <c r="I92" s="150" t="inlineStr">
        <is>
          <t>正整数</t>
        </is>
      </c>
      <c r="J92" s="150" t="n">
        <v>1</v>
      </c>
      <c r="K92" s="150" t="n"/>
      <c r="L92" s="150" t="str"/>
      <c r="M92" s="150" t="inlineStr">
        <is>
          <t>去首尾空格；全角转半角；保留原值，不自动改写</t>
        </is>
      </c>
      <c r="N92" s="150" t="inlineStr">
        <is>
          <t>异常时写入自动备注；不改写原值</t>
        </is>
      </c>
      <c r="O92" s="150" t="inlineStr">
        <is>
          <t>GB 19761-2020</t>
        </is>
      </c>
      <c r="P92" s="150" t="inlineStr">
        <is>
          <t>表1～表4</t>
        </is>
      </c>
    </row>
    <row r="93">
      <c r="A93" s="150" t="inlineStr">
        <is>
          <t>离心通风机</t>
        </is>
      </c>
      <c r="B93" s="150" t="inlineStr">
        <is>
          <t>location</t>
        </is>
      </c>
      <c r="C93" s="150" t="inlineStr">
        <is>
          <t>安装位置</t>
        </is>
      </c>
      <c r="D93" s="150" t="inlineStr">
        <is>
          <t>基础信息</t>
        </is>
      </c>
      <c r="E93" s="150" t="inlineStr">
        <is>
          <t>文本</t>
        </is>
      </c>
      <c r="F93" s="150" t="inlineStr">
        <is>
          <t>-</t>
        </is>
      </c>
      <c r="G93" s="150" t="inlineStr">
        <is>
          <t>是</t>
        </is>
      </c>
      <c r="H93" s="150" t="inlineStr">
        <is>
          <t>可选</t>
        </is>
      </c>
      <c r="I93" s="150" t="inlineStr">
        <is>
          <t>无</t>
        </is>
      </c>
      <c r="J93" s="150" t="n"/>
      <c r="K93" s="150" t="n"/>
      <c r="L93" s="150" t="str"/>
      <c r="M93" s="150" t="inlineStr">
        <is>
          <t>去首尾空格；全角转半角；保留原值，不自动改写</t>
        </is>
      </c>
      <c r="N93" s="150" t="inlineStr">
        <is>
          <t>异常时写入自动备注；不改写原值</t>
        </is>
      </c>
      <c r="O93" s="150" t="inlineStr">
        <is>
          <t>GB 19761-2020</t>
        </is>
      </c>
      <c r="P93" s="150" t="inlineStr">
        <is>
          <t>表1～表4</t>
        </is>
      </c>
    </row>
    <row r="94">
      <c r="A94" s="150" t="inlineStr">
        <is>
          <t>离心通风机</t>
        </is>
      </c>
      <c r="B94" s="150" t="inlineStr">
        <is>
          <t>category</t>
        </is>
      </c>
      <c r="C94" s="150" t="inlineStr">
        <is>
          <t>设备类别</t>
        </is>
      </c>
      <c r="D94" s="150" t="inlineStr">
        <is>
          <t>设备参数</t>
        </is>
      </c>
      <c r="E94" s="150" t="inlineStr">
        <is>
          <t>文本</t>
        </is>
      </c>
      <c r="F94" s="150" t="inlineStr">
        <is>
          <t>-</t>
        </is>
      </c>
      <c r="G94" s="150" t="inlineStr">
        <is>
          <t>是</t>
        </is>
      </c>
      <c r="H94" s="150" t="inlineStr">
        <is>
          <t>整行启用时必填</t>
        </is>
      </c>
      <c r="I94" s="150" t="inlineStr">
        <is>
          <t>停止型下拉；粘贴后由自动备注复核</t>
        </is>
      </c>
      <c r="J94" s="150" t="n"/>
      <c r="K94" s="150" t="n"/>
      <c r="L94" s="150" t="inlineStr">
        <is>
          <t>EV_CENTRIFUGAL_FAN_CATEGORY</t>
        </is>
      </c>
      <c r="M94" s="150" t="inlineStr">
        <is>
          <t>去首尾空格；全角转半角；保留原值，不自动改写</t>
        </is>
      </c>
      <c r="N94" s="150" t="inlineStr">
        <is>
          <t>异常时写入自动备注；不改写原值</t>
        </is>
      </c>
      <c r="O94" s="150" t="inlineStr">
        <is>
          <t>GB 19761-2020</t>
        </is>
      </c>
      <c r="P94" s="150" t="inlineStr">
        <is>
          <t>表1～表4</t>
        </is>
      </c>
    </row>
    <row r="95">
      <c r="A95" s="150" t="inlineStr">
        <is>
          <t>离心通风机</t>
        </is>
      </c>
      <c r="B95" s="150" t="inlineStr">
        <is>
          <t>transmission</t>
        </is>
      </c>
      <c r="C95" s="150" t="inlineStr">
        <is>
          <t>传动方式</t>
        </is>
      </c>
      <c r="D95" s="150" t="inlineStr">
        <is>
          <t>设备参数</t>
        </is>
      </c>
      <c r="E95" s="150" t="inlineStr">
        <is>
          <t>文本</t>
        </is>
      </c>
      <c r="F95" s="150" t="inlineStr">
        <is>
          <t>-</t>
        </is>
      </c>
      <c r="G95" s="150" t="inlineStr">
        <is>
          <t>是</t>
        </is>
      </c>
      <c r="H95" s="150" t="inlineStr">
        <is>
          <t>整行启用时必填</t>
        </is>
      </c>
      <c r="I95" s="150" t="inlineStr">
        <is>
          <t>停止型下拉；粘贴后由自动备注复核</t>
        </is>
      </c>
      <c r="J95" s="150" t="n"/>
      <c r="K95" s="150" t="n"/>
      <c r="L95" s="150" t="inlineStr">
        <is>
          <t>EV_TRANSMISSION</t>
        </is>
      </c>
      <c r="M95" s="150" t="inlineStr">
        <is>
          <t>去首尾空格；全角转半角；保留原值，不自动改写</t>
        </is>
      </c>
      <c r="N95" s="150" t="inlineStr">
        <is>
          <t>异常时写入自动备注；不改写原值</t>
        </is>
      </c>
      <c r="O95" s="150" t="inlineStr">
        <is>
          <t>GB 19761-2020</t>
        </is>
      </c>
      <c r="P95" s="150" t="inlineStr">
        <is>
          <t>表1～表4</t>
        </is>
      </c>
    </row>
    <row r="96">
      <c r="A96" s="150" t="inlineStr">
        <is>
          <t>离心通风机</t>
        </is>
      </c>
      <c r="B96" s="150" t="inlineStr">
        <is>
          <t>suction</t>
        </is>
      </c>
      <c r="C96" s="150" t="inlineStr">
        <is>
          <t>单双吸</t>
        </is>
      </c>
      <c r="D96" s="150" t="inlineStr">
        <is>
          <t>设备参数</t>
        </is>
      </c>
      <c r="E96" s="150" t="inlineStr">
        <is>
          <t>文本</t>
        </is>
      </c>
      <c r="F96" s="150" t="inlineStr">
        <is>
          <t>-</t>
        </is>
      </c>
      <c r="G96" s="150" t="inlineStr">
        <is>
          <t>是</t>
        </is>
      </c>
      <c r="H96" s="150" t="inlineStr">
        <is>
          <t>离心通风机条件必填</t>
        </is>
      </c>
      <c r="I96" s="150" t="inlineStr">
        <is>
          <t>停止型下拉；粘贴后由自动备注复核</t>
        </is>
      </c>
      <c r="J96" s="150" t="n"/>
      <c r="K96" s="150" t="n"/>
      <c r="L96" s="150" t="inlineStr">
        <is>
          <t>EV_SUCTION</t>
        </is>
      </c>
      <c r="M96" s="150" t="inlineStr">
        <is>
          <t>去首尾空格；全角转半角；保留原值，不自动改写</t>
        </is>
      </c>
      <c r="N96" s="150" t="inlineStr">
        <is>
          <t>异常时写入自动备注；不改写原值</t>
        </is>
      </c>
      <c r="O96" s="150" t="inlineStr">
        <is>
          <t>GB 19761-2020</t>
        </is>
      </c>
      <c r="P96" s="150" t="inlineStr">
        <is>
          <t>表1～表4</t>
        </is>
      </c>
    </row>
    <row r="97">
      <c r="A97" s="150" t="inlineStr">
        <is>
          <t>离心通风机</t>
        </is>
      </c>
      <c r="B97" s="150" t="inlineStr">
        <is>
          <t>hvac_use</t>
        </is>
      </c>
      <c r="C97" s="150" t="inlineStr">
        <is>
          <t>是否暖通空调用</t>
        </is>
      </c>
      <c r="D97" s="150" t="inlineStr">
        <is>
          <t>设备参数</t>
        </is>
      </c>
      <c r="E97" s="150" t="inlineStr">
        <is>
          <t>文本</t>
        </is>
      </c>
      <c r="F97" s="150" t="inlineStr">
        <is>
          <t>-</t>
        </is>
      </c>
      <c r="G97" s="150" t="inlineStr">
        <is>
          <t>是</t>
        </is>
      </c>
      <c r="H97" s="150" t="inlineStr">
        <is>
          <t>整行启用时必填</t>
        </is>
      </c>
      <c r="I97" s="150" t="inlineStr">
        <is>
          <t>停止型下拉；粘贴后由自动备注复核</t>
        </is>
      </c>
      <c r="J97" s="150" t="n"/>
      <c r="K97" s="150" t="n"/>
      <c r="L97" s="150" t="inlineStr">
        <is>
          <t>EV_YES_NO</t>
        </is>
      </c>
      <c r="M97" s="150" t="inlineStr">
        <is>
          <t>去首尾空格；全角转半角；保留原值，不自动改写</t>
        </is>
      </c>
      <c r="N97" s="150" t="inlineStr">
        <is>
          <t>异常时写入自动备注；不改写原值</t>
        </is>
      </c>
      <c r="O97" s="150" t="inlineStr">
        <is>
          <t>GB 19761-2020</t>
        </is>
      </c>
      <c r="P97" s="150" t="inlineStr">
        <is>
          <t>表1～表4</t>
        </is>
      </c>
    </row>
    <row r="98">
      <c r="A98" s="150" t="inlineStr">
        <is>
          <t>离心通风机</t>
        </is>
      </c>
      <c r="B98" s="150" t="inlineStr">
        <is>
          <t>inlet_box</t>
        </is>
      </c>
      <c r="C98" s="150" t="inlineStr">
        <is>
          <t>是否带进气箱</t>
        </is>
      </c>
      <c r="D98" s="150" t="inlineStr">
        <is>
          <t>设备参数</t>
        </is>
      </c>
      <c r="E98" s="150" t="inlineStr">
        <is>
          <t>文本</t>
        </is>
      </c>
      <c r="F98" s="150" t="inlineStr">
        <is>
          <t>-</t>
        </is>
      </c>
      <c r="G98" s="150" t="inlineStr">
        <is>
          <t>是</t>
        </is>
      </c>
      <c r="H98" s="150" t="inlineStr">
        <is>
          <t>整行启用时必填</t>
        </is>
      </c>
      <c r="I98" s="150" t="inlineStr">
        <is>
          <t>停止型下拉；粘贴后由自动备注复核</t>
        </is>
      </c>
      <c r="J98" s="150" t="n"/>
      <c r="K98" s="150" t="n"/>
      <c r="L98" s="150" t="inlineStr">
        <is>
          <t>EV_YES_NO</t>
        </is>
      </c>
      <c r="M98" s="150" t="inlineStr">
        <is>
          <t>去首尾空格；全角转半角；保留原值，不自动改写</t>
        </is>
      </c>
      <c r="N98" s="150" t="inlineStr">
        <is>
          <t>异常时写入自动备注；不改写原值</t>
        </is>
      </c>
      <c r="O98" s="150" t="inlineStr">
        <is>
          <t>GB 19761-2020</t>
        </is>
      </c>
      <c r="P98" s="150" t="inlineStr">
        <is>
          <t>表1～表4</t>
        </is>
      </c>
    </row>
    <row r="99">
      <c r="A99" s="150" t="inlineStr">
        <is>
          <t>离心通风机</t>
        </is>
      </c>
      <c r="B99" s="150" t="inlineStr">
        <is>
          <t>flow</t>
        </is>
      </c>
      <c r="C99" s="150" t="inlineStr">
        <is>
          <t>流量</t>
        </is>
      </c>
      <c r="D99" s="150" t="inlineStr">
        <is>
          <t>设备参数</t>
        </is>
      </c>
      <c r="E99" s="150" t="inlineStr">
        <is>
          <t>数值</t>
        </is>
      </c>
      <c r="F99" s="150" t="inlineStr">
        <is>
          <t>m³/h</t>
        </is>
      </c>
      <c r="G99" s="150" t="inlineStr">
        <is>
          <t>是</t>
        </is>
      </c>
      <c r="H99" s="150" t="inlineStr">
        <is>
          <t>整行启用时必填</t>
        </is>
      </c>
      <c r="I99" s="150" t="inlineStr">
        <is>
          <t>数值&gt;0</t>
        </is>
      </c>
      <c r="J99" s="150" t="n">
        <v>0</v>
      </c>
      <c r="K99" s="150" t="n"/>
      <c r="L99" s="150" t="str"/>
      <c r="M99" s="150" t="inlineStr">
        <is>
          <t>去首尾空格；全角转半角；保留原值，不自动改写</t>
        </is>
      </c>
      <c r="N99" s="150" t="inlineStr">
        <is>
          <t>异常时写入自动备注；不改写原值</t>
        </is>
      </c>
      <c r="O99" s="150" t="inlineStr">
        <is>
          <t>GB 19761-2020</t>
        </is>
      </c>
      <c r="P99" s="150" t="inlineStr">
        <is>
          <t>表1～表4</t>
        </is>
      </c>
    </row>
    <row r="100">
      <c r="A100" s="150" t="inlineStr">
        <is>
          <t>离心通风机</t>
        </is>
      </c>
      <c r="B100" s="150" t="inlineStr">
        <is>
          <t>fan_pressure</t>
        </is>
      </c>
      <c r="C100" s="150" t="inlineStr">
        <is>
          <t>风机压力pF</t>
        </is>
      </c>
      <c r="D100" s="150" t="inlineStr">
        <is>
          <t>设备参数</t>
        </is>
      </c>
      <c r="E100" s="150" t="inlineStr">
        <is>
          <t>数值</t>
        </is>
      </c>
      <c r="F100" s="150" t="inlineStr">
        <is>
          <t>Pa</t>
        </is>
      </c>
      <c r="G100" s="150" t="inlineStr">
        <is>
          <t>是</t>
        </is>
      </c>
      <c r="H100" s="150" t="inlineStr">
        <is>
          <t>整行启用时必填</t>
        </is>
      </c>
      <c r="I100" s="150" t="inlineStr">
        <is>
          <t>数值&gt;0</t>
        </is>
      </c>
      <c r="J100" s="150" t="n">
        <v>0</v>
      </c>
      <c r="K100" s="150" t="n"/>
      <c r="L100" s="150" t="str"/>
      <c r="M100" s="150" t="inlineStr">
        <is>
          <t>去首尾空格；全角转半角；保留原值，不自动改写</t>
        </is>
      </c>
      <c r="N100" s="150" t="inlineStr">
        <is>
          <t>异常时写入自动备注；不改写原值</t>
        </is>
      </c>
      <c r="O100" s="150" t="inlineStr">
        <is>
          <t>GB 19761-2020</t>
        </is>
      </c>
      <c r="P100" s="150" t="inlineStr">
        <is>
          <t>表1～表4</t>
        </is>
      </c>
    </row>
    <row r="101">
      <c r="A101" s="150" t="inlineStr">
        <is>
          <t>离心通风机</t>
        </is>
      </c>
      <c r="B101" s="150" t="inlineStr">
        <is>
          <t>outlet_stag_pressure</t>
        </is>
      </c>
      <c r="C101" s="150" t="inlineStr">
        <is>
          <t>出口滞止压力</t>
        </is>
      </c>
      <c r="D101" s="150" t="inlineStr">
        <is>
          <t>设备参数</t>
        </is>
      </c>
      <c r="E101" s="150" t="inlineStr">
        <is>
          <t>数值</t>
        </is>
      </c>
      <c r="F101" s="150" t="inlineStr">
        <is>
          <t>Pa</t>
        </is>
      </c>
      <c r="G101" s="150" t="inlineStr">
        <is>
          <t>是</t>
        </is>
      </c>
      <c r="H101" s="150" t="inlineStr">
        <is>
          <t>整行启用时必填</t>
        </is>
      </c>
      <c r="I101" s="150" t="inlineStr">
        <is>
          <t>数值&gt;0</t>
        </is>
      </c>
      <c r="J101" s="150" t="n">
        <v>0</v>
      </c>
      <c r="K101" s="150" t="n"/>
      <c r="L101" s="150" t="str"/>
      <c r="M101" s="150" t="inlineStr">
        <is>
          <t>去首尾空格；全角转半角；保留原值，不自动改写</t>
        </is>
      </c>
      <c r="N101" s="150" t="inlineStr">
        <is>
          <t>异常时写入自动备注；不改写原值</t>
        </is>
      </c>
      <c r="O101" s="150" t="inlineStr">
        <is>
          <t>GB 19761-2020</t>
        </is>
      </c>
      <c r="P101" s="150" t="inlineStr">
        <is>
          <t>表1～表4</t>
        </is>
      </c>
    </row>
    <row r="102">
      <c r="A102" s="150" t="inlineStr">
        <is>
          <t>离心通风机</t>
        </is>
      </c>
      <c r="B102" s="150" t="inlineStr">
        <is>
          <t>inlet_stag_pressure</t>
        </is>
      </c>
      <c r="C102" s="150" t="inlineStr">
        <is>
          <t>进口滞止压力</t>
        </is>
      </c>
      <c r="D102" s="150" t="inlineStr">
        <is>
          <t>设备参数</t>
        </is>
      </c>
      <c r="E102" s="150" t="inlineStr">
        <is>
          <t>数值</t>
        </is>
      </c>
      <c r="F102" s="150" t="inlineStr">
        <is>
          <t>Pa</t>
        </is>
      </c>
      <c r="G102" s="150" t="inlineStr">
        <is>
          <t>是</t>
        </is>
      </c>
      <c r="H102" s="150" t="inlineStr">
        <is>
          <t>整行启用时必填</t>
        </is>
      </c>
      <c r="I102" s="150" t="inlineStr">
        <is>
          <t>数值&gt;0</t>
        </is>
      </c>
      <c r="J102" s="150" t="n">
        <v>0</v>
      </c>
      <c r="K102" s="150" t="n"/>
      <c r="L102" s="150" t="str"/>
      <c r="M102" s="150" t="inlineStr">
        <is>
          <t>去首尾空格；全角转半角；保留原值，不自动改写</t>
        </is>
      </c>
      <c r="N102" s="150" t="inlineStr">
        <is>
          <t>异常时写入自动备注；不改写原值</t>
        </is>
      </c>
      <c r="O102" s="150" t="inlineStr">
        <is>
          <t>GB 19761-2020</t>
        </is>
      </c>
      <c r="P102" s="150" t="inlineStr">
        <is>
          <t>表1～表4</t>
        </is>
      </c>
    </row>
    <row r="103">
      <c r="A103" s="150" t="inlineStr">
        <is>
          <t>离心通风机</t>
        </is>
      </c>
      <c r="B103" s="150" t="inlineStr">
        <is>
          <t>rated_power</t>
        </is>
      </c>
      <c r="C103" s="150" t="inlineStr">
        <is>
          <t>额定功率</t>
        </is>
      </c>
      <c r="D103" s="150" t="inlineStr">
        <is>
          <t>设备参数</t>
        </is>
      </c>
      <c r="E103" s="150" t="inlineStr">
        <is>
          <t>数值</t>
        </is>
      </c>
      <c r="F103" s="150" t="inlineStr">
        <is>
          <t>kW</t>
        </is>
      </c>
      <c r="G103" s="150" t="inlineStr">
        <is>
          <t>是</t>
        </is>
      </c>
      <c r="H103" s="150" t="inlineStr">
        <is>
          <t>整行启用时必填</t>
        </is>
      </c>
      <c r="I103" s="150" t="inlineStr">
        <is>
          <t>数值&gt;0</t>
        </is>
      </c>
      <c r="J103" s="150" t="n">
        <v>0</v>
      </c>
      <c r="K103" s="150" t="n"/>
      <c r="L103" s="150" t="str"/>
      <c r="M103" s="150" t="inlineStr">
        <is>
          <t>去首尾空格；全角转半角；保留原值，不自动改写</t>
        </is>
      </c>
      <c r="N103" s="150" t="inlineStr">
        <is>
          <t>异常时写入自动备注；不改写原值</t>
        </is>
      </c>
      <c r="O103" s="150" t="inlineStr">
        <is>
          <t>GB 19761-2020</t>
        </is>
      </c>
      <c r="P103" s="150" t="inlineStr">
        <is>
          <t>表1～表4</t>
        </is>
      </c>
    </row>
    <row r="104">
      <c r="A104" s="150" t="inlineStr">
        <is>
          <t>离心通风机</t>
        </is>
      </c>
      <c r="B104" s="150" t="inlineStr">
        <is>
          <t>impeller_power</t>
        </is>
      </c>
      <c r="C104" s="150" t="inlineStr">
        <is>
          <t>叶轮功率</t>
        </is>
      </c>
      <c r="D104" s="150" t="inlineStr">
        <is>
          <t>设备参数</t>
        </is>
      </c>
      <c r="E104" s="150" t="inlineStr">
        <is>
          <t>数值</t>
        </is>
      </c>
      <c r="F104" s="150" t="inlineStr">
        <is>
          <t>kW</t>
        </is>
      </c>
      <c r="G104" s="150" t="inlineStr">
        <is>
          <t>是</t>
        </is>
      </c>
      <c r="H104" s="150" t="inlineStr">
        <is>
          <t>整行启用时必填</t>
        </is>
      </c>
      <c r="I104" s="150" t="inlineStr">
        <is>
          <t>数值&gt;0</t>
        </is>
      </c>
      <c r="J104" s="150" t="n">
        <v>0</v>
      </c>
      <c r="K104" s="150" t="n"/>
      <c r="L104" s="150" t="str"/>
      <c r="M104" s="150" t="inlineStr">
        <is>
          <t>去首尾空格；全角转半角；保留原值，不自动改写</t>
        </is>
      </c>
      <c r="N104" s="150" t="inlineStr">
        <is>
          <t>异常时写入自动备注；不改写原值</t>
        </is>
      </c>
      <c r="O104" s="150" t="inlineStr">
        <is>
          <t>GB 19761-2020</t>
        </is>
      </c>
      <c r="P104" s="150" t="inlineStr">
        <is>
          <t>表1～表4</t>
        </is>
      </c>
    </row>
    <row r="105">
      <c r="A105" s="150" t="inlineStr">
        <is>
          <t>离心通风机</t>
        </is>
      </c>
      <c r="B105" s="150" t="inlineStr">
        <is>
          <t>speed</t>
        </is>
      </c>
      <c r="C105" s="150" t="inlineStr">
        <is>
          <t>转速</t>
        </is>
      </c>
      <c r="D105" s="150" t="inlineStr">
        <is>
          <t>设备参数</t>
        </is>
      </c>
      <c r="E105" s="150" t="inlineStr">
        <is>
          <t>数值</t>
        </is>
      </c>
      <c r="F105" s="150" t="inlineStr">
        <is>
          <t>r/min</t>
        </is>
      </c>
      <c r="G105" s="150" t="inlineStr">
        <is>
          <t>是</t>
        </is>
      </c>
      <c r="H105" s="150" t="inlineStr">
        <is>
          <t>整行启用时必填</t>
        </is>
      </c>
      <c r="I105" s="150" t="inlineStr">
        <is>
          <t>数值&gt;0</t>
        </is>
      </c>
      <c r="J105" s="150" t="n">
        <v>0</v>
      </c>
      <c r="K105" s="150" t="n"/>
      <c r="L105" s="150" t="str"/>
      <c r="M105" s="150" t="inlineStr">
        <is>
          <t>去首尾空格；全角转半角；保留原值，不自动改写</t>
        </is>
      </c>
      <c r="N105" s="150" t="inlineStr">
        <is>
          <t>异常时写入自动备注；不改写原值</t>
        </is>
      </c>
      <c r="O105" s="150" t="inlineStr">
        <is>
          <t>GB 19761-2020</t>
        </is>
      </c>
      <c r="P105" s="150" t="inlineStr">
        <is>
          <t>表1～表4</t>
        </is>
      </c>
    </row>
    <row r="106">
      <c r="A106" s="150" t="inlineStr">
        <is>
          <t>离心通风机</t>
        </is>
      </c>
      <c r="B106" s="150" t="inlineStr">
        <is>
          <t>machine_no</t>
        </is>
      </c>
      <c r="C106" s="150" t="inlineStr">
        <is>
          <t>机号</t>
        </is>
      </c>
      <c r="D106" s="150" t="inlineStr">
        <is>
          <t>设备参数</t>
        </is>
      </c>
      <c r="E106" s="150" t="inlineStr">
        <is>
          <t>数值</t>
        </is>
      </c>
      <c r="F106" s="150" t="inlineStr">
        <is>
          <t>No.</t>
        </is>
      </c>
      <c r="G106" s="150" t="inlineStr">
        <is>
          <t>是</t>
        </is>
      </c>
      <c r="H106" s="150" t="inlineStr">
        <is>
          <t>整行启用时必填</t>
        </is>
      </c>
      <c r="I106" s="150" t="inlineStr">
        <is>
          <t>数值&gt;0</t>
        </is>
      </c>
      <c r="J106" s="150" t="n">
        <v>0</v>
      </c>
      <c r="K106" s="150" t="n"/>
      <c r="L106" s="150" t="str"/>
      <c r="M106" s="150" t="inlineStr">
        <is>
          <t>去首尾空格；全角转半角；保留原值，不自动改写</t>
        </is>
      </c>
      <c r="N106" s="150" t="inlineStr">
        <is>
          <t>异常时写入自动备注；不改写原值</t>
        </is>
      </c>
      <c r="O106" s="150" t="inlineStr">
        <is>
          <t>GB 19761-2020</t>
        </is>
      </c>
      <c r="P106" s="150" t="inlineStr">
        <is>
          <t>表1～表4</t>
        </is>
      </c>
    </row>
    <row r="107">
      <c r="A107" s="150" t="inlineStr">
        <is>
          <t>离心通风机</t>
        </is>
      </c>
      <c r="B107" s="150" t="inlineStr">
        <is>
          <t>density</t>
        </is>
      </c>
      <c r="C107" s="150" t="inlineStr">
        <is>
          <t>进口滞止密度</t>
        </is>
      </c>
      <c r="D107" s="150" t="inlineStr">
        <is>
          <t>设备参数</t>
        </is>
      </c>
      <c r="E107" s="150" t="inlineStr">
        <is>
          <t>数值</t>
        </is>
      </c>
      <c r="F107" s="150" t="inlineStr">
        <is>
          <t>kg/m³</t>
        </is>
      </c>
      <c r="G107" s="150" t="inlineStr">
        <is>
          <t>是</t>
        </is>
      </c>
      <c r="H107" s="150" t="inlineStr">
        <is>
          <t>整行启用时必填</t>
        </is>
      </c>
      <c r="I107" s="150" t="inlineStr">
        <is>
          <t>数值&gt;0</t>
        </is>
      </c>
      <c r="J107" s="150" t="n">
        <v>0</v>
      </c>
      <c r="K107" s="150" t="n"/>
      <c r="L107" s="150" t="str"/>
      <c r="M107" s="150" t="inlineStr">
        <is>
          <t>去首尾空格；全角转半角；保留原值，不自动改写</t>
        </is>
      </c>
      <c r="N107" s="150" t="inlineStr">
        <is>
          <t>异常时写入自动备注；不改写原值</t>
        </is>
      </c>
      <c r="O107" s="150" t="inlineStr">
        <is>
          <t>GB 19761-2020</t>
        </is>
      </c>
      <c r="P107" s="150" t="inlineStr">
        <is>
          <t>表1～表4</t>
        </is>
      </c>
    </row>
    <row r="108">
      <c r="A108" s="150" t="inlineStr">
        <is>
          <t>离心通风机</t>
        </is>
      </c>
      <c r="B108" s="150" t="inlineStr">
        <is>
          <t>isentropic_k</t>
        </is>
      </c>
      <c r="C108" s="150" t="inlineStr">
        <is>
          <t>等熵指数k</t>
        </is>
      </c>
      <c r="D108" s="150" t="inlineStr">
        <is>
          <t>设备参数</t>
        </is>
      </c>
      <c r="E108" s="150" t="inlineStr">
        <is>
          <t>数值</t>
        </is>
      </c>
      <c r="F108" s="150" t="inlineStr">
        <is>
          <t>-</t>
        </is>
      </c>
      <c r="G108" s="150" t="inlineStr">
        <is>
          <t>是</t>
        </is>
      </c>
      <c r="H108" s="150" t="inlineStr">
        <is>
          <t>整行启用时必填</t>
        </is>
      </c>
      <c r="I108" s="150" t="inlineStr">
        <is>
          <t>1～2</t>
        </is>
      </c>
      <c r="J108" s="150" t="n">
        <v>1</v>
      </c>
      <c r="K108" s="150" t="n">
        <v>2</v>
      </c>
      <c r="L108" s="150" t="str"/>
      <c r="M108" s="150" t="inlineStr">
        <is>
          <t>去首尾空格；全角转半角；保留原值，不自动改写</t>
        </is>
      </c>
      <c r="N108" s="150" t="inlineStr">
        <is>
          <t>异常时写入自动备注；不改写原值</t>
        </is>
      </c>
      <c r="O108" s="150" t="inlineStr">
        <is>
          <t>GB 19761-2020</t>
        </is>
      </c>
      <c r="P108" s="150" t="inlineStr">
        <is>
          <t>表1～表4</t>
        </is>
      </c>
    </row>
    <row r="109">
      <c r="A109" s="150" t="inlineStr">
        <is>
          <t>离心通风机</t>
        </is>
      </c>
      <c r="B109" s="150" t="inlineStr">
        <is>
          <t>design_efficiency</t>
        </is>
      </c>
      <c r="C109" s="150" t="inlineStr">
        <is>
          <t>最高通风机效率ηr</t>
        </is>
      </c>
      <c r="D109" s="150" t="inlineStr">
        <is>
          <t>设备参数</t>
        </is>
      </c>
      <c r="E109" s="150" t="inlineStr">
        <is>
          <t>数值</t>
        </is>
      </c>
      <c r="F109" s="150" t="inlineStr">
        <is>
          <t>%</t>
        </is>
      </c>
      <c r="G109" s="150" t="inlineStr">
        <is>
          <t>是</t>
        </is>
      </c>
      <c r="H109" s="150" t="inlineStr">
        <is>
          <t>整行启用时必填</t>
        </is>
      </c>
      <c r="I109" s="150" t="inlineStr">
        <is>
          <t>百分数本值1～100</t>
        </is>
      </c>
      <c r="J109" s="150" t="n">
        <v>1</v>
      </c>
      <c r="K109" s="150" t="n">
        <v>100</v>
      </c>
      <c r="L109" s="150" t="str"/>
      <c r="M109" s="150" t="inlineStr">
        <is>
          <t>按GB 19761-2020稳定工作区最高通风机效率ηr填写</t>
        </is>
      </c>
      <c r="N109" s="150" t="inlineStr">
        <is>
          <t>离心通风机按单双吸、暖通、进气箱及传动方式应用标准修正</t>
        </is>
      </c>
      <c r="O109" s="150" t="inlineStr">
        <is>
          <t>GB 19761-2020</t>
        </is>
      </c>
      <c r="P109" s="150" t="inlineStr">
        <is>
          <t>表1～表4</t>
        </is>
      </c>
    </row>
    <row r="110">
      <c r="A110" s="150" t="inlineStr">
        <is>
          <t>离心通风机</t>
        </is>
      </c>
      <c r="B110" s="150" t="inlineStr">
        <is>
          <t>compression_correction</t>
        </is>
      </c>
      <c r="C110" s="150" t="inlineStr">
        <is>
          <t>压缩性修正系数</t>
        </is>
      </c>
      <c r="D110" s="150" t="inlineStr">
        <is>
          <t>计算辅助结果</t>
        </is>
      </c>
      <c r="E110" s="150" t="inlineStr">
        <is>
          <t>文本</t>
        </is>
      </c>
      <c r="F110" s="150" t="inlineStr">
        <is>
          <t>-</t>
        </is>
      </c>
      <c r="G110" s="150" t="inlineStr">
        <is>
          <t>否</t>
        </is>
      </c>
      <c r="H110" s="150" t="inlineStr">
        <is>
          <t>本阶段锁定预留</t>
        </is>
      </c>
      <c r="I110" s="150" t="inlineStr">
        <is>
          <t>无</t>
        </is>
      </c>
      <c r="J110" s="150" t="n"/>
      <c r="K110" s="150" t="n"/>
      <c r="L110" s="150" t="str"/>
      <c r="M110" s="150" t="inlineStr">
        <is>
          <t>锁定预留，不清洗</t>
        </is>
      </c>
      <c r="N110" s="150" t="inlineStr">
        <is>
          <t>本阶段不查询、不判定</t>
        </is>
      </c>
      <c r="O110" s="150" t="inlineStr">
        <is>
          <t>GB 19761-2020</t>
        </is>
      </c>
      <c r="P110" s="150" t="inlineStr">
        <is>
          <t>表1～表4</t>
        </is>
      </c>
    </row>
    <row r="111">
      <c r="A111" s="150" t="inlineStr">
        <is>
          <t>离心通风机</t>
        </is>
      </c>
      <c r="B111" s="150" t="inlineStr">
        <is>
          <t>circum_speed</t>
        </is>
      </c>
      <c r="C111" s="150" t="inlineStr">
        <is>
          <t>叶轮圆周速度</t>
        </is>
      </c>
      <c r="D111" s="150" t="inlineStr">
        <is>
          <t>计算辅助结果</t>
        </is>
      </c>
      <c r="E111" s="150" t="inlineStr">
        <is>
          <t>数值</t>
        </is>
      </c>
      <c r="F111" s="150" t="inlineStr">
        <is>
          <t>m/s</t>
        </is>
      </c>
      <c r="G111" s="150" t="inlineStr">
        <is>
          <t>否</t>
        </is>
      </c>
      <c r="H111" s="150" t="inlineStr">
        <is>
          <t>本阶段锁定预留</t>
        </is>
      </c>
      <c r="I111" s="150" t="inlineStr">
        <is>
          <t>无</t>
        </is>
      </c>
      <c r="J111" s="150" t="n"/>
      <c r="K111" s="150" t="n"/>
      <c r="L111" s="150" t="str"/>
      <c r="M111" s="150" t="inlineStr">
        <is>
          <t>锁定预留，不清洗</t>
        </is>
      </c>
      <c r="N111" s="150" t="inlineStr">
        <is>
          <t>本阶段不查询、不判定</t>
        </is>
      </c>
      <c r="O111" s="150" t="inlineStr">
        <is>
          <t>GB 19761-2020</t>
        </is>
      </c>
      <c r="P111" s="150" t="inlineStr">
        <is>
          <t>表1～表4</t>
        </is>
      </c>
    </row>
    <row r="112">
      <c r="A112" s="150" t="inlineStr">
        <is>
          <t>离心通风机</t>
        </is>
      </c>
      <c r="B112" s="150" t="inlineStr">
        <is>
          <t>pressure_coefficient</t>
        </is>
      </c>
      <c r="C112" s="150" t="inlineStr">
        <is>
          <t>压力系数</t>
        </is>
      </c>
      <c r="D112" s="150" t="inlineStr">
        <is>
          <t>计算辅助结果</t>
        </is>
      </c>
      <c r="E112" s="150" t="inlineStr">
        <is>
          <t>文本</t>
        </is>
      </c>
      <c r="F112" s="150" t="inlineStr">
        <is>
          <t>-</t>
        </is>
      </c>
      <c r="G112" s="150" t="inlineStr">
        <is>
          <t>否</t>
        </is>
      </c>
      <c r="H112" s="150" t="inlineStr">
        <is>
          <t>本阶段锁定预留</t>
        </is>
      </c>
      <c r="I112" s="150" t="inlineStr">
        <is>
          <t>无</t>
        </is>
      </c>
      <c r="J112" s="150" t="n"/>
      <c r="K112" s="150" t="n"/>
      <c r="L112" s="150" t="str"/>
      <c r="M112" s="150" t="inlineStr">
        <is>
          <t>锁定预留，不清洗</t>
        </is>
      </c>
      <c r="N112" s="150" t="inlineStr">
        <is>
          <t>本阶段不查询、不判定</t>
        </is>
      </c>
      <c r="O112" s="150" t="inlineStr">
        <is>
          <t>GB 19761-2020</t>
        </is>
      </c>
      <c r="P112" s="150" t="inlineStr">
        <is>
          <t>表1～表4</t>
        </is>
      </c>
    </row>
    <row r="113">
      <c r="A113" s="150" t="inlineStr">
        <is>
          <t>离心通风机</t>
        </is>
      </c>
      <c r="B113" s="150" t="inlineStr">
        <is>
          <t>specific_speed</t>
        </is>
      </c>
      <c r="C113" s="150" t="inlineStr">
        <is>
          <t>比转速</t>
        </is>
      </c>
      <c r="D113" s="150" t="inlineStr">
        <is>
          <t>计算辅助结果</t>
        </is>
      </c>
      <c r="E113" s="150" t="inlineStr">
        <is>
          <t>文本</t>
        </is>
      </c>
      <c r="F113" s="150" t="inlineStr">
        <is>
          <t>-</t>
        </is>
      </c>
      <c r="G113" s="150" t="inlineStr">
        <is>
          <t>否</t>
        </is>
      </c>
      <c r="H113" s="150" t="inlineStr">
        <is>
          <t>本阶段锁定预留</t>
        </is>
      </c>
      <c r="I113" s="150" t="inlineStr">
        <is>
          <t>无</t>
        </is>
      </c>
      <c r="J113" s="150" t="n"/>
      <c r="K113" s="150" t="n"/>
      <c r="L113" s="150" t="str"/>
      <c r="M113" s="150" t="inlineStr">
        <is>
          <t>锁定预留，不清洗</t>
        </is>
      </c>
      <c r="N113" s="150" t="inlineStr">
        <is>
          <t>本阶段不查询、不判定</t>
        </is>
      </c>
      <c r="O113" s="150" t="inlineStr">
        <is>
          <t>GB 19761-2020</t>
        </is>
      </c>
      <c r="P113" s="150" t="inlineStr">
        <is>
          <t>表1～表4</t>
        </is>
      </c>
    </row>
    <row r="114">
      <c r="A114" s="150" t="inlineStr">
        <is>
          <t>离心通风机</t>
        </is>
      </c>
      <c r="B114" s="150" t="inlineStr">
        <is>
          <t>grade1</t>
        </is>
      </c>
      <c r="C114" s="150" t="inlineStr">
        <is>
          <t>1级效率</t>
        </is>
      </c>
      <c r="D114" s="150" t="inlineStr">
        <is>
          <t>标准查询结果</t>
        </is>
      </c>
      <c r="E114" s="150" t="inlineStr">
        <is>
          <t>数值</t>
        </is>
      </c>
      <c r="F114" s="150" t="inlineStr">
        <is>
          <t>%</t>
        </is>
      </c>
      <c r="G114" s="150" t="inlineStr">
        <is>
          <t>否</t>
        </is>
      </c>
      <c r="H114" s="150" t="inlineStr">
        <is>
          <t>本阶段锁定预留</t>
        </is>
      </c>
      <c r="I114" s="150" t="inlineStr">
        <is>
          <t>无</t>
        </is>
      </c>
      <c r="J114" s="150" t="n"/>
      <c r="K114" s="150" t="n"/>
      <c r="L114" s="150" t="str"/>
      <c r="M114" s="150" t="inlineStr">
        <is>
          <t>锁定预留，不清洗</t>
        </is>
      </c>
      <c r="N114" s="150" t="inlineStr">
        <is>
          <t>本阶段不查询、不判定</t>
        </is>
      </c>
      <c r="O114" s="150" t="inlineStr">
        <is>
          <t>GB 19761-2020</t>
        </is>
      </c>
      <c r="P114" s="150" t="inlineStr">
        <is>
          <t>表1～表4</t>
        </is>
      </c>
    </row>
    <row r="115">
      <c r="A115" s="150" t="inlineStr">
        <is>
          <t>离心通风机</t>
        </is>
      </c>
      <c r="B115" s="150" t="inlineStr">
        <is>
          <t>grade2</t>
        </is>
      </c>
      <c r="C115" s="150" t="inlineStr">
        <is>
          <t>2级效率</t>
        </is>
      </c>
      <c r="D115" s="150" t="inlineStr">
        <is>
          <t>标准查询结果</t>
        </is>
      </c>
      <c r="E115" s="150" t="inlineStr">
        <is>
          <t>数值</t>
        </is>
      </c>
      <c r="F115" s="150" t="inlineStr">
        <is>
          <t>%</t>
        </is>
      </c>
      <c r="G115" s="150" t="inlineStr">
        <is>
          <t>否</t>
        </is>
      </c>
      <c r="H115" s="150" t="inlineStr">
        <is>
          <t>本阶段锁定预留</t>
        </is>
      </c>
      <c r="I115" s="150" t="inlineStr">
        <is>
          <t>无</t>
        </is>
      </c>
      <c r="J115" s="150" t="n"/>
      <c r="K115" s="150" t="n"/>
      <c r="L115" s="150" t="str"/>
      <c r="M115" s="150" t="inlineStr">
        <is>
          <t>锁定预留，不清洗</t>
        </is>
      </c>
      <c r="N115" s="150" t="inlineStr">
        <is>
          <t>本阶段不查询、不判定</t>
        </is>
      </c>
      <c r="O115" s="150" t="inlineStr">
        <is>
          <t>GB 19761-2020</t>
        </is>
      </c>
      <c r="P115" s="150" t="inlineStr">
        <is>
          <t>表1～表4</t>
        </is>
      </c>
    </row>
    <row r="116">
      <c r="A116" s="150" t="inlineStr">
        <is>
          <t>离心通风机</t>
        </is>
      </c>
      <c r="B116" s="150" t="inlineStr">
        <is>
          <t>grade3</t>
        </is>
      </c>
      <c r="C116" s="150" t="inlineStr">
        <is>
          <t>3级效率</t>
        </is>
      </c>
      <c r="D116" s="150" t="inlineStr">
        <is>
          <t>标准查询结果</t>
        </is>
      </c>
      <c r="E116" s="150" t="inlineStr">
        <is>
          <t>数值</t>
        </is>
      </c>
      <c r="F116" s="150" t="inlineStr">
        <is>
          <t>%</t>
        </is>
      </c>
      <c r="G116" s="150" t="inlineStr">
        <is>
          <t>否</t>
        </is>
      </c>
      <c r="H116" s="150" t="inlineStr">
        <is>
          <t>本阶段锁定预留</t>
        </is>
      </c>
      <c r="I116" s="150" t="inlineStr">
        <is>
          <t>无</t>
        </is>
      </c>
      <c r="J116" s="150" t="n"/>
      <c r="K116" s="150" t="n"/>
      <c r="L116" s="150" t="str"/>
      <c r="M116" s="150" t="inlineStr">
        <is>
          <t>锁定预留，不清洗</t>
        </is>
      </c>
      <c r="N116" s="150" t="inlineStr">
        <is>
          <t>本阶段不查询、不判定</t>
        </is>
      </c>
      <c r="O116" s="150" t="inlineStr">
        <is>
          <t>GB 19761-2020</t>
        </is>
      </c>
      <c r="P116" s="150" t="inlineStr">
        <is>
          <t>表1～表4</t>
        </is>
      </c>
    </row>
    <row r="117">
      <c r="A117" s="150" t="inlineStr">
        <is>
          <t>离心通风机</t>
        </is>
      </c>
      <c r="B117" s="150" t="inlineStr">
        <is>
          <t>conclusion</t>
        </is>
      </c>
      <c r="C117" s="150" t="inlineStr">
        <is>
          <t>能效等级</t>
        </is>
      </c>
      <c r="D117" s="150" t="inlineStr">
        <is>
          <t>结论</t>
        </is>
      </c>
      <c r="E117" s="150" t="inlineStr">
        <is>
          <t>文本</t>
        </is>
      </c>
      <c r="F117" s="150" t="inlineStr">
        <is>
          <t>-</t>
        </is>
      </c>
      <c r="G117" s="150" t="inlineStr">
        <is>
          <t>否</t>
        </is>
      </c>
      <c r="H117" s="150" t="inlineStr">
        <is>
          <t>本阶段锁定预留</t>
        </is>
      </c>
      <c r="I117" s="150" t="inlineStr">
        <is>
          <t>无</t>
        </is>
      </c>
      <c r="J117" s="150" t="n"/>
      <c r="K117" s="150" t="n"/>
      <c r="L117" s="150" t="str"/>
      <c r="M117" s="150" t="inlineStr">
        <is>
          <t>锁定预留，不清洗</t>
        </is>
      </c>
      <c r="N117" s="150" t="inlineStr">
        <is>
          <t>本阶段不查询、不判定</t>
        </is>
      </c>
      <c r="O117" s="150" t="inlineStr">
        <is>
          <t>GB 19761-2020</t>
        </is>
      </c>
      <c r="P117" s="150" t="inlineStr">
        <is>
          <t>表1～表4</t>
        </is>
      </c>
    </row>
    <row r="118">
      <c r="A118" s="150" t="inlineStr">
        <is>
          <t>离心通风机</t>
        </is>
      </c>
      <c r="B118" s="150" t="inlineStr">
        <is>
          <t>photo</t>
        </is>
      </c>
      <c r="C118" s="150" t="inlineStr">
        <is>
          <t>铭牌照片</t>
        </is>
      </c>
      <c r="D118" s="150" t="inlineStr">
        <is>
          <t>附件备注</t>
        </is>
      </c>
      <c r="E118" s="150" t="inlineStr">
        <is>
          <t>图片</t>
        </is>
      </c>
      <c r="F118" s="150" t="inlineStr">
        <is>
          <t>-</t>
        </is>
      </c>
      <c r="G118" s="150" t="inlineStr">
        <is>
          <t>是</t>
        </is>
      </c>
      <c r="H118" s="150" t="inlineStr">
        <is>
          <t>整行启用时必填</t>
        </is>
      </c>
      <c r="I118" s="150" t="inlineStr">
        <is>
          <t>无</t>
        </is>
      </c>
      <c r="J118" s="150" t="n"/>
      <c r="K118" s="150" t="n"/>
      <c r="L118" s="150" t="str"/>
      <c r="M118" s="150" t="inlineStr">
        <is>
          <t>仅接受Excel“置于单元格”图片；不接受浮动图片</t>
        </is>
      </c>
      <c r="N118" s="150" t="inlineStr">
        <is>
          <t>为空时提示缺少铭牌照片</t>
        </is>
      </c>
      <c r="O118" s="150" t="inlineStr">
        <is>
          <t>GB 19761-2020</t>
        </is>
      </c>
      <c r="P118" s="150" t="inlineStr">
        <is>
          <t>表1～表4</t>
        </is>
      </c>
    </row>
    <row r="119">
      <c r="A119" s="150" t="inlineStr">
        <is>
          <t>离心通风机</t>
        </is>
      </c>
      <c r="B119" s="150" t="inlineStr">
        <is>
          <t>fill_note</t>
        </is>
      </c>
      <c r="C119" s="150" t="inlineStr">
        <is>
          <t>填表备注</t>
        </is>
      </c>
      <c r="D119" s="150" t="inlineStr">
        <is>
          <t>附件备注</t>
        </is>
      </c>
      <c r="E119" s="150" t="inlineStr">
        <is>
          <t>文本</t>
        </is>
      </c>
      <c r="F119" s="150" t="inlineStr">
        <is>
          <t>-</t>
        </is>
      </c>
      <c r="G119" s="150" t="inlineStr">
        <is>
          <t>是</t>
        </is>
      </c>
      <c r="H119" s="150" t="inlineStr">
        <is>
          <t>可选</t>
        </is>
      </c>
      <c r="I119" s="150" t="inlineStr">
        <is>
          <t>无</t>
        </is>
      </c>
      <c r="J119" s="150" t="n"/>
      <c r="K119" s="150" t="n"/>
      <c r="L119" s="150" t="str"/>
      <c r="M119" s="150" t="inlineStr">
        <is>
          <t>去首尾空格；全角转半角；保留原值，不自动改写</t>
        </is>
      </c>
      <c r="N119" s="150" t="inlineStr">
        <is>
          <t>异常时写入自动备注；不改写原值</t>
        </is>
      </c>
      <c r="O119" s="150" t="inlineStr">
        <is>
          <t>GB 19761-2020</t>
        </is>
      </c>
      <c r="P119" s="150" t="inlineStr">
        <is>
          <t>表1～表4</t>
        </is>
      </c>
    </row>
    <row r="120">
      <c r="A120" s="150" t="inlineStr">
        <is>
          <t>离心通风机</t>
        </is>
      </c>
      <c r="B120" s="150" t="inlineStr">
        <is>
          <t>auto_note</t>
        </is>
      </c>
      <c r="C120" s="150" t="inlineStr">
        <is>
          <t>自动备注</t>
        </is>
      </c>
      <c r="D120" s="150" t="inlineStr">
        <is>
          <t>附件备注</t>
        </is>
      </c>
      <c r="E120" s="150" t="inlineStr">
        <is>
          <t>公式</t>
        </is>
      </c>
      <c r="F120" s="150" t="inlineStr">
        <is>
          <t>-</t>
        </is>
      </c>
      <c r="G120" s="150" t="inlineStr">
        <is>
          <t>否</t>
        </is>
      </c>
      <c r="H120" s="150" t="inlineStr">
        <is>
          <t>公式生成</t>
        </is>
      </c>
      <c r="I120" s="150" t="inlineStr">
        <is>
          <t>无</t>
        </is>
      </c>
      <c r="J120" s="150" t="n"/>
      <c r="K120" s="150" t="n"/>
      <c r="L120" s="150" t="str"/>
      <c r="M120" s="150" t="inlineStr">
        <is>
          <t>锁定公式列，不清洗</t>
        </is>
      </c>
      <c r="N120" s="150" t="inlineStr">
        <is>
          <t>公式锁定并随表格扩展</t>
        </is>
      </c>
      <c r="O120" s="150" t="inlineStr">
        <is>
          <t>GB 19761-2020</t>
        </is>
      </c>
      <c r="P120" s="150" t="inlineStr">
        <is>
          <t>表1～表4</t>
        </is>
      </c>
    </row>
    <row r="121">
      <c r="A121" s="150" t="inlineStr">
        <is>
          <t>轴流通风机</t>
        </is>
      </c>
      <c r="B121" s="150" t="inlineStr">
        <is>
          <t>seq</t>
        </is>
      </c>
      <c r="C121" s="150" t="inlineStr">
        <is>
          <t>序号</t>
        </is>
      </c>
      <c r="D121" s="150" t="inlineStr">
        <is>
          <t>基础信息</t>
        </is>
      </c>
      <c r="E121" s="150" t="inlineStr">
        <is>
          <t>整数</t>
        </is>
      </c>
      <c r="F121" s="150" t="inlineStr">
        <is>
          <t>-</t>
        </is>
      </c>
      <c r="G121" s="150" t="inlineStr">
        <is>
          <t>否</t>
        </is>
      </c>
      <c r="H121" s="150" t="inlineStr">
        <is>
          <t>公式生成</t>
        </is>
      </c>
      <c r="I121" s="150" t="inlineStr">
        <is>
          <t>无</t>
        </is>
      </c>
      <c r="J121" s="150" t="n"/>
      <c r="K121" s="150" t="n"/>
      <c r="L121" s="150" t="str"/>
      <c r="M121" s="150" t="inlineStr">
        <is>
          <t>锁定公式列，不清洗</t>
        </is>
      </c>
      <c r="N121" s="150" t="inlineStr">
        <is>
          <t>公式锁定并随表格扩展</t>
        </is>
      </c>
      <c r="O121" s="150" t="inlineStr">
        <is>
          <t>GB 19761-2020</t>
        </is>
      </c>
      <c r="P121" s="150" t="inlineStr">
        <is>
          <t>表1～表4</t>
        </is>
      </c>
    </row>
    <row r="122">
      <c r="A122" s="150" t="inlineStr">
        <is>
          <t>轴流通风机</t>
        </is>
      </c>
      <c r="B122" s="150" t="inlineStr">
        <is>
          <t>device_name</t>
        </is>
      </c>
      <c r="C122" s="150" t="inlineStr">
        <is>
          <t>设备名称</t>
        </is>
      </c>
      <c r="D122" s="150" t="inlineStr">
        <is>
          <t>基础信息</t>
        </is>
      </c>
      <c r="E122" s="150" t="inlineStr">
        <is>
          <t>文本</t>
        </is>
      </c>
      <c r="F122" s="150" t="inlineStr">
        <is>
          <t>-</t>
        </is>
      </c>
      <c r="G122" s="150" t="inlineStr">
        <is>
          <t>是</t>
        </is>
      </c>
      <c r="H122" s="150" t="inlineStr">
        <is>
          <t>整行启用时必填</t>
        </is>
      </c>
      <c r="I122" s="150" t="inlineStr">
        <is>
          <t>无</t>
        </is>
      </c>
      <c r="J122" s="150" t="n"/>
      <c r="K122" s="150" t="n"/>
      <c r="L122" s="150" t="str"/>
      <c r="M122" s="150" t="inlineStr">
        <is>
          <t>去首尾空格；全角转半角；保留原值，不自动改写</t>
        </is>
      </c>
      <c r="N122" s="150" t="inlineStr">
        <is>
          <t>异常时写入自动备注；不改写原值</t>
        </is>
      </c>
      <c r="O122" s="150" t="inlineStr">
        <is>
          <t>GB 19761-2020</t>
        </is>
      </c>
      <c r="P122" s="150" t="inlineStr">
        <is>
          <t>表1～表4</t>
        </is>
      </c>
    </row>
    <row r="123">
      <c r="A123" s="150" t="inlineStr">
        <is>
          <t>轴流通风机</t>
        </is>
      </c>
      <c r="B123" s="150" t="inlineStr">
        <is>
          <t>model</t>
        </is>
      </c>
      <c r="C123" s="150" t="inlineStr">
        <is>
          <t>型号</t>
        </is>
      </c>
      <c r="D123" s="150" t="inlineStr">
        <is>
          <t>基础信息</t>
        </is>
      </c>
      <c r="E123" s="150" t="inlineStr">
        <is>
          <t>文本</t>
        </is>
      </c>
      <c r="F123" s="150" t="inlineStr">
        <is>
          <t>-</t>
        </is>
      </c>
      <c r="G123" s="150" t="inlineStr">
        <is>
          <t>是</t>
        </is>
      </c>
      <c r="H123" s="150" t="inlineStr">
        <is>
          <t>整行启用时必填</t>
        </is>
      </c>
      <c r="I123" s="150" t="inlineStr">
        <is>
          <t>无</t>
        </is>
      </c>
      <c r="J123" s="150" t="n"/>
      <c r="K123" s="150" t="n"/>
      <c r="L123" s="150" t="str"/>
      <c r="M123" s="150" t="inlineStr">
        <is>
          <t>去首尾空格；统一字母大小写、连接符和全半角；保留原值</t>
        </is>
      </c>
      <c r="N123" s="150" t="inlineStr">
        <is>
          <t>异常时写入自动备注；不改写原值</t>
        </is>
      </c>
      <c r="O123" s="150" t="inlineStr">
        <is>
          <t>GB 19761-2020</t>
        </is>
      </c>
      <c r="P123" s="150" t="inlineStr">
        <is>
          <t>表1～表4</t>
        </is>
      </c>
    </row>
    <row r="124">
      <c r="A124" s="150" t="inlineStr">
        <is>
          <t>轴流通风机</t>
        </is>
      </c>
      <c r="B124" s="150" t="inlineStr">
        <is>
          <t>quantity</t>
        </is>
      </c>
      <c r="C124" s="150" t="inlineStr">
        <is>
          <t>数量</t>
        </is>
      </c>
      <c r="D124" s="150" t="inlineStr">
        <is>
          <t>基础信息</t>
        </is>
      </c>
      <c r="E124" s="150" t="inlineStr">
        <is>
          <t>整数</t>
        </is>
      </c>
      <c r="F124" s="150" t="inlineStr">
        <is>
          <t>-</t>
        </is>
      </c>
      <c r="G124" s="150" t="inlineStr">
        <is>
          <t>是</t>
        </is>
      </c>
      <c r="H124" s="150" t="inlineStr">
        <is>
          <t>整行启用时必填</t>
        </is>
      </c>
      <c r="I124" s="150" t="inlineStr">
        <is>
          <t>正整数</t>
        </is>
      </c>
      <c r="J124" s="150" t="n">
        <v>1</v>
      </c>
      <c r="K124" s="150" t="n"/>
      <c r="L124" s="150" t="str"/>
      <c r="M124" s="150" t="inlineStr">
        <is>
          <t>去首尾空格；全角转半角；保留原值，不自动改写</t>
        </is>
      </c>
      <c r="N124" s="150" t="inlineStr">
        <is>
          <t>异常时写入自动备注；不改写原值</t>
        </is>
      </c>
      <c r="O124" s="150" t="inlineStr">
        <is>
          <t>GB 19761-2020</t>
        </is>
      </c>
      <c r="P124" s="150" t="inlineStr">
        <is>
          <t>表1～表4</t>
        </is>
      </c>
    </row>
    <row r="125">
      <c r="A125" s="150" t="inlineStr">
        <is>
          <t>轴流通风机</t>
        </is>
      </c>
      <c r="B125" s="150" t="inlineStr">
        <is>
          <t>location</t>
        </is>
      </c>
      <c r="C125" s="150" t="inlineStr">
        <is>
          <t>安装位置</t>
        </is>
      </c>
      <c r="D125" s="150" t="inlineStr">
        <is>
          <t>基础信息</t>
        </is>
      </c>
      <c r="E125" s="150" t="inlineStr">
        <is>
          <t>文本</t>
        </is>
      </c>
      <c r="F125" s="150" t="inlineStr">
        <is>
          <t>-</t>
        </is>
      </c>
      <c r="G125" s="150" t="inlineStr">
        <is>
          <t>是</t>
        </is>
      </c>
      <c r="H125" s="150" t="inlineStr">
        <is>
          <t>可选</t>
        </is>
      </c>
      <c r="I125" s="150" t="inlineStr">
        <is>
          <t>无</t>
        </is>
      </c>
      <c r="J125" s="150" t="n"/>
      <c r="K125" s="150" t="n"/>
      <c r="L125" s="150" t="str"/>
      <c r="M125" s="150" t="inlineStr">
        <is>
          <t>去首尾空格；全角转半角；保留原值，不自动改写</t>
        </is>
      </c>
      <c r="N125" s="150" t="inlineStr">
        <is>
          <t>异常时写入自动备注；不改写原值</t>
        </is>
      </c>
      <c r="O125" s="150" t="inlineStr">
        <is>
          <t>GB 19761-2020</t>
        </is>
      </c>
      <c r="P125" s="150" t="inlineStr">
        <is>
          <t>表1～表4</t>
        </is>
      </c>
    </row>
    <row r="126">
      <c r="A126" s="150" t="inlineStr">
        <is>
          <t>轴流通风机</t>
        </is>
      </c>
      <c r="B126" s="150" t="inlineStr">
        <is>
          <t>category</t>
        </is>
      </c>
      <c r="C126" s="150" t="inlineStr">
        <is>
          <t>设备类别</t>
        </is>
      </c>
      <c r="D126" s="150" t="inlineStr">
        <is>
          <t>设备参数</t>
        </is>
      </c>
      <c r="E126" s="150" t="inlineStr">
        <is>
          <t>文本</t>
        </is>
      </c>
      <c r="F126" s="150" t="inlineStr">
        <is>
          <t>-</t>
        </is>
      </c>
      <c r="G126" s="150" t="inlineStr">
        <is>
          <t>是</t>
        </is>
      </c>
      <c r="H126" s="150" t="inlineStr">
        <is>
          <t>整行启用时必填</t>
        </is>
      </c>
      <c r="I126" s="150" t="inlineStr">
        <is>
          <t>停止型下拉；粘贴后由自动备注复核</t>
        </is>
      </c>
      <c r="J126" s="150" t="n"/>
      <c r="K126" s="150" t="n"/>
      <c r="L126" s="150" t="inlineStr">
        <is>
          <t>EV_AXIAL_FAN_CATEGORY</t>
        </is>
      </c>
      <c r="M126" s="150" t="inlineStr">
        <is>
          <t>去首尾空格；全角转半角；保留原值，不自动改写</t>
        </is>
      </c>
      <c r="N126" s="150" t="inlineStr">
        <is>
          <t>异常时写入自动备注；不改写原值</t>
        </is>
      </c>
      <c r="O126" s="150" t="inlineStr">
        <is>
          <t>GB 19761-2020</t>
        </is>
      </c>
      <c r="P126" s="150" t="inlineStr">
        <is>
          <t>表1～表4</t>
        </is>
      </c>
    </row>
    <row r="127">
      <c r="A127" s="150" t="inlineStr">
        <is>
          <t>轴流通风机</t>
        </is>
      </c>
      <c r="B127" s="150" t="inlineStr">
        <is>
          <t>transmission</t>
        </is>
      </c>
      <c r="C127" s="150" t="inlineStr">
        <is>
          <t>传动方式</t>
        </is>
      </c>
      <c r="D127" s="150" t="inlineStr">
        <is>
          <t>设备参数</t>
        </is>
      </c>
      <c r="E127" s="150" t="inlineStr">
        <is>
          <t>文本</t>
        </is>
      </c>
      <c r="F127" s="150" t="inlineStr">
        <is>
          <t>-</t>
        </is>
      </c>
      <c r="G127" s="150" t="inlineStr">
        <is>
          <t>是</t>
        </is>
      </c>
      <c r="H127" s="150" t="inlineStr">
        <is>
          <t>整行启用时必填</t>
        </is>
      </c>
      <c r="I127" s="150" t="inlineStr">
        <is>
          <t>停止型下拉；粘贴后由自动备注复核</t>
        </is>
      </c>
      <c r="J127" s="150" t="n"/>
      <c r="K127" s="150" t="n"/>
      <c r="L127" s="150" t="inlineStr">
        <is>
          <t>EV_TRANSMISSION</t>
        </is>
      </c>
      <c r="M127" s="150" t="inlineStr">
        <is>
          <t>去首尾空格；全角转半角；保留原值，不自动改写</t>
        </is>
      </c>
      <c r="N127" s="150" t="inlineStr">
        <is>
          <t>异常时写入自动备注；不改写原值</t>
        </is>
      </c>
      <c r="O127" s="150" t="inlineStr">
        <is>
          <t>GB 19761-2020</t>
        </is>
      </c>
      <c r="P127" s="150" t="inlineStr">
        <is>
          <t>表1～表4</t>
        </is>
      </c>
    </row>
    <row r="128">
      <c r="A128" s="150" t="inlineStr">
        <is>
          <t>轴流通风机</t>
        </is>
      </c>
      <c r="B128" s="150" t="inlineStr">
        <is>
          <t>inlet_box</t>
        </is>
      </c>
      <c r="C128" s="150" t="inlineStr">
        <is>
          <t>是否带进气箱</t>
        </is>
      </c>
      <c r="D128" s="150" t="inlineStr">
        <is>
          <t>设备参数</t>
        </is>
      </c>
      <c r="E128" s="150" t="inlineStr">
        <is>
          <t>文本</t>
        </is>
      </c>
      <c r="F128" s="150" t="inlineStr">
        <is>
          <t>-</t>
        </is>
      </c>
      <c r="G128" s="150" t="inlineStr">
        <is>
          <t>是</t>
        </is>
      </c>
      <c r="H128" s="150" t="inlineStr">
        <is>
          <t>整行启用时必填</t>
        </is>
      </c>
      <c r="I128" s="150" t="inlineStr">
        <is>
          <t>停止型下拉；粘贴后由自动备注复核</t>
        </is>
      </c>
      <c r="J128" s="150" t="n"/>
      <c r="K128" s="150" t="n"/>
      <c r="L128" s="150" t="inlineStr">
        <is>
          <t>EV_YES_NO</t>
        </is>
      </c>
      <c r="M128" s="150" t="inlineStr">
        <is>
          <t>去首尾空格；全角转半角；保留原值，不自动改写</t>
        </is>
      </c>
      <c r="N128" s="150" t="inlineStr">
        <is>
          <t>异常时写入自动备注；不改写原值</t>
        </is>
      </c>
      <c r="O128" s="150" t="inlineStr">
        <is>
          <t>GB 19761-2020</t>
        </is>
      </c>
      <c r="P128" s="150" t="inlineStr">
        <is>
          <t>表1～表4</t>
        </is>
      </c>
    </row>
    <row r="129">
      <c r="A129" s="150" t="inlineStr">
        <is>
          <t>轴流通风机</t>
        </is>
      </c>
      <c r="B129" s="150" t="inlineStr">
        <is>
          <t>diffuser</t>
        </is>
      </c>
      <c r="C129" s="150" t="inlineStr">
        <is>
          <t>是否带扩散筒</t>
        </is>
      </c>
      <c r="D129" s="150" t="inlineStr">
        <is>
          <t>设备参数</t>
        </is>
      </c>
      <c r="E129" s="150" t="inlineStr">
        <is>
          <t>文本</t>
        </is>
      </c>
      <c r="F129" s="150" t="inlineStr">
        <is>
          <t>-</t>
        </is>
      </c>
      <c r="G129" s="150" t="inlineStr">
        <is>
          <t>是</t>
        </is>
      </c>
      <c r="H129" s="150" t="inlineStr">
        <is>
          <t>整行启用时必填</t>
        </is>
      </c>
      <c r="I129" s="150" t="inlineStr">
        <is>
          <t>停止型下拉；粘贴后由自动备注复核</t>
        </is>
      </c>
      <c r="J129" s="150" t="n"/>
      <c r="K129" s="150" t="n"/>
      <c r="L129" s="150" t="inlineStr">
        <is>
          <t>EV_YES_NO</t>
        </is>
      </c>
      <c r="M129" s="150" t="inlineStr">
        <is>
          <t>去首尾空格；全角转半角；保留原值，不自动改写</t>
        </is>
      </c>
      <c r="N129" s="150" t="inlineStr">
        <is>
          <t>异常时写入自动备注；不改写原值</t>
        </is>
      </c>
      <c r="O129" s="150" t="inlineStr">
        <is>
          <t>GB 19761-2020</t>
        </is>
      </c>
      <c r="P129" s="150" t="inlineStr">
        <is>
          <t>表1～表4</t>
        </is>
      </c>
    </row>
    <row r="130">
      <c r="A130" s="150" t="inlineStr">
        <is>
          <t>轴流通风机</t>
        </is>
      </c>
      <c r="B130" s="150" t="inlineStr">
        <is>
          <t>variable_blade</t>
        </is>
      </c>
      <c r="C130" s="150" t="inlineStr">
        <is>
          <t>是否动叶可调</t>
        </is>
      </c>
      <c r="D130" s="150" t="inlineStr">
        <is>
          <t>设备参数</t>
        </is>
      </c>
      <c r="E130" s="150" t="inlineStr">
        <is>
          <t>文本</t>
        </is>
      </c>
      <c r="F130" s="150" t="inlineStr">
        <is>
          <t>-</t>
        </is>
      </c>
      <c r="G130" s="150" t="inlineStr">
        <is>
          <t>是</t>
        </is>
      </c>
      <c r="H130" s="150" t="inlineStr">
        <is>
          <t>整行启用时必填</t>
        </is>
      </c>
      <c r="I130" s="150" t="inlineStr">
        <is>
          <t>停止型下拉；粘贴后由自动备注复核</t>
        </is>
      </c>
      <c r="J130" s="150" t="n"/>
      <c r="K130" s="150" t="n"/>
      <c r="L130" s="150" t="inlineStr">
        <is>
          <t>EV_YES_NO</t>
        </is>
      </c>
      <c r="M130" s="150" t="inlineStr">
        <is>
          <t>去首尾空格；全角转半角；保留原值，不自动改写</t>
        </is>
      </c>
      <c r="N130" s="150" t="inlineStr">
        <is>
          <t>异常时写入自动备注；不改写原值</t>
        </is>
      </c>
      <c r="O130" s="150" t="inlineStr">
        <is>
          <t>GB 19761-2020</t>
        </is>
      </c>
      <c r="P130" s="150" t="inlineStr">
        <is>
          <t>表1～表4</t>
        </is>
      </c>
    </row>
    <row r="131">
      <c r="A131" s="150" t="inlineStr">
        <is>
          <t>轴流通风机</t>
        </is>
      </c>
      <c r="B131" s="150" t="inlineStr">
        <is>
          <t>reversible</t>
        </is>
      </c>
      <c r="C131" s="150" t="inlineStr">
        <is>
          <t>是否可逆转</t>
        </is>
      </c>
      <c r="D131" s="150" t="inlineStr">
        <is>
          <t>设备参数</t>
        </is>
      </c>
      <c r="E131" s="150" t="inlineStr">
        <is>
          <t>文本</t>
        </is>
      </c>
      <c r="F131" s="150" t="inlineStr">
        <is>
          <t>-</t>
        </is>
      </c>
      <c r="G131" s="150" t="inlineStr">
        <is>
          <t>是</t>
        </is>
      </c>
      <c r="H131" s="150" t="inlineStr">
        <is>
          <t>整行启用时必填</t>
        </is>
      </c>
      <c r="I131" s="150" t="inlineStr">
        <is>
          <t>停止型下拉；粘贴后由自动备注复核</t>
        </is>
      </c>
      <c r="J131" s="150" t="n"/>
      <c r="K131" s="150" t="n"/>
      <c r="L131" s="150" t="inlineStr">
        <is>
          <t>EV_YES_NO</t>
        </is>
      </c>
      <c r="M131" s="150" t="inlineStr">
        <is>
          <t>去首尾空格；全角转半角；保留原值，不自动改写</t>
        </is>
      </c>
      <c r="N131" s="150" t="inlineStr">
        <is>
          <t>异常时写入自动备注；不改写原值</t>
        </is>
      </c>
      <c r="O131" s="150" t="inlineStr">
        <is>
          <t>GB 19761-2020</t>
        </is>
      </c>
      <c r="P131" s="150" t="inlineStr">
        <is>
          <t>表1～表4</t>
        </is>
      </c>
    </row>
    <row r="132">
      <c r="A132" s="150" t="inlineStr">
        <is>
          <t>轴流通风机</t>
        </is>
      </c>
      <c r="B132" s="150" t="inlineStr">
        <is>
          <t>flow</t>
        </is>
      </c>
      <c r="C132" s="150" t="inlineStr">
        <is>
          <t>流量</t>
        </is>
      </c>
      <c r="D132" s="150" t="inlineStr">
        <is>
          <t>设备参数</t>
        </is>
      </c>
      <c r="E132" s="150" t="inlineStr">
        <is>
          <t>数值</t>
        </is>
      </c>
      <c r="F132" s="150" t="inlineStr">
        <is>
          <t>m³/h</t>
        </is>
      </c>
      <c r="G132" s="150" t="inlineStr">
        <is>
          <t>是</t>
        </is>
      </c>
      <c r="H132" s="150" t="inlineStr">
        <is>
          <t>整行启用时必填</t>
        </is>
      </c>
      <c r="I132" s="150" t="inlineStr">
        <is>
          <t>数值&gt;0</t>
        </is>
      </c>
      <c r="J132" s="150" t="n">
        <v>0</v>
      </c>
      <c r="K132" s="150" t="n"/>
      <c r="L132" s="150" t="str"/>
      <c r="M132" s="150" t="inlineStr">
        <is>
          <t>去首尾空格；全角转半角；保留原值，不自动改写</t>
        </is>
      </c>
      <c r="N132" s="150" t="inlineStr">
        <is>
          <t>异常时写入自动备注；不改写原值</t>
        </is>
      </c>
      <c r="O132" s="150" t="inlineStr">
        <is>
          <t>GB 19761-2020</t>
        </is>
      </c>
      <c r="P132" s="150" t="inlineStr">
        <is>
          <t>表1～表4</t>
        </is>
      </c>
    </row>
    <row r="133">
      <c r="A133" s="150" t="inlineStr">
        <is>
          <t>轴流通风机</t>
        </is>
      </c>
      <c r="B133" s="150" t="inlineStr">
        <is>
          <t>fan_pressure</t>
        </is>
      </c>
      <c r="C133" s="150" t="inlineStr">
        <is>
          <t>风机压力pF</t>
        </is>
      </c>
      <c r="D133" s="150" t="inlineStr">
        <is>
          <t>设备参数</t>
        </is>
      </c>
      <c r="E133" s="150" t="inlineStr">
        <is>
          <t>数值</t>
        </is>
      </c>
      <c r="F133" s="150" t="inlineStr">
        <is>
          <t>Pa</t>
        </is>
      </c>
      <c r="G133" s="150" t="inlineStr">
        <is>
          <t>是</t>
        </is>
      </c>
      <c r="H133" s="150" t="inlineStr">
        <is>
          <t>整行启用时必填</t>
        </is>
      </c>
      <c r="I133" s="150" t="inlineStr">
        <is>
          <t>数值&gt;0</t>
        </is>
      </c>
      <c r="J133" s="150" t="n">
        <v>0</v>
      </c>
      <c r="K133" s="150" t="n"/>
      <c r="L133" s="150" t="str"/>
      <c r="M133" s="150" t="inlineStr">
        <is>
          <t>去首尾空格；全角转半角；保留原值，不自动改写</t>
        </is>
      </c>
      <c r="N133" s="150" t="inlineStr">
        <is>
          <t>异常时写入自动备注；不改写原值</t>
        </is>
      </c>
      <c r="O133" s="150" t="inlineStr">
        <is>
          <t>GB 19761-2020</t>
        </is>
      </c>
      <c r="P133" s="150" t="inlineStr">
        <is>
          <t>表1～表4</t>
        </is>
      </c>
    </row>
    <row r="134">
      <c r="A134" s="150" t="inlineStr">
        <is>
          <t>轴流通风机</t>
        </is>
      </c>
      <c r="B134" s="150" t="inlineStr">
        <is>
          <t>rated_power</t>
        </is>
      </c>
      <c r="C134" s="150" t="inlineStr">
        <is>
          <t>额定功率</t>
        </is>
      </c>
      <c r="D134" s="150" t="inlineStr">
        <is>
          <t>设备参数</t>
        </is>
      </c>
      <c r="E134" s="150" t="inlineStr">
        <is>
          <t>数值</t>
        </is>
      </c>
      <c r="F134" s="150" t="inlineStr">
        <is>
          <t>kW</t>
        </is>
      </c>
      <c r="G134" s="150" t="inlineStr">
        <is>
          <t>是</t>
        </is>
      </c>
      <c r="H134" s="150" t="inlineStr">
        <is>
          <t>整行启用时必填</t>
        </is>
      </c>
      <c r="I134" s="150" t="inlineStr">
        <is>
          <t>数值&gt;0</t>
        </is>
      </c>
      <c r="J134" s="150" t="n">
        <v>0</v>
      </c>
      <c r="K134" s="150" t="n"/>
      <c r="L134" s="150" t="str"/>
      <c r="M134" s="150" t="inlineStr">
        <is>
          <t>去首尾空格；全角转半角；保留原值，不自动改写</t>
        </is>
      </c>
      <c r="N134" s="150" t="inlineStr">
        <is>
          <t>异常时写入自动备注；不改写原值</t>
        </is>
      </c>
      <c r="O134" s="150" t="inlineStr">
        <is>
          <t>GB 19761-2020</t>
        </is>
      </c>
      <c r="P134" s="150" t="inlineStr">
        <is>
          <t>表1～表4</t>
        </is>
      </c>
    </row>
    <row r="135">
      <c r="A135" s="150" t="inlineStr">
        <is>
          <t>轴流通风机</t>
        </is>
      </c>
      <c r="B135" s="150" t="inlineStr">
        <is>
          <t>impeller_power</t>
        </is>
      </c>
      <c r="C135" s="150" t="inlineStr">
        <is>
          <t>叶轮功率</t>
        </is>
      </c>
      <c r="D135" s="150" t="inlineStr">
        <is>
          <t>设备参数</t>
        </is>
      </c>
      <c r="E135" s="150" t="inlineStr">
        <is>
          <t>数值</t>
        </is>
      </c>
      <c r="F135" s="150" t="inlineStr">
        <is>
          <t>kW</t>
        </is>
      </c>
      <c r="G135" s="150" t="inlineStr">
        <is>
          <t>是</t>
        </is>
      </c>
      <c r="H135" s="150" t="inlineStr">
        <is>
          <t>整行启用时必填</t>
        </is>
      </c>
      <c r="I135" s="150" t="inlineStr">
        <is>
          <t>数值&gt;0</t>
        </is>
      </c>
      <c r="J135" s="150" t="n">
        <v>0</v>
      </c>
      <c r="K135" s="150" t="n"/>
      <c r="L135" s="150" t="str"/>
      <c r="M135" s="150" t="inlineStr">
        <is>
          <t>去首尾空格；全角转半角；保留原值，不自动改写</t>
        </is>
      </c>
      <c r="N135" s="150" t="inlineStr">
        <is>
          <t>异常时写入自动备注；不改写原值</t>
        </is>
      </c>
      <c r="O135" s="150" t="inlineStr">
        <is>
          <t>GB 19761-2020</t>
        </is>
      </c>
      <c r="P135" s="150" t="inlineStr">
        <is>
          <t>表1～表4</t>
        </is>
      </c>
    </row>
    <row r="136">
      <c r="A136" s="150" t="inlineStr">
        <is>
          <t>轴流通风机</t>
        </is>
      </c>
      <c r="B136" s="150" t="inlineStr">
        <is>
          <t>speed</t>
        </is>
      </c>
      <c r="C136" s="150" t="inlineStr">
        <is>
          <t>转速</t>
        </is>
      </c>
      <c r="D136" s="150" t="inlineStr">
        <is>
          <t>设备参数</t>
        </is>
      </c>
      <c r="E136" s="150" t="inlineStr">
        <is>
          <t>数值</t>
        </is>
      </c>
      <c r="F136" s="150" t="inlineStr">
        <is>
          <t>r/min</t>
        </is>
      </c>
      <c r="G136" s="150" t="inlineStr">
        <is>
          <t>是</t>
        </is>
      </c>
      <c r="H136" s="150" t="inlineStr">
        <is>
          <t>整行启用时必填</t>
        </is>
      </c>
      <c r="I136" s="150" t="inlineStr">
        <is>
          <t>数值&gt;0</t>
        </is>
      </c>
      <c r="J136" s="150" t="n">
        <v>0</v>
      </c>
      <c r="K136" s="150" t="n"/>
      <c r="L136" s="150" t="str"/>
      <c r="M136" s="150" t="inlineStr">
        <is>
          <t>去首尾空格；全角转半角；保留原值，不自动改写</t>
        </is>
      </c>
      <c r="N136" s="150" t="inlineStr">
        <is>
          <t>异常时写入自动备注；不改写原值</t>
        </is>
      </c>
      <c r="O136" s="150" t="inlineStr">
        <is>
          <t>GB 19761-2020</t>
        </is>
      </c>
      <c r="P136" s="150" t="inlineStr">
        <is>
          <t>表1～表4</t>
        </is>
      </c>
    </row>
    <row r="137">
      <c r="A137" s="150" t="inlineStr">
        <is>
          <t>轴流通风机</t>
        </is>
      </c>
      <c r="B137" s="150" t="inlineStr">
        <is>
          <t>machine_no</t>
        </is>
      </c>
      <c r="C137" s="150" t="inlineStr">
        <is>
          <t>机号</t>
        </is>
      </c>
      <c r="D137" s="150" t="inlineStr">
        <is>
          <t>设备参数</t>
        </is>
      </c>
      <c r="E137" s="150" t="inlineStr">
        <is>
          <t>数值</t>
        </is>
      </c>
      <c r="F137" s="150" t="inlineStr">
        <is>
          <t>No.</t>
        </is>
      </c>
      <c r="G137" s="150" t="inlineStr">
        <is>
          <t>是</t>
        </is>
      </c>
      <c r="H137" s="150" t="inlineStr">
        <is>
          <t>整行启用时必填</t>
        </is>
      </c>
      <c r="I137" s="150" t="inlineStr">
        <is>
          <t>数值&gt;0</t>
        </is>
      </c>
      <c r="J137" s="150" t="n">
        <v>0</v>
      </c>
      <c r="K137" s="150" t="n"/>
      <c r="L137" s="150" t="str"/>
      <c r="M137" s="150" t="inlineStr">
        <is>
          <t>去首尾空格；全角转半角；保留原值，不自动改写</t>
        </is>
      </c>
      <c r="N137" s="150" t="inlineStr">
        <is>
          <t>异常时写入自动备注；不改写原值</t>
        </is>
      </c>
      <c r="O137" s="150" t="inlineStr">
        <is>
          <t>GB 19761-2020</t>
        </is>
      </c>
      <c r="P137" s="150" t="inlineStr">
        <is>
          <t>表1～表4</t>
        </is>
      </c>
    </row>
    <row r="138">
      <c r="A138" s="150" t="inlineStr">
        <is>
          <t>轴流通风机</t>
        </is>
      </c>
      <c r="B138" s="150" t="inlineStr">
        <is>
          <t>density</t>
        </is>
      </c>
      <c r="C138" s="150" t="inlineStr">
        <is>
          <t>进口滞止密度</t>
        </is>
      </c>
      <c r="D138" s="150" t="inlineStr">
        <is>
          <t>设备参数</t>
        </is>
      </c>
      <c r="E138" s="150" t="inlineStr">
        <is>
          <t>数值</t>
        </is>
      </c>
      <c r="F138" s="150" t="inlineStr">
        <is>
          <t>kg/m³</t>
        </is>
      </c>
      <c r="G138" s="150" t="inlineStr">
        <is>
          <t>是</t>
        </is>
      </c>
      <c r="H138" s="150" t="inlineStr">
        <is>
          <t>整行启用时必填</t>
        </is>
      </c>
      <c r="I138" s="150" t="inlineStr">
        <is>
          <t>数值&gt;0</t>
        </is>
      </c>
      <c r="J138" s="150" t="n">
        <v>0</v>
      </c>
      <c r="K138" s="150" t="n"/>
      <c r="L138" s="150" t="str"/>
      <c r="M138" s="150" t="inlineStr">
        <is>
          <t>去首尾空格；全角转半角；保留原值，不自动改写</t>
        </is>
      </c>
      <c r="N138" s="150" t="inlineStr">
        <is>
          <t>异常时写入自动备注；不改写原值</t>
        </is>
      </c>
      <c r="O138" s="150" t="inlineStr">
        <is>
          <t>GB 19761-2020</t>
        </is>
      </c>
      <c r="P138" s="150" t="inlineStr">
        <is>
          <t>表1～表4</t>
        </is>
      </c>
    </row>
    <row r="139">
      <c r="A139" s="150" t="inlineStr">
        <is>
          <t>轴流通风机</t>
        </is>
      </c>
      <c r="B139" s="150" t="inlineStr">
        <is>
          <t>isentropic_k</t>
        </is>
      </c>
      <c r="C139" s="150" t="inlineStr">
        <is>
          <t>等熵指数k</t>
        </is>
      </c>
      <c r="D139" s="150" t="inlineStr">
        <is>
          <t>设备参数</t>
        </is>
      </c>
      <c r="E139" s="150" t="inlineStr">
        <is>
          <t>数值</t>
        </is>
      </c>
      <c r="F139" s="150" t="inlineStr">
        <is>
          <t>-</t>
        </is>
      </c>
      <c r="G139" s="150" t="inlineStr">
        <is>
          <t>是</t>
        </is>
      </c>
      <c r="H139" s="150" t="inlineStr">
        <is>
          <t>整行启用时必填</t>
        </is>
      </c>
      <c r="I139" s="150" t="inlineStr">
        <is>
          <t>1～2</t>
        </is>
      </c>
      <c r="J139" s="150" t="n">
        <v>1</v>
      </c>
      <c r="K139" s="150" t="n">
        <v>2</v>
      </c>
      <c r="L139" s="150" t="str"/>
      <c r="M139" s="150" t="inlineStr">
        <is>
          <t>去首尾空格；全角转半角；保留原值，不自动改写</t>
        </is>
      </c>
      <c r="N139" s="150" t="inlineStr">
        <is>
          <t>异常时写入自动备注；不改写原值</t>
        </is>
      </c>
      <c r="O139" s="150" t="inlineStr">
        <is>
          <t>GB 19761-2020</t>
        </is>
      </c>
      <c r="P139" s="150" t="inlineStr">
        <is>
          <t>表1～表4</t>
        </is>
      </c>
    </row>
    <row r="140">
      <c r="A140" s="150" t="inlineStr">
        <is>
          <t>轴流通风机</t>
        </is>
      </c>
      <c r="B140" s="150" t="inlineStr">
        <is>
          <t>hub_ratio</t>
        </is>
      </c>
      <c r="C140" s="150" t="inlineStr">
        <is>
          <t>轮毂比</t>
        </is>
      </c>
      <c r="D140" s="150" t="inlineStr">
        <is>
          <t>设备参数</t>
        </is>
      </c>
      <c r="E140" s="150" t="inlineStr">
        <is>
          <t>数值</t>
        </is>
      </c>
      <c r="F140" s="150" t="inlineStr">
        <is>
          <t>-</t>
        </is>
      </c>
      <c r="G140" s="150" t="inlineStr">
        <is>
          <t>是</t>
        </is>
      </c>
      <c r="H140" s="150" t="inlineStr">
        <is>
          <t>轴流通风机必填</t>
        </is>
      </c>
      <c r="I140" s="150" t="inlineStr">
        <is>
          <t>0～1</t>
        </is>
      </c>
      <c r="J140" s="150" t="n">
        <v>0</v>
      </c>
      <c r="K140" s="150" t="n">
        <v>1</v>
      </c>
      <c r="L140" s="150" t="str"/>
      <c r="M140" s="150" t="inlineStr">
        <is>
          <t>去首尾空格；全角转半角；保留原值，不自动改写</t>
        </is>
      </c>
      <c r="N140" s="150" t="inlineStr">
        <is>
          <t>异常时写入自动备注；不改写原值</t>
        </is>
      </c>
      <c r="O140" s="150" t="inlineStr">
        <is>
          <t>GB 19761-2020</t>
        </is>
      </c>
      <c r="P140" s="150" t="inlineStr">
        <is>
          <t>表1～表4</t>
        </is>
      </c>
    </row>
    <row r="141">
      <c r="A141" s="150" t="inlineStr">
        <is>
          <t>轴流通风机</t>
        </is>
      </c>
      <c r="B141" s="150" t="inlineStr">
        <is>
          <t>design_efficiency</t>
        </is>
      </c>
      <c r="C141" s="150" t="inlineStr">
        <is>
          <t>最高通风机效率ηr</t>
        </is>
      </c>
      <c r="D141" s="150" t="inlineStr">
        <is>
          <t>设备参数</t>
        </is>
      </c>
      <c r="E141" s="150" t="inlineStr">
        <is>
          <t>数值</t>
        </is>
      </c>
      <c r="F141" s="150" t="inlineStr">
        <is>
          <t>%</t>
        </is>
      </c>
      <c r="G141" s="150" t="inlineStr">
        <is>
          <t>是</t>
        </is>
      </c>
      <c r="H141" s="150" t="inlineStr">
        <is>
          <t>整行启用时必填</t>
        </is>
      </c>
      <c r="I141" s="150" t="inlineStr">
        <is>
          <t>百分数本值1～100</t>
        </is>
      </c>
      <c r="J141" s="150" t="n">
        <v>1</v>
      </c>
      <c r="K141" s="150" t="n">
        <v>100</v>
      </c>
      <c r="L141" s="150" t="str"/>
      <c r="M141" s="150" t="inlineStr">
        <is>
          <t>按GB 19761-2020稳定工作区最高通风机效率ηr填写</t>
        </is>
      </c>
      <c r="N141" s="150" t="inlineStr">
        <is>
          <t>轴流通风机按进气箱、扩散筒、动叶可调和可逆转条件应用标准修正</t>
        </is>
      </c>
      <c r="O141" s="150" t="inlineStr">
        <is>
          <t>GB 19761-2020</t>
        </is>
      </c>
      <c r="P141" s="150" t="inlineStr">
        <is>
          <t>表1～表4</t>
        </is>
      </c>
    </row>
    <row r="142">
      <c r="A142" s="150" t="inlineStr">
        <is>
          <t>轴流通风机</t>
        </is>
      </c>
      <c r="B142" s="150" t="inlineStr">
        <is>
          <t>compression_correction</t>
        </is>
      </c>
      <c r="C142" s="150" t="inlineStr">
        <is>
          <t>压缩性修正系数</t>
        </is>
      </c>
      <c r="D142" s="150" t="inlineStr">
        <is>
          <t>计算辅助结果</t>
        </is>
      </c>
      <c r="E142" s="150" t="inlineStr">
        <is>
          <t>文本</t>
        </is>
      </c>
      <c r="F142" s="150" t="inlineStr">
        <is>
          <t>-</t>
        </is>
      </c>
      <c r="G142" s="150" t="inlineStr">
        <is>
          <t>否</t>
        </is>
      </c>
      <c r="H142" s="150" t="inlineStr">
        <is>
          <t>本阶段锁定预留</t>
        </is>
      </c>
      <c r="I142" s="150" t="inlineStr">
        <is>
          <t>无</t>
        </is>
      </c>
      <c r="J142" s="150" t="n"/>
      <c r="K142" s="150" t="n"/>
      <c r="L142" s="150" t="str"/>
      <c r="M142" s="150" t="inlineStr">
        <is>
          <t>锁定预留，不清洗</t>
        </is>
      </c>
      <c r="N142" s="150" t="inlineStr">
        <is>
          <t>本阶段不查询、不判定</t>
        </is>
      </c>
      <c r="O142" s="150" t="inlineStr">
        <is>
          <t>GB 19761-2020</t>
        </is>
      </c>
      <c r="P142" s="150" t="inlineStr">
        <is>
          <t>表1～表4</t>
        </is>
      </c>
    </row>
    <row r="143">
      <c r="A143" s="150" t="inlineStr">
        <is>
          <t>轴流通风机</t>
        </is>
      </c>
      <c r="B143" s="150" t="inlineStr">
        <is>
          <t>pressure_coefficient</t>
        </is>
      </c>
      <c r="C143" s="150" t="inlineStr">
        <is>
          <t>压力系数</t>
        </is>
      </c>
      <c r="D143" s="150" t="inlineStr">
        <is>
          <t>计算辅助结果</t>
        </is>
      </c>
      <c r="E143" s="150" t="inlineStr">
        <is>
          <t>文本</t>
        </is>
      </c>
      <c r="F143" s="150" t="inlineStr">
        <is>
          <t>-</t>
        </is>
      </c>
      <c r="G143" s="150" t="inlineStr">
        <is>
          <t>否</t>
        </is>
      </c>
      <c r="H143" s="150" t="inlineStr">
        <is>
          <t>本阶段锁定预留</t>
        </is>
      </c>
      <c r="I143" s="150" t="inlineStr">
        <is>
          <t>无</t>
        </is>
      </c>
      <c r="J143" s="150" t="n"/>
      <c r="K143" s="150" t="n"/>
      <c r="L143" s="150" t="str"/>
      <c r="M143" s="150" t="inlineStr">
        <is>
          <t>锁定预留，不清洗</t>
        </is>
      </c>
      <c r="N143" s="150" t="inlineStr">
        <is>
          <t>本阶段不查询、不判定</t>
        </is>
      </c>
      <c r="O143" s="150" t="inlineStr">
        <is>
          <t>GB 19761-2020</t>
        </is>
      </c>
      <c r="P143" s="150" t="inlineStr">
        <is>
          <t>表1～表4</t>
        </is>
      </c>
    </row>
    <row r="144">
      <c r="A144" s="150" t="inlineStr">
        <is>
          <t>轴流通风机</t>
        </is>
      </c>
      <c r="B144" s="150" t="inlineStr">
        <is>
          <t>specific_speed</t>
        </is>
      </c>
      <c r="C144" s="150" t="inlineStr">
        <is>
          <t>轮毂比标准分档</t>
        </is>
      </c>
      <c r="D144" s="150" t="inlineStr">
        <is>
          <t>计算辅助结果</t>
        </is>
      </c>
      <c r="E144" s="150" t="inlineStr">
        <is>
          <t>文本</t>
        </is>
      </c>
      <c r="F144" s="150" t="inlineStr">
        <is>
          <t>-</t>
        </is>
      </c>
      <c r="G144" s="150" t="inlineStr">
        <is>
          <t>否</t>
        </is>
      </c>
      <c r="H144" s="150" t="inlineStr">
        <is>
          <t>本阶段锁定预留</t>
        </is>
      </c>
      <c r="I144" s="150" t="inlineStr">
        <is>
          <t>无</t>
        </is>
      </c>
      <c r="J144" s="150" t="n"/>
      <c r="K144" s="150" t="n"/>
      <c r="L144" s="150" t="str"/>
      <c r="M144" s="150" t="inlineStr">
        <is>
          <t>锁定预留，不清洗</t>
        </is>
      </c>
      <c r="N144" s="150" t="inlineStr">
        <is>
          <t>本阶段不查询、不判定</t>
        </is>
      </c>
      <c r="O144" s="150" t="inlineStr">
        <is>
          <t>GB 19761-2020</t>
        </is>
      </c>
      <c r="P144" s="150" t="inlineStr">
        <is>
          <t>表1～表4</t>
        </is>
      </c>
    </row>
    <row r="145">
      <c r="A145" s="150" t="inlineStr">
        <is>
          <t>轴流通风机</t>
        </is>
      </c>
      <c r="B145" s="150" t="inlineStr">
        <is>
          <t>grade1</t>
        </is>
      </c>
      <c r="C145" s="150" t="inlineStr">
        <is>
          <t>1级效率</t>
        </is>
      </c>
      <c r="D145" s="150" t="inlineStr">
        <is>
          <t>标准查询结果</t>
        </is>
      </c>
      <c r="E145" s="150" t="inlineStr">
        <is>
          <t>数值</t>
        </is>
      </c>
      <c r="F145" s="150" t="inlineStr">
        <is>
          <t>%</t>
        </is>
      </c>
      <c r="G145" s="150" t="inlineStr">
        <is>
          <t>否</t>
        </is>
      </c>
      <c r="H145" s="150" t="inlineStr">
        <is>
          <t>本阶段锁定预留</t>
        </is>
      </c>
      <c r="I145" s="150" t="inlineStr">
        <is>
          <t>无</t>
        </is>
      </c>
      <c r="J145" s="150" t="n"/>
      <c r="K145" s="150" t="n"/>
      <c r="L145" s="150" t="str"/>
      <c r="M145" s="150" t="inlineStr">
        <is>
          <t>锁定预留，不清洗</t>
        </is>
      </c>
      <c r="N145" s="150" t="inlineStr">
        <is>
          <t>本阶段不查询、不判定</t>
        </is>
      </c>
      <c r="O145" s="150" t="inlineStr">
        <is>
          <t>GB 19761-2020</t>
        </is>
      </c>
      <c r="P145" s="150" t="inlineStr">
        <is>
          <t>表1～表4</t>
        </is>
      </c>
    </row>
    <row r="146">
      <c r="A146" s="150" t="inlineStr">
        <is>
          <t>轴流通风机</t>
        </is>
      </c>
      <c r="B146" s="150" t="inlineStr">
        <is>
          <t>grade2</t>
        </is>
      </c>
      <c r="C146" s="150" t="inlineStr">
        <is>
          <t>2级效率</t>
        </is>
      </c>
      <c r="D146" s="150" t="inlineStr">
        <is>
          <t>标准查询结果</t>
        </is>
      </c>
      <c r="E146" s="150" t="inlineStr">
        <is>
          <t>数值</t>
        </is>
      </c>
      <c r="F146" s="150" t="inlineStr">
        <is>
          <t>%</t>
        </is>
      </c>
      <c r="G146" s="150" t="inlineStr">
        <is>
          <t>否</t>
        </is>
      </c>
      <c r="H146" s="150" t="inlineStr">
        <is>
          <t>本阶段锁定预留</t>
        </is>
      </c>
      <c r="I146" s="150" t="inlineStr">
        <is>
          <t>无</t>
        </is>
      </c>
      <c r="J146" s="150" t="n"/>
      <c r="K146" s="150" t="n"/>
      <c r="L146" s="150" t="str"/>
      <c r="M146" s="150" t="inlineStr">
        <is>
          <t>锁定预留，不清洗</t>
        </is>
      </c>
      <c r="N146" s="150" t="inlineStr">
        <is>
          <t>本阶段不查询、不判定</t>
        </is>
      </c>
      <c r="O146" s="150" t="inlineStr">
        <is>
          <t>GB 19761-2020</t>
        </is>
      </c>
      <c r="P146" s="150" t="inlineStr">
        <is>
          <t>表1～表4</t>
        </is>
      </c>
    </row>
    <row r="147">
      <c r="A147" s="150" t="inlineStr">
        <is>
          <t>轴流通风机</t>
        </is>
      </c>
      <c r="B147" s="150" t="inlineStr">
        <is>
          <t>grade3</t>
        </is>
      </c>
      <c r="C147" s="150" t="inlineStr">
        <is>
          <t>3级效率</t>
        </is>
      </c>
      <c r="D147" s="150" t="inlineStr">
        <is>
          <t>标准查询结果</t>
        </is>
      </c>
      <c r="E147" s="150" t="inlineStr">
        <is>
          <t>数值</t>
        </is>
      </c>
      <c r="F147" s="150" t="inlineStr">
        <is>
          <t>%</t>
        </is>
      </c>
      <c r="G147" s="150" t="inlineStr">
        <is>
          <t>否</t>
        </is>
      </c>
      <c r="H147" s="150" t="inlineStr">
        <is>
          <t>本阶段锁定预留</t>
        </is>
      </c>
      <c r="I147" s="150" t="inlineStr">
        <is>
          <t>无</t>
        </is>
      </c>
      <c r="J147" s="150" t="n"/>
      <c r="K147" s="150" t="n"/>
      <c r="L147" s="150" t="str"/>
      <c r="M147" s="150" t="inlineStr">
        <is>
          <t>锁定预留，不清洗</t>
        </is>
      </c>
      <c r="N147" s="150" t="inlineStr">
        <is>
          <t>本阶段不查询、不判定</t>
        </is>
      </c>
      <c r="O147" s="150" t="inlineStr">
        <is>
          <t>GB 19761-2020</t>
        </is>
      </c>
      <c r="P147" s="150" t="inlineStr">
        <is>
          <t>表1～表4</t>
        </is>
      </c>
    </row>
    <row r="148">
      <c r="A148" s="150" t="inlineStr">
        <is>
          <t>轴流通风机</t>
        </is>
      </c>
      <c r="B148" s="150" t="inlineStr">
        <is>
          <t>conclusion</t>
        </is>
      </c>
      <c r="C148" s="150" t="inlineStr">
        <is>
          <t>能效等级</t>
        </is>
      </c>
      <c r="D148" s="150" t="inlineStr">
        <is>
          <t>结论</t>
        </is>
      </c>
      <c r="E148" s="150" t="inlineStr">
        <is>
          <t>文本</t>
        </is>
      </c>
      <c r="F148" s="150" t="inlineStr">
        <is>
          <t>-</t>
        </is>
      </c>
      <c r="G148" s="150" t="inlineStr">
        <is>
          <t>否</t>
        </is>
      </c>
      <c r="H148" s="150" t="inlineStr">
        <is>
          <t>本阶段锁定预留</t>
        </is>
      </c>
      <c r="I148" s="150" t="inlineStr">
        <is>
          <t>无</t>
        </is>
      </c>
      <c r="J148" s="150" t="n"/>
      <c r="K148" s="150" t="n"/>
      <c r="L148" s="150" t="str"/>
      <c r="M148" s="150" t="inlineStr">
        <is>
          <t>锁定预留，不清洗</t>
        </is>
      </c>
      <c r="N148" s="150" t="inlineStr">
        <is>
          <t>本阶段不查询、不判定</t>
        </is>
      </c>
      <c r="O148" s="150" t="inlineStr">
        <is>
          <t>GB 19761-2020</t>
        </is>
      </c>
      <c r="P148" s="150" t="inlineStr">
        <is>
          <t>表1～表4</t>
        </is>
      </c>
    </row>
    <row r="149">
      <c r="A149" s="150" t="inlineStr">
        <is>
          <t>轴流通风机</t>
        </is>
      </c>
      <c r="B149" s="150" t="inlineStr">
        <is>
          <t>photo</t>
        </is>
      </c>
      <c r="C149" s="150" t="inlineStr">
        <is>
          <t>铭牌照片</t>
        </is>
      </c>
      <c r="D149" s="150" t="inlineStr">
        <is>
          <t>附件备注</t>
        </is>
      </c>
      <c r="E149" s="150" t="inlineStr">
        <is>
          <t>图片</t>
        </is>
      </c>
      <c r="F149" s="150" t="inlineStr">
        <is>
          <t>-</t>
        </is>
      </c>
      <c r="G149" s="150" t="inlineStr">
        <is>
          <t>是</t>
        </is>
      </c>
      <c r="H149" s="150" t="inlineStr">
        <is>
          <t>整行启用时必填</t>
        </is>
      </c>
      <c r="I149" s="150" t="inlineStr">
        <is>
          <t>无</t>
        </is>
      </c>
      <c r="J149" s="150" t="n"/>
      <c r="K149" s="150" t="n"/>
      <c r="L149" s="150" t="str"/>
      <c r="M149" s="150" t="inlineStr">
        <is>
          <t>仅接受Excel“置于单元格”图片；不接受浮动图片</t>
        </is>
      </c>
      <c r="N149" s="150" t="inlineStr">
        <is>
          <t>为空时提示缺少铭牌照片</t>
        </is>
      </c>
      <c r="O149" s="150" t="inlineStr">
        <is>
          <t>GB 19761-2020</t>
        </is>
      </c>
      <c r="P149" s="150" t="inlineStr">
        <is>
          <t>表1～表4</t>
        </is>
      </c>
    </row>
    <row r="150">
      <c r="A150" s="150" t="inlineStr">
        <is>
          <t>轴流通风机</t>
        </is>
      </c>
      <c r="B150" s="150" t="inlineStr">
        <is>
          <t>fill_note</t>
        </is>
      </c>
      <c r="C150" s="150" t="inlineStr">
        <is>
          <t>填表备注</t>
        </is>
      </c>
      <c r="D150" s="150" t="inlineStr">
        <is>
          <t>附件备注</t>
        </is>
      </c>
      <c r="E150" s="150" t="inlineStr">
        <is>
          <t>文本</t>
        </is>
      </c>
      <c r="F150" s="150" t="inlineStr">
        <is>
          <t>-</t>
        </is>
      </c>
      <c r="G150" s="150" t="inlineStr">
        <is>
          <t>是</t>
        </is>
      </c>
      <c r="H150" s="150" t="inlineStr">
        <is>
          <t>可选</t>
        </is>
      </c>
      <c r="I150" s="150" t="inlineStr">
        <is>
          <t>无</t>
        </is>
      </c>
      <c r="J150" s="150" t="n"/>
      <c r="K150" s="150" t="n"/>
      <c r="L150" s="150" t="str"/>
      <c r="M150" s="150" t="inlineStr">
        <is>
          <t>去首尾空格；全角转半角；保留原值，不自动改写</t>
        </is>
      </c>
      <c r="N150" s="150" t="inlineStr">
        <is>
          <t>异常时写入自动备注；不改写原值</t>
        </is>
      </c>
      <c r="O150" s="150" t="inlineStr">
        <is>
          <t>GB 19761-2020</t>
        </is>
      </c>
      <c r="P150" s="150" t="inlineStr">
        <is>
          <t>表1～表4</t>
        </is>
      </c>
    </row>
    <row r="151">
      <c r="A151" s="150" t="inlineStr">
        <is>
          <t>轴流通风机</t>
        </is>
      </c>
      <c r="B151" s="150" t="inlineStr">
        <is>
          <t>auto_note</t>
        </is>
      </c>
      <c r="C151" s="150" t="inlineStr">
        <is>
          <t>自动备注</t>
        </is>
      </c>
      <c r="D151" s="150" t="inlineStr">
        <is>
          <t>附件备注</t>
        </is>
      </c>
      <c r="E151" s="150" t="inlineStr">
        <is>
          <t>公式</t>
        </is>
      </c>
      <c r="F151" s="150" t="inlineStr">
        <is>
          <t>-</t>
        </is>
      </c>
      <c r="G151" s="150" t="inlineStr">
        <is>
          <t>否</t>
        </is>
      </c>
      <c r="H151" s="150" t="inlineStr">
        <is>
          <t>公式生成</t>
        </is>
      </c>
      <c r="I151" s="150" t="inlineStr">
        <is>
          <t>无</t>
        </is>
      </c>
      <c r="J151" s="150" t="n"/>
      <c r="K151" s="150" t="n"/>
      <c r="L151" s="150" t="str"/>
      <c r="M151" s="150" t="inlineStr">
        <is>
          <t>锁定公式列，不清洗</t>
        </is>
      </c>
      <c r="N151" s="150" t="inlineStr">
        <is>
          <t>公式锁定并随表格扩展</t>
        </is>
      </c>
      <c r="O151" s="150" t="inlineStr">
        <is>
          <t>GB 19761-2020</t>
        </is>
      </c>
      <c r="P151" s="150" t="inlineStr">
        <is>
          <t>表1～表4</t>
        </is>
      </c>
    </row>
    <row r="152">
      <c r="A152" s="150" t="inlineStr">
        <is>
          <t>鼓风机</t>
        </is>
      </c>
      <c r="B152" s="150" t="inlineStr">
        <is>
          <t>seq</t>
        </is>
      </c>
      <c r="C152" s="150" t="inlineStr">
        <is>
          <t>序号</t>
        </is>
      </c>
      <c r="D152" s="150" t="inlineStr">
        <is>
          <t>基础信息</t>
        </is>
      </c>
      <c r="E152" s="150" t="inlineStr">
        <is>
          <t>整数</t>
        </is>
      </c>
      <c r="F152" s="150" t="inlineStr">
        <is>
          <t>-</t>
        </is>
      </c>
      <c r="G152" s="150" t="inlineStr">
        <is>
          <t>否</t>
        </is>
      </c>
      <c r="H152" s="150" t="inlineStr">
        <is>
          <t>公式生成</t>
        </is>
      </c>
      <c r="I152" s="150" t="inlineStr">
        <is>
          <t>无</t>
        </is>
      </c>
      <c r="J152" s="150" t="n"/>
      <c r="K152" s="150" t="n"/>
      <c r="L152" s="150" t="str"/>
      <c r="M152" s="150" t="inlineStr">
        <is>
          <t>锁定公式列，不清洗</t>
        </is>
      </c>
      <c r="N152" s="150" t="inlineStr">
        <is>
          <t>公式锁定并随表格扩展</t>
        </is>
      </c>
      <c r="O152" s="150" t="inlineStr">
        <is>
          <t>GB 28381-2012</t>
        </is>
      </c>
      <c r="P152" s="150" t="inlineStr">
        <is>
          <t>表1～表6</t>
        </is>
      </c>
    </row>
    <row r="153">
      <c r="A153" s="150" t="inlineStr">
        <is>
          <t>鼓风机</t>
        </is>
      </c>
      <c r="B153" s="150" t="inlineStr">
        <is>
          <t>device_name</t>
        </is>
      </c>
      <c r="C153" s="150" t="inlineStr">
        <is>
          <t>设备名称</t>
        </is>
      </c>
      <c r="D153" s="150" t="inlineStr">
        <is>
          <t>基础信息</t>
        </is>
      </c>
      <c r="E153" s="150" t="inlineStr">
        <is>
          <t>文本</t>
        </is>
      </c>
      <c r="F153" s="150" t="inlineStr">
        <is>
          <t>-</t>
        </is>
      </c>
      <c r="G153" s="150" t="inlineStr">
        <is>
          <t>是</t>
        </is>
      </c>
      <c r="H153" s="150" t="inlineStr">
        <is>
          <t>整行启用时必填</t>
        </is>
      </c>
      <c r="I153" s="150" t="inlineStr">
        <is>
          <t>无</t>
        </is>
      </c>
      <c r="J153" s="150" t="n"/>
      <c r="K153" s="150" t="n"/>
      <c r="L153" s="150" t="str"/>
      <c r="M153" s="150" t="inlineStr">
        <is>
          <t>去首尾空格；全角转半角；保留原值，不自动改写</t>
        </is>
      </c>
      <c r="N153" s="150" t="inlineStr">
        <is>
          <t>异常时写入自动备注；不改写原值</t>
        </is>
      </c>
      <c r="O153" s="150" t="inlineStr">
        <is>
          <t>GB 28381-2012</t>
        </is>
      </c>
      <c r="P153" s="150" t="inlineStr">
        <is>
          <t>表1～表6</t>
        </is>
      </c>
    </row>
    <row r="154">
      <c r="A154" s="150" t="inlineStr">
        <is>
          <t>鼓风机</t>
        </is>
      </c>
      <c r="B154" s="150" t="inlineStr">
        <is>
          <t>model</t>
        </is>
      </c>
      <c r="C154" s="150" t="inlineStr">
        <is>
          <t>型号</t>
        </is>
      </c>
      <c r="D154" s="150" t="inlineStr">
        <is>
          <t>基础信息</t>
        </is>
      </c>
      <c r="E154" s="150" t="inlineStr">
        <is>
          <t>文本</t>
        </is>
      </c>
      <c r="F154" s="150" t="inlineStr">
        <is>
          <t>-</t>
        </is>
      </c>
      <c r="G154" s="150" t="inlineStr">
        <is>
          <t>是</t>
        </is>
      </c>
      <c r="H154" s="150" t="inlineStr">
        <is>
          <t>整行启用时必填</t>
        </is>
      </c>
      <c r="I154" s="150" t="inlineStr">
        <is>
          <t>无</t>
        </is>
      </c>
      <c r="J154" s="150" t="n"/>
      <c r="K154" s="150" t="n"/>
      <c r="L154" s="150" t="str"/>
      <c r="M154" s="150" t="inlineStr">
        <is>
          <t>去首尾空格；统一字母大小写、连接符和全半角；保留原值</t>
        </is>
      </c>
      <c r="N154" s="150" t="inlineStr">
        <is>
          <t>异常时写入自动备注；不改写原值</t>
        </is>
      </c>
      <c r="O154" s="150" t="inlineStr">
        <is>
          <t>GB 28381-2012</t>
        </is>
      </c>
      <c r="P154" s="150" t="inlineStr">
        <is>
          <t>表1～表6</t>
        </is>
      </c>
    </row>
    <row r="155">
      <c r="A155" s="150" t="inlineStr">
        <is>
          <t>鼓风机</t>
        </is>
      </c>
      <c r="B155" s="150" t="inlineStr">
        <is>
          <t>quantity</t>
        </is>
      </c>
      <c r="C155" s="150" t="inlineStr">
        <is>
          <t>数量</t>
        </is>
      </c>
      <c r="D155" s="150" t="inlineStr">
        <is>
          <t>基础信息</t>
        </is>
      </c>
      <c r="E155" s="150" t="inlineStr">
        <is>
          <t>整数</t>
        </is>
      </c>
      <c r="F155" s="150" t="inlineStr">
        <is>
          <t>-</t>
        </is>
      </c>
      <c r="G155" s="150" t="inlineStr">
        <is>
          <t>是</t>
        </is>
      </c>
      <c r="H155" s="150" t="inlineStr">
        <is>
          <t>整行启用时必填</t>
        </is>
      </c>
      <c r="I155" s="150" t="inlineStr">
        <is>
          <t>正整数</t>
        </is>
      </c>
      <c r="J155" s="150" t="n">
        <v>1</v>
      </c>
      <c r="K155" s="150" t="n"/>
      <c r="L155" s="150" t="str"/>
      <c r="M155" s="150" t="inlineStr">
        <is>
          <t>去首尾空格；全角转半角；保留原值，不自动改写</t>
        </is>
      </c>
      <c r="N155" s="150" t="inlineStr">
        <is>
          <t>异常时写入自动备注；不改写原值</t>
        </is>
      </c>
      <c r="O155" s="150" t="inlineStr">
        <is>
          <t>GB 28381-2012</t>
        </is>
      </c>
      <c r="P155" s="150" t="inlineStr">
        <is>
          <t>表1～表6</t>
        </is>
      </c>
    </row>
    <row r="156">
      <c r="A156" s="150" t="inlineStr">
        <is>
          <t>鼓风机</t>
        </is>
      </c>
      <c r="B156" s="150" t="inlineStr">
        <is>
          <t>location</t>
        </is>
      </c>
      <c r="C156" s="150" t="inlineStr">
        <is>
          <t>安装位置</t>
        </is>
      </c>
      <c r="D156" s="150" t="inlineStr">
        <is>
          <t>基础信息</t>
        </is>
      </c>
      <c r="E156" s="150" t="inlineStr">
        <is>
          <t>文本</t>
        </is>
      </c>
      <c r="F156" s="150" t="inlineStr">
        <is>
          <t>-</t>
        </is>
      </c>
      <c r="G156" s="150" t="inlineStr">
        <is>
          <t>是</t>
        </is>
      </c>
      <c r="H156" s="150" t="inlineStr">
        <is>
          <t>可选</t>
        </is>
      </c>
      <c r="I156" s="150" t="inlineStr">
        <is>
          <t>无</t>
        </is>
      </c>
      <c r="J156" s="150" t="n"/>
      <c r="K156" s="150" t="n"/>
      <c r="L156" s="150" t="str"/>
      <c r="M156" s="150" t="inlineStr">
        <is>
          <t>去首尾空格；全角转半角；保留原值，不自动改写</t>
        </is>
      </c>
      <c r="N156" s="150" t="inlineStr">
        <is>
          <t>异常时写入自动备注；不改写原值</t>
        </is>
      </c>
      <c r="O156" s="150" t="inlineStr">
        <is>
          <t>GB 28381-2012</t>
        </is>
      </c>
      <c r="P156" s="150" t="inlineStr">
        <is>
          <t>表1～表6</t>
        </is>
      </c>
    </row>
    <row r="157">
      <c r="A157" s="150" t="inlineStr">
        <is>
          <t>鼓风机</t>
        </is>
      </c>
      <c r="B157" s="150" t="inlineStr">
        <is>
          <t>category</t>
        </is>
      </c>
      <c r="C157" s="150" t="inlineStr">
        <is>
          <t>设备类别</t>
        </is>
      </c>
      <c r="D157" s="150" t="inlineStr">
        <is>
          <t>设备参数</t>
        </is>
      </c>
      <c r="E157" s="150" t="inlineStr">
        <is>
          <t>文本</t>
        </is>
      </c>
      <c r="F157" s="150" t="inlineStr">
        <is>
          <t>-</t>
        </is>
      </c>
      <c r="G157" s="150" t="inlineStr">
        <is>
          <t>是</t>
        </is>
      </c>
      <c r="H157" s="150" t="inlineStr">
        <is>
          <t>整行启用时必填</t>
        </is>
      </c>
      <c r="I157" s="150" t="inlineStr">
        <is>
          <t>停止型下拉；粘贴后由自动备注复核</t>
        </is>
      </c>
      <c r="J157" s="150" t="n"/>
      <c r="K157" s="150" t="n"/>
      <c r="L157" s="150" t="inlineStr">
        <is>
          <t>EV_BLOWER_CATEGORY</t>
        </is>
      </c>
      <c r="M157" s="150" t="inlineStr">
        <is>
          <t>去首尾空格；全角转半角；保留原值，不自动改写</t>
        </is>
      </c>
      <c r="N157" s="150" t="inlineStr">
        <is>
          <t>异常时写入自动备注；不改写原值</t>
        </is>
      </c>
      <c r="O157" s="150" t="inlineStr">
        <is>
          <t>GB 28381-2012</t>
        </is>
      </c>
      <c r="P157" s="150" t="inlineStr">
        <is>
          <t>表1～表6</t>
        </is>
      </c>
    </row>
    <row r="158">
      <c r="A158" s="150" t="inlineStr">
        <is>
          <t>鼓风机</t>
        </is>
      </c>
      <c r="B158" s="150" t="inlineStr">
        <is>
          <t>stages</t>
        </is>
      </c>
      <c r="C158" s="150" t="inlineStr">
        <is>
          <t>级数</t>
        </is>
      </c>
      <c r="D158" s="150" t="inlineStr">
        <is>
          <t>设备参数</t>
        </is>
      </c>
      <c r="E158" s="150" t="inlineStr">
        <is>
          <t>整数</t>
        </is>
      </c>
      <c r="F158" s="150" t="inlineStr">
        <is>
          <t>级</t>
        </is>
      </c>
      <c r="G158" s="150" t="inlineStr">
        <is>
          <t>是</t>
        </is>
      </c>
      <c r="H158" s="150" t="inlineStr">
        <is>
          <t>整行启用时必填</t>
        </is>
      </c>
      <c r="I158" s="150" t="inlineStr">
        <is>
          <t>正整数</t>
        </is>
      </c>
      <c r="J158" s="150" t="n">
        <v>1</v>
      </c>
      <c r="K158" s="150" t="n"/>
      <c r="L158" s="150" t="str"/>
      <c r="M158" s="150" t="inlineStr">
        <is>
          <t>去首尾空格；全角转半角；保留原值，不自动改写</t>
        </is>
      </c>
      <c r="N158" s="150" t="inlineStr">
        <is>
          <t>异常时写入自动备注；不改写原值</t>
        </is>
      </c>
      <c r="O158" s="150" t="inlineStr">
        <is>
          <t>GB 28381-2012</t>
        </is>
      </c>
      <c r="P158" s="150" t="inlineStr">
        <is>
          <t>表1～表6</t>
        </is>
      </c>
    </row>
    <row r="159">
      <c r="A159" s="150" t="inlineStr">
        <is>
          <t>鼓风机</t>
        </is>
      </c>
      <c r="B159" s="150" t="inlineStr">
        <is>
          <t>multi_impeller</t>
        </is>
      </c>
      <c r="C159" s="150" t="inlineStr">
        <is>
          <t>是否多级叶轮</t>
        </is>
      </c>
      <c r="D159" s="150" t="inlineStr">
        <is>
          <t>设备参数</t>
        </is>
      </c>
      <c r="E159" s="150" t="inlineStr">
        <is>
          <t>文本</t>
        </is>
      </c>
      <c r="F159" s="150" t="inlineStr">
        <is>
          <t>-</t>
        </is>
      </c>
      <c r="G159" s="150" t="inlineStr">
        <is>
          <t>是</t>
        </is>
      </c>
      <c r="H159" s="150" t="inlineStr">
        <is>
          <t>整行启用时必填</t>
        </is>
      </c>
      <c r="I159" s="150" t="inlineStr">
        <is>
          <t>停止型下拉；粘贴后由自动备注复核</t>
        </is>
      </c>
      <c r="J159" s="150" t="n"/>
      <c r="K159" s="150" t="n"/>
      <c r="L159" s="150" t="inlineStr">
        <is>
          <t>EV_YES_NO</t>
        </is>
      </c>
      <c r="M159" s="150" t="inlineStr">
        <is>
          <t>去首尾空格；全角转半角；保留原值，不自动改写</t>
        </is>
      </c>
      <c r="N159" s="150" t="inlineStr">
        <is>
          <t>异常时写入自动备注；不改写原值</t>
        </is>
      </c>
      <c r="O159" s="150" t="inlineStr">
        <is>
          <t>GB 28381-2012</t>
        </is>
      </c>
      <c r="P159" s="150" t="inlineStr">
        <is>
          <t>表1～表6</t>
        </is>
      </c>
    </row>
    <row r="160">
      <c r="A160" s="150" t="inlineStr">
        <is>
          <t>鼓风机</t>
        </is>
      </c>
      <c r="B160" s="150" t="inlineStr">
        <is>
          <t>cantilever</t>
        </is>
      </c>
      <c r="C160" s="150" t="inlineStr">
        <is>
          <t>是否悬臂式</t>
        </is>
      </c>
      <c r="D160" s="150" t="inlineStr">
        <is>
          <t>设备参数</t>
        </is>
      </c>
      <c r="E160" s="150" t="inlineStr">
        <is>
          <t>文本</t>
        </is>
      </c>
      <c r="F160" s="150" t="inlineStr">
        <is>
          <t>-</t>
        </is>
      </c>
      <c r="G160" s="150" t="inlineStr">
        <is>
          <t>是</t>
        </is>
      </c>
      <c r="H160" s="150" t="inlineStr">
        <is>
          <t>整行启用时必填</t>
        </is>
      </c>
      <c r="I160" s="150" t="inlineStr">
        <is>
          <t>停止型下拉；粘贴后由自动备注复核</t>
        </is>
      </c>
      <c r="J160" s="150" t="n"/>
      <c r="K160" s="150" t="n"/>
      <c r="L160" s="150" t="inlineStr">
        <is>
          <t>EV_YES_NO</t>
        </is>
      </c>
      <c r="M160" s="150" t="inlineStr">
        <is>
          <t>去首尾空格；全角转半角；保留原值，不自动改写</t>
        </is>
      </c>
      <c r="N160" s="150" t="inlineStr">
        <is>
          <t>异常时写入自动备注；不改写原值</t>
        </is>
      </c>
      <c r="O160" s="150" t="inlineStr">
        <is>
          <t>GB 28381-2012</t>
        </is>
      </c>
      <c r="P160" s="150" t="inlineStr">
        <is>
          <t>表1～表6</t>
        </is>
      </c>
    </row>
    <row r="161">
      <c r="A161" s="150" t="inlineStr">
        <is>
          <t>鼓风机</t>
        </is>
      </c>
      <c r="B161" s="150" t="inlineStr">
        <is>
          <t>flow</t>
        </is>
      </c>
      <c r="C161" s="150" t="inlineStr">
        <is>
          <t>容积流量</t>
        </is>
      </c>
      <c r="D161" s="150" t="inlineStr">
        <is>
          <t>设备参数</t>
        </is>
      </c>
      <c r="E161" s="150" t="inlineStr">
        <is>
          <t>数值</t>
        </is>
      </c>
      <c r="F161" s="150" t="inlineStr">
        <is>
          <t>m³/h</t>
        </is>
      </c>
      <c r="G161" s="150" t="inlineStr">
        <is>
          <t>是</t>
        </is>
      </c>
      <c r="H161" s="150" t="inlineStr">
        <is>
          <t>整行启用时必填</t>
        </is>
      </c>
      <c r="I161" s="150" t="inlineStr">
        <is>
          <t>数值&gt;0</t>
        </is>
      </c>
      <c r="J161" s="150" t="n">
        <v>0</v>
      </c>
      <c r="K161" s="150" t="n"/>
      <c r="L161" s="150" t="str"/>
      <c r="M161" s="150" t="inlineStr">
        <is>
          <t>去首尾空格；全角转半角；保留原值，不自动改写</t>
        </is>
      </c>
      <c r="N161" s="150" t="inlineStr">
        <is>
          <t>异常时写入自动备注；不改写原值</t>
        </is>
      </c>
      <c r="O161" s="150" t="inlineStr">
        <is>
          <t>GB 28381-2012</t>
        </is>
      </c>
      <c r="P161" s="150" t="inlineStr">
        <is>
          <t>表1～表6</t>
        </is>
      </c>
    </row>
    <row r="162">
      <c r="A162" s="150" t="inlineStr">
        <is>
          <t>鼓风机</t>
        </is>
      </c>
      <c r="B162" s="150" t="inlineStr">
        <is>
          <t>rated_power</t>
        </is>
      </c>
      <c r="C162" s="150" t="inlineStr">
        <is>
          <t>额定功率</t>
        </is>
      </c>
      <c r="D162" s="150" t="inlineStr">
        <is>
          <t>设备参数</t>
        </is>
      </c>
      <c r="E162" s="150" t="inlineStr">
        <is>
          <t>数值</t>
        </is>
      </c>
      <c r="F162" s="150" t="inlineStr">
        <is>
          <t>kW</t>
        </is>
      </c>
      <c r="G162" s="150" t="inlineStr">
        <is>
          <t>是</t>
        </is>
      </c>
      <c r="H162" s="150" t="inlineStr">
        <is>
          <t>整行启用时必填</t>
        </is>
      </c>
      <c r="I162" s="150" t="inlineStr">
        <is>
          <t>数值&gt;0</t>
        </is>
      </c>
      <c r="J162" s="150" t="n">
        <v>0</v>
      </c>
      <c r="K162" s="150" t="n"/>
      <c r="L162" s="150" t="str"/>
      <c r="M162" s="150" t="inlineStr">
        <is>
          <t>去首尾空格；全角转半角；保留原值，不自动改写</t>
        </is>
      </c>
      <c r="N162" s="150" t="inlineStr">
        <is>
          <t>异常时写入自动备注；不改写原值</t>
        </is>
      </c>
      <c r="O162" s="150" t="inlineStr">
        <is>
          <t>GB 28381-2012</t>
        </is>
      </c>
      <c r="P162" s="150" t="inlineStr">
        <is>
          <t>表1～表6</t>
        </is>
      </c>
    </row>
    <row r="163">
      <c r="A163" s="150" t="inlineStr">
        <is>
          <t>鼓风机</t>
        </is>
      </c>
      <c r="B163" s="150" t="inlineStr">
        <is>
          <t>p1</t>
        </is>
      </c>
      <c r="C163" s="150" t="inlineStr">
        <is>
          <t>进口绝对压力</t>
        </is>
      </c>
      <c r="D163" s="150" t="inlineStr">
        <is>
          <t>设备参数</t>
        </is>
      </c>
      <c r="E163" s="150" t="inlineStr">
        <is>
          <t>数值</t>
        </is>
      </c>
      <c r="F163" s="150" t="inlineStr">
        <is>
          <t>kPa</t>
        </is>
      </c>
      <c r="G163" s="150" t="inlineStr">
        <is>
          <t>是</t>
        </is>
      </c>
      <c r="H163" s="150" t="inlineStr">
        <is>
          <t>整行启用时必填</t>
        </is>
      </c>
      <c r="I163" s="150" t="inlineStr">
        <is>
          <t>数值&gt;0</t>
        </is>
      </c>
      <c r="J163" s="150" t="n">
        <v>0</v>
      </c>
      <c r="K163" s="150" t="n"/>
      <c r="L163" s="150" t="str"/>
      <c r="M163" s="150" t="inlineStr">
        <is>
          <t>去首尾空格；全角转半角；保留原值，不自动改写</t>
        </is>
      </c>
      <c r="N163" s="150" t="inlineStr">
        <is>
          <t>异常时写入自动备注；不改写原值</t>
        </is>
      </c>
      <c r="O163" s="150" t="inlineStr">
        <is>
          <t>GB 28381-2012</t>
        </is>
      </c>
      <c r="P163" s="150" t="inlineStr">
        <is>
          <t>表1～表6</t>
        </is>
      </c>
    </row>
    <row r="164">
      <c r="A164" s="150" t="inlineStr">
        <is>
          <t>鼓风机</t>
        </is>
      </c>
      <c r="B164" s="150" t="inlineStr">
        <is>
          <t>p2</t>
        </is>
      </c>
      <c r="C164" s="150" t="inlineStr">
        <is>
          <t>出口绝对压力</t>
        </is>
      </c>
      <c r="D164" s="150" t="inlineStr">
        <is>
          <t>设备参数</t>
        </is>
      </c>
      <c r="E164" s="150" t="inlineStr">
        <is>
          <t>数值</t>
        </is>
      </c>
      <c r="F164" s="150" t="inlineStr">
        <is>
          <t>kPa</t>
        </is>
      </c>
      <c r="G164" s="150" t="inlineStr">
        <is>
          <t>是</t>
        </is>
      </c>
      <c r="H164" s="150" t="inlineStr">
        <is>
          <t>整行启用时必填</t>
        </is>
      </c>
      <c r="I164" s="150" t="inlineStr">
        <is>
          <t>数值&gt;0</t>
        </is>
      </c>
      <c r="J164" s="150" t="n">
        <v>0</v>
      </c>
      <c r="K164" s="150" t="n"/>
      <c r="L164" s="150" t="str"/>
      <c r="M164" s="150" t="inlineStr">
        <is>
          <t>去首尾空格；全角转半角；保留原值，不自动改写</t>
        </is>
      </c>
      <c r="N164" s="150" t="inlineStr">
        <is>
          <t>异常时写入自动备注；不改写原值</t>
        </is>
      </c>
      <c r="O164" s="150" t="inlineStr">
        <is>
          <t>GB 28381-2012</t>
        </is>
      </c>
      <c r="P164" s="150" t="inlineStr">
        <is>
          <t>表1～表6</t>
        </is>
      </c>
    </row>
    <row r="165">
      <c r="A165" s="150" t="inlineStr">
        <is>
          <t>鼓风机</t>
        </is>
      </c>
      <c r="B165" s="150" t="inlineStr">
        <is>
          <t>t1</t>
        </is>
      </c>
      <c r="C165" s="150" t="inlineStr">
        <is>
          <t>进口温度</t>
        </is>
      </c>
      <c r="D165" s="150" t="inlineStr">
        <is>
          <t>设备参数</t>
        </is>
      </c>
      <c r="E165" s="150" t="inlineStr">
        <is>
          <t>数值</t>
        </is>
      </c>
      <c r="F165" s="150" t="inlineStr">
        <is>
          <t>K</t>
        </is>
      </c>
      <c r="G165" s="150" t="inlineStr">
        <is>
          <t>是</t>
        </is>
      </c>
      <c r="H165" s="150" t="inlineStr">
        <is>
          <t>整行启用时必填</t>
        </is>
      </c>
      <c r="I165" s="150" t="inlineStr">
        <is>
          <t>数值&gt;0</t>
        </is>
      </c>
      <c r="J165" s="150" t="n">
        <v>0</v>
      </c>
      <c r="K165" s="150" t="n"/>
      <c r="L165" s="150" t="str"/>
      <c r="M165" s="150" t="inlineStr">
        <is>
          <t>去首尾空格；全角转半角；保留原值，不自动改写</t>
        </is>
      </c>
      <c r="N165" s="150" t="inlineStr">
        <is>
          <t>异常时写入自动备注；不改写原值</t>
        </is>
      </c>
      <c r="O165" s="150" t="inlineStr">
        <is>
          <t>GB 28381-2012</t>
        </is>
      </c>
      <c r="P165" s="150" t="inlineStr">
        <is>
          <t>表1～表6</t>
        </is>
      </c>
    </row>
    <row r="166">
      <c r="A166" s="150" t="inlineStr">
        <is>
          <t>鼓风机</t>
        </is>
      </c>
      <c r="B166" s="150" t="inlineStr">
        <is>
          <t>t2</t>
        </is>
      </c>
      <c r="C166" s="150" t="inlineStr">
        <is>
          <t>出口温度</t>
        </is>
      </c>
      <c r="D166" s="150" t="inlineStr">
        <is>
          <t>设备参数</t>
        </is>
      </c>
      <c r="E166" s="150" t="inlineStr">
        <is>
          <t>数值</t>
        </is>
      </c>
      <c r="F166" s="150" t="inlineStr">
        <is>
          <t>K</t>
        </is>
      </c>
      <c r="G166" s="150" t="inlineStr">
        <is>
          <t>是</t>
        </is>
      </c>
      <c r="H166" s="150" t="inlineStr">
        <is>
          <t>整行启用时必填</t>
        </is>
      </c>
      <c r="I166" s="150" t="inlineStr">
        <is>
          <t>数值&gt;0</t>
        </is>
      </c>
      <c r="J166" s="150" t="n">
        <v>0</v>
      </c>
      <c r="K166" s="150" t="n"/>
      <c r="L166" s="150" t="str"/>
      <c r="M166" s="150" t="inlineStr">
        <is>
          <t>去首尾空格；全角转半角；保留原值，不自动改写</t>
        </is>
      </c>
      <c r="N166" s="150" t="inlineStr">
        <is>
          <t>异常时写入自动备注；不改写原值</t>
        </is>
      </c>
      <c r="O166" s="150" t="inlineStr">
        <is>
          <t>GB 28381-2012</t>
        </is>
      </c>
      <c r="P166" s="150" t="inlineStr">
        <is>
          <t>表1～表6</t>
        </is>
      </c>
    </row>
    <row r="167">
      <c r="A167" s="150" t="inlineStr">
        <is>
          <t>鼓风机</t>
        </is>
      </c>
      <c r="B167" s="150" t="inlineStr">
        <is>
          <t>isentropic_k</t>
        </is>
      </c>
      <c r="C167" s="150" t="inlineStr">
        <is>
          <t>绝热指数k</t>
        </is>
      </c>
      <c r="D167" s="150" t="inlineStr">
        <is>
          <t>设备参数</t>
        </is>
      </c>
      <c r="E167" s="150" t="inlineStr">
        <is>
          <t>数值</t>
        </is>
      </c>
      <c r="F167" s="150" t="inlineStr">
        <is>
          <t>-</t>
        </is>
      </c>
      <c r="G167" s="150" t="inlineStr">
        <is>
          <t>是</t>
        </is>
      </c>
      <c r="H167" s="150" t="inlineStr">
        <is>
          <t>整行启用时必填</t>
        </is>
      </c>
      <c r="I167" s="150" t="inlineStr">
        <is>
          <t>1～2</t>
        </is>
      </c>
      <c r="J167" s="150" t="n">
        <v>1</v>
      </c>
      <c r="K167" s="150" t="n">
        <v>2</v>
      </c>
      <c r="L167" s="150" t="str"/>
      <c r="M167" s="150" t="inlineStr">
        <is>
          <t>去首尾空格；全角转半角；保留原值，不自动改写</t>
        </is>
      </c>
      <c r="N167" s="150" t="inlineStr">
        <is>
          <t>异常时写入自动备注；不改写原值</t>
        </is>
      </c>
      <c r="O167" s="150" t="inlineStr">
        <is>
          <t>GB 28381-2012</t>
        </is>
      </c>
      <c r="P167" s="150" t="inlineStr">
        <is>
          <t>表1～表6</t>
        </is>
      </c>
    </row>
    <row r="168">
      <c r="A168" s="150" t="inlineStr">
        <is>
          <t>鼓风机</t>
        </is>
      </c>
      <c r="B168" s="150" t="inlineStr">
        <is>
          <t>b2</t>
        </is>
      </c>
      <c r="C168" s="150" t="inlineStr">
        <is>
          <t>叶轮出口宽度b₂</t>
        </is>
      </c>
      <c r="D168" s="150" t="inlineStr">
        <is>
          <t>设备参数</t>
        </is>
      </c>
      <c r="E168" s="150" t="inlineStr">
        <is>
          <t>数值</t>
        </is>
      </c>
      <c r="F168" s="150" t="inlineStr">
        <is>
          <t>mm</t>
        </is>
      </c>
      <c r="G168" s="150" t="inlineStr">
        <is>
          <t>是</t>
        </is>
      </c>
      <c r="H168" s="150" t="inlineStr">
        <is>
          <t>整行启用时必填</t>
        </is>
      </c>
      <c r="I168" s="150" t="inlineStr">
        <is>
          <t>数值&gt;0</t>
        </is>
      </c>
      <c r="J168" s="150" t="n">
        <v>0</v>
      </c>
      <c r="K168" s="150" t="n"/>
      <c r="L168" s="150" t="str"/>
      <c r="M168" s="150" t="inlineStr">
        <is>
          <t>去首尾空格；全角转半角；保留原值，不自动改写</t>
        </is>
      </c>
      <c r="N168" s="150" t="inlineStr">
        <is>
          <t>异常时写入自动备注；不改写原值</t>
        </is>
      </c>
      <c r="O168" s="150" t="inlineStr">
        <is>
          <t>GB 28381-2012</t>
        </is>
      </c>
      <c r="P168" s="150" t="inlineStr">
        <is>
          <t>表1～表6</t>
        </is>
      </c>
    </row>
    <row r="169">
      <c r="A169" s="150" t="inlineStr">
        <is>
          <t>鼓风机</t>
        </is>
      </c>
      <c r="B169" s="150" t="inlineStr">
        <is>
          <t>d2</t>
        </is>
      </c>
      <c r="C169" s="150" t="inlineStr">
        <is>
          <t>叶轮出口直径D₂</t>
        </is>
      </c>
      <c r="D169" s="150" t="inlineStr">
        <is>
          <t>设备参数</t>
        </is>
      </c>
      <c r="E169" s="150" t="inlineStr">
        <is>
          <t>数值</t>
        </is>
      </c>
      <c r="F169" s="150" t="inlineStr">
        <is>
          <t>mm</t>
        </is>
      </c>
      <c r="G169" s="150" t="inlineStr">
        <is>
          <t>是</t>
        </is>
      </c>
      <c r="H169" s="150" t="inlineStr">
        <is>
          <t>整行启用时必填</t>
        </is>
      </c>
      <c r="I169" s="150" t="inlineStr">
        <is>
          <t>数值&gt;0</t>
        </is>
      </c>
      <c r="J169" s="150" t="n">
        <v>0</v>
      </c>
      <c r="K169" s="150" t="n"/>
      <c r="L169" s="150" t="str"/>
      <c r="M169" s="150" t="inlineStr">
        <is>
          <t>去首尾空格；全角转半角；保留原值，不自动改写</t>
        </is>
      </c>
      <c r="N169" s="150" t="inlineStr">
        <is>
          <t>异常时写入自动备注；不改写原值</t>
        </is>
      </c>
      <c r="O169" s="150" t="inlineStr">
        <is>
          <t>GB 28381-2012</t>
        </is>
      </c>
      <c r="P169" s="150" t="inlineStr">
        <is>
          <t>表1～表6</t>
        </is>
      </c>
    </row>
    <row r="170">
      <c r="A170" s="150" t="inlineStr">
        <is>
          <t>鼓风机</t>
        </is>
      </c>
      <c r="B170" s="150" t="inlineStr">
        <is>
          <t>polytropic_efficiency</t>
        </is>
      </c>
      <c r="C170" s="150" t="inlineStr">
        <is>
          <t>多变效率</t>
        </is>
      </c>
      <c r="D170" s="150" t="inlineStr">
        <is>
          <t>设备参数</t>
        </is>
      </c>
      <c r="E170" s="150" t="inlineStr">
        <is>
          <t>数值</t>
        </is>
      </c>
      <c r="F170" s="150" t="inlineStr">
        <is>
          <t>%</t>
        </is>
      </c>
      <c r="G170" s="150" t="inlineStr">
        <is>
          <t>是</t>
        </is>
      </c>
      <c r="H170" s="150" t="inlineStr">
        <is>
          <t>整行启用时必填</t>
        </is>
      </c>
      <c r="I170" s="150" t="inlineStr">
        <is>
          <t>百分数本值1～100</t>
        </is>
      </c>
      <c r="J170" s="150" t="n">
        <v>1</v>
      </c>
      <c r="K170" s="150" t="n">
        <v>100</v>
      </c>
      <c r="L170" s="150" t="str"/>
      <c r="M170" s="150" t="inlineStr">
        <is>
          <t>去首尾空格；全角转半角；保留原值，不自动改写</t>
        </is>
      </c>
      <c r="N170" s="150" t="inlineStr">
        <is>
          <t>异常时写入自动备注；不改写原值</t>
        </is>
      </c>
      <c r="O170" s="150" t="inlineStr">
        <is>
          <t>GB 28381-2012</t>
        </is>
      </c>
      <c r="P170" s="150" t="inlineStr">
        <is>
          <t>表1～表6</t>
        </is>
      </c>
    </row>
    <row r="171">
      <c r="A171" s="150" t="inlineStr">
        <is>
          <t>鼓风机</t>
        </is>
      </c>
      <c r="B171" s="150" t="inlineStr">
        <is>
          <t>three_dimensional</t>
        </is>
      </c>
      <c r="C171" s="150" t="inlineStr">
        <is>
          <t>是否三元流动叶轮</t>
        </is>
      </c>
      <c r="D171" s="150" t="inlineStr">
        <is>
          <t>设备参数</t>
        </is>
      </c>
      <c r="E171" s="150" t="inlineStr">
        <is>
          <t>文本</t>
        </is>
      </c>
      <c r="F171" s="150" t="inlineStr">
        <is>
          <t>-</t>
        </is>
      </c>
      <c r="G171" s="150" t="inlineStr">
        <is>
          <t>是</t>
        </is>
      </c>
      <c r="H171" s="150" t="inlineStr">
        <is>
          <t>整行启用时必填</t>
        </is>
      </c>
      <c r="I171" s="150" t="inlineStr">
        <is>
          <t>停止型下拉；粘贴后由自动备注复核</t>
        </is>
      </c>
      <c r="J171" s="150" t="n"/>
      <c r="K171" s="150" t="n"/>
      <c r="L171" s="150" t="inlineStr">
        <is>
          <t>EV_YES_NO</t>
        </is>
      </c>
      <c r="M171" s="150" t="inlineStr">
        <is>
          <t>去首尾空格；全角转半角；保留原值，不自动改写</t>
        </is>
      </c>
      <c r="N171" s="150" t="inlineStr">
        <is>
          <t>异常时写入自动备注；不改写原值</t>
        </is>
      </c>
      <c r="O171" s="150" t="inlineStr">
        <is>
          <t>GB 28381-2012</t>
        </is>
      </c>
      <c r="P171" s="150" t="inlineStr">
        <is>
          <t>表1～表6</t>
        </is>
      </c>
    </row>
    <row r="172">
      <c r="A172" s="150" t="inlineStr">
        <is>
          <t>鼓风机</t>
        </is>
      </c>
      <c r="B172" s="150" t="inlineStr">
        <is>
          <t>b2_d2</t>
        </is>
      </c>
      <c r="C172" s="150" t="inlineStr">
        <is>
          <t>b₂/D₂</t>
        </is>
      </c>
      <c r="D172" s="150" t="inlineStr">
        <is>
          <t>计算辅助结果</t>
        </is>
      </c>
      <c r="E172" s="150" t="inlineStr">
        <is>
          <t>文本</t>
        </is>
      </c>
      <c r="F172" s="150" t="inlineStr">
        <is>
          <t>-</t>
        </is>
      </c>
      <c r="G172" s="150" t="inlineStr">
        <is>
          <t>否</t>
        </is>
      </c>
      <c r="H172" s="150" t="inlineStr">
        <is>
          <t>本阶段锁定预留</t>
        </is>
      </c>
      <c r="I172" s="150" t="inlineStr">
        <is>
          <t>无</t>
        </is>
      </c>
      <c r="J172" s="150" t="n"/>
      <c r="K172" s="150" t="n"/>
      <c r="L172" s="150" t="str"/>
      <c r="M172" s="150" t="inlineStr">
        <is>
          <t>锁定预留，不清洗</t>
        </is>
      </c>
      <c r="N172" s="150" t="inlineStr">
        <is>
          <t>本阶段不查询、不判定</t>
        </is>
      </c>
      <c r="O172" s="150" t="inlineStr">
        <is>
          <t>GB 28381-2012</t>
        </is>
      </c>
      <c r="P172" s="150" t="inlineStr">
        <is>
          <t>表1～表6</t>
        </is>
      </c>
    </row>
    <row r="173">
      <c r="A173" s="150" t="inlineStr">
        <is>
          <t>鼓风机</t>
        </is>
      </c>
      <c r="B173" s="150" t="inlineStr">
        <is>
          <t>limit_value</t>
        </is>
      </c>
      <c r="C173" s="150" t="inlineStr">
        <is>
          <t>能效限定值</t>
        </is>
      </c>
      <c r="D173" s="150" t="inlineStr">
        <is>
          <t>标准查询结果</t>
        </is>
      </c>
      <c r="E173" s="150" t="inlineStr">
        <is>
          <t>数值</t>
        </is>
      </c>
      <c r="F173" s="150" t="inlineStr">
        <is>
          <t>%</t>
        </is>
      </c>
      <c r="G173" s="150" t="inlineStr">
        <is>
          <t>否</t>
        </is>
      </c>
      <c r="H173" s="150" t="inlineStr">
        <is>
          <t>本阶段锁定预留</t>
        </is>
      </c>
      <c r="I173" s="150" t="inlineStr">
        <is>
          <t>无</t>
        </is>
      </c>
      <c r="J173" s="150" t="n"/>
      <c r="K173" s="150" t="n"/>
      <c r="L173" s="150" t="str"/>
      <c r="M173" s="150" t="inlineStr">
        <is>
          <t>锁定预留，不清洗</t>
        </is>
      </c>
      <c r="N173" s="150" t="inlineStr">
        <is>
          <t>本阶段不查询、不判定</t>
        </is>
      </c>
      <c r="O173" s="150" t="inlineStr">
        <is>
          <t>GB 28381-2012</t>
        </is>
      </c>
      <c r="P173" s="150" t="inlineStr">
        <is>
          <t>表1～表6</t>
        </is>
      </c>
    </row>
    <row r="174">
      <c r="A174" s="150" t="inlineStr">
        <is>
          <t>鼓风机</t>
        </is>
      </c>
      <c r="B174" s="150" t="inlineStr">
        <is>
          <t>saving_value</t>
        </is>
      </c>
      <c r="C174" s="150" t="inlineStr">
        <is>
          <t>节能评价值</t>
        </is>
      </c>
      <c r="D174" s="150" t="inlineStr">
        <is>
          <t>标准查询结果</t>
        </is>
      </c>
      <c r="E174" s="150" t="inlineStr">
        <is>
          <t>数值</t>
        </is>
      </c>
      <c r="F174" s="150" t="inlineStr">
        <is>
          <t>%</t>
        </is>
      </c>
      <c r="G174" s="150" t="inlineStr">
        <is>
          <t>否</t>
        </is>
      </c>
      <c r="H174" s="150" t="inlineStr">
        <is>
          <t>本阶段锁定预留</t>
        </is>
      </c>
      <c r="I174" s="150" t="inlineStr">
        <is>
          <t>无</t>
        </is>
      </c>
      <c r="J174" s="150" t="n"/>
      <c r="K174" s="150" t="n"/>
      <c r="L174" s="150" t="str"/>
      <c r="M174" s="150" t="inlineStr">
        <is>
          <t>锁定预留，不清洗</t>
        </is>
      </c>
      <c r="N174" s="150" t="inlineStr">
        <is>
          <t>本阶段不查询、不判定</t>
        </is>
      </c>
      <c r="O174" s="150" t="inlineStr">
        <is>
          <t>GB 28381-2012</t>
        </is>
      </c>
      <c r="P174" s="150" t="inlineStr">
        <is>
          <t>表1～表6</t>
        </is>
      </c>
    </row>
    <row r="175">
      <c r="A175" s="150" t="inlineStr">
        <is>
          <t>鼓风机</t>
        </is>
      </c>
      <c r="B175" s="150" t="inlineStr">
        <is>
          <t>conclusion</t>
        </is>
      </c>
      <c r="C175" s="150" t="inlineStr">
        <is>
          <t>能效结论</t>
        </is>
      </c>
      <c r="D175" s="150" t="inlineStr">
        <is>
          <t>结论</t>
        </is>
      </c>
      <c r="E175" s="150" t="inlineStr">
        <is>
          <t>文本</t>
        </is>
      </c>
      <c r="F175" s="150" t="inlineStr">
        <is>
          <t>-</t>
        </is>
      </c>
      <c r="G175" s="150" t="inlineStr">
        <is>
          <t>否</t>
        </is>
      </c>
      <c r="H175" s="150" t="inlineStr">
        <is>
          <t>本阶段锁定预留</t>
        </is>
      </c>
      <c r="I175" s="150" t="inlineStr">
        <is>
          <t>无</t>
        </is>
      </c>
      <c r="J175" s="150" t="n"/>
      <c r="K175" s="150" t="n"/>
      <c r="L175" s="150" t="str"/>
      <c r="M175" s="150" t="inlineStr">
        <is>
          <t>锁定预留，不清洗</t>
        </is>
      </c>
      <c r="N175" s="150" t="inlineStr">
        <is>
          <t>本阶段不查询、不判定</t>
        </is>
      </c>
      <c r="O175" s="150" t="inlineStr">
        <is>
          <t>GB 28381-2012</t>
        </is>
      </c>
      <c r="P175" s="150" t="inlineStr">
        <is>
          <t>表1～表6</t>
        </is>
      </c>
    </row>
    <row r="176">
      <c r="A176" s="150" t="inlineStr">
        <is>
          <t>鼓风机</t>
        </is>
      </c>
      <c r="B176" s="150" t="inlineStr">
        <is>
          <t>photo</t>
        </is>
      </c>
      <c r="C176" s="150" t="inlineStr">
        <is>
          <t>铭牌照片</t>
        </is>
      </c>
      <c r="D176" s="150" t="inlineStr">
        <is>
          <t>附件备注</t>
        </is>
      </c>
      <c r="E176" s="150" t="inlineStr">
        <is>
          <t>图片</t>
        </is>
      </c>
      <c r="F176" s="150" t="inlineStr">
        <is>
          <t>-</t>
        </is>
      </c>
      <c r="G176" s="150" t="inlineStr">
        <is>
          <t>是</t>
        </is>
      </c>
      <c r="H176" s="150" t="inlineStr">
        <is>
          <t>整行启用时必填</t>
        </is>
      </c>
      <c r="I176" s="150" t="inlineStr">
        <is>
          <t>无</t>
        </is>
      </c>
      <c r="J176" s="150" t="n"/>
      <c r="K176" s="150" t="n"/>
      <c r="L176" s="150" t="str"/>
      <c r="M176" s="150" t="inlineStr">
        <is>
          <t>仅接受Excel“置于单元格”图片；不接受浮动图片</t>
        </is>
      </c>
      <c r="N176" s="150" t="inlineStr">
        <is>
          <t>为空时提示缺少铭牌照片</t>
        </is>
      </c>
      <c r="O176" s="150" t="inlineStr">
        <is>
          <t>GB 28381-2012</t>
        </is>
      </c>
      <c r="P176" s="150" t="inlineStr">
        <is>
          <t>表1～表6</t>
        </is>
      </c>
    </row>
    <row r="177">
      <c r="A177" s="150" t="inlineStr">
        <is>
          <t>鼓风机</t>
        </is>
      </c>
      <c r="B177" s="150" t="inlineStr">
        <is>
          <t>fill_note</t>
        </is>
      </c>
      <c r="C177" s="150" t="inlineStr">
        <is>
          <t>填表备注</t>
        </is>
      </c>
      <c r="D177" s="150" t="inlineStr">
        <is>
          <t>附件备注</t>
        </is>
      </c>
      <c r="E177" s="150" t="inlineStr">
        <is>
          <t>文本</t>
        </is>
      </c>
      <c r="F177" s="150" t="inlineStr">
        <is>
          <t>-</t>
        </is>
      </c>
      <c r="G177" s="150" t="inlineStr">
        <is>
          <t>是</t>
        </is>
      </c>
      <c r="H177" s="150" t="inlineStr">
        <is>
          <t>可选</t>
        </is>
      </c>
      <c r="I177" s="150" t="inlineStr">
        <is>
          <t>无</t>
        </is>
      </c>
      <c r="J177" s="150" t="n"/>
      <c r="K177" s="150" t="n"/>
      <c r="L177" s="150" t="str"/>
      <c r="M177" s="150" t="inlineStr">
        <is>
          <t>去首尾空格；全角转半角；保留原值，不自动改写</t>
        </is>
      </c>
      <c r="N177" s="150" t="inlineStr">
        <is>
          <t>异常时写入自动备注；不改写原值</t>
        </is>
      </c>
      <c r="O177" s="150" t="inlineStr">
        <is>
          <t>GB 28381-2012</t>
        </is>
      </c>
      <c r="P177" s="150" t="inlineStr">
        <is>
          <t>表1～表6</t>
        </is>
      </c>
    </row>
    <row r="178">
      <c r="A178" s="150" t="inlineStr">
        <is>
          <t>鼓风机</t>
        </is>
      </c>
      <c r="B178" s="150" t="inlineStr">
        <is>
          <t>auto_note</t>
        </is>
      </c>
      <c r="C178" s="150" t="inlineStr">
        <is>
          <t>自动备注</t>
        </is>
      </c>
      <c r="D178" s="150" t="inlineStr">
        <is>
          <t>附件备注</t>
        </is>
      </c>
      <c r="E178" s="150" t="inlineStr">
        <is>
          <t>公式</t>
        </is>
      </c>
      <c r="F178" s="150" t="inlineStr">
        <is>
          <t>-</t>
        </is>
      </c>
      <c r="G178" s="150" t="inlineStr">
        <is>
          <t>否</t>
        </is>
      </c>
      <c r="H178" s="150" t="inlineStr">
        <is>
          <t>公式生成</t>
        </is>
      </c>
      <c r="I178" s="150" t="inlineStr">
        <is>
          <t>无</t>
        </is>
      </c>
      <c r="J178" s="150" t="n"/>
      <c r="K178" s="150" t="n"/>
      <c r="L178" s="150" t="str"/>
      <c r="M178" s="150" t="inlineStr">
        <is>
          <t>锁定公式列，不清洗</t>
        </is>
      </c>
      <c r="N178" s="150" t="inlineStr">
        <is>
          <t>公式锁定并随表格扩展</t>
        </is>
      </c>
      <c r="O178" s="150" t="inlineStr">
        <is>
          <t>GB 28381-2012</t>
        </is>
      </c>
      <c r="P178" s="150" t="inlineStr">
        <is>
          <t>表1～表6</t>
        </is>
      </c>
    </row>
    <row r="179">
      <c r="A179" s="150" t="inlineStr">
        <is>
          <t>潜水电泵</t>
        </is>
      </c>
      <c r="B179" s="150" t="inlineStr">
        <is>
          <t>seq</t>
        </is>
      </c>
      <c r="C179" s="150" t="inlineStr">
        <is>
          <t>序号</t>
        </is>
      </c>
      <c r="D179" s="150" t="inlineStr">
        <is>
          <t>基础信息</t>
        </is>
      </c>
      <c r="E179" s="150" t="inlineStr">
        <is>
          <t>整数</t>
        </is>
      </c>
      <c r="F179" s="150" t="inlineStr">
        <is>
          <t>-</t>
        </is>
      </c>
      <c r="G179" s="150" t="inlineStr">
        <is>
          <t>否</t>
        </is>
      </c>
      <c r="H179" s="150" t="inlineStr">
        <is>
          <t>公式生成</t>
        </is>
      </c>
      <c r="I179" s="150" t="inlineStr">
        <is>
          <t>无</t>
        </is>
      </c>
      <c r="J179" s="150" t="n"/>
      <c r="K179" s="150" t="n"/>
      <c r="L179" s="150" t="str"/>
      <c r="M179" s="150" t="inlineStr">
        <is>
          <t>锁定公式列，不清洗</t>
        </is>
      </c>
      <c r="N179" s="150" t="inlineStr">
        <is>
          <t>公式锁定并随表格扩展</t>
        </is>
      </c>
      <c r="O179" s="150" t="inlineStr">
        <is>
          <t>GB 32030-2022</t>
        </is>
      </c>
      <c r="P179" s="150" t="inlineStr">
        <is>
          <t>第1章、表1～表7</t>
        </is>
      </c>
    </row>
    <row r="180">
      <c r="A180" s="150" t="inlineStr">
        <is>
          <t>潜水电泵</t>
        </is>
      </c>
      <c r="B180" s="150" t="inlineStr">
        <is>
          <t>device_name</t>
        </is>
      </c>
      <c r="C180" s="150" t="inlineStr">
        <is>
          <t>设备名称</t>
        </is>
      </c>
      <c r="D180" s="150" t="inlineStr">
        <is>
          <t>基础信息</t>
        </is>
      </c>
      <c r="E180" s="150" t="inlineStr">
        <is>
          <t>文本</t>
        </is>
      </c>
      <c r="F180" s="150" t="inlineStr">
        <is>
          <t>-</t>
        </is>
      </c>
      <c r="G180" s="150" t="inlineStr">
        <is>
          <t>是</t>
        </is>
      </c>
      <c r="H180" s="150" t="inlineStr">
        <is>
          <t>整行启用时必填</t>
        </is>
      </c>
      <c r="I180" s="150" t="inlineStr">
        <is>
          <t>无</t>
        </is>
      </c>
      <c r="J180" s="150" t="n"/>
      <c r="K180" s="150" t="n"/>
      <c r="L180" s="150" t="str"/>
      <c r="M180" s="150" t="inlineStr">
        <is>
          <t>去首尾空格；全角转半角；保留原值，不自动改写</t>
        </is>
      </c>
      <c r="N180" s="150" t="inlineStr">
        <is>
          <t>异常时写入自动备注；不改写原值</t>
        </is>
      </c>
      <c r="O180" s="150" t="inlineStr">
        <is>
          <t>GB 32030-2022</t>
        </is>
      </c>
      <c r="P180" s="150" t="inlineStr">
        <is>
          <t>第1章、表1～表7</t>
        </is>
      </c>
    </row>
    <row r="181">
      <c r="A181" s="150" t="inlineStr">
        <is>
          <t>潜水电泵</t>
        </is>
      </c>
      <c r="B181" s="150" t="inlineStr">
        <is>
          <t>model</t>
        </is>
      </c>
      <c r="C181" s="150" t="inlineStr">
        <is>
          <t>型号</t>
        </is>
      </c>
      <c r="D181" s="150" t="inlineStr">
        <is>
          <t>基础信息</t>
        </is>
      </c>
      <c r="E181" s="150" t="inlineStr">
        <is>
          <t>文本</t>
        </is>
      </c>
      <c r="F181" s="150" t="inlineStr">
        <is>
          <t>-</t>
        </is>
      </c>
      <c r="G181" s="150" t="inlineStr">
        <is>
          <t>是</t>
        </is>
      </c>
      <c r="H181" s="150" t="inlineStr">
        <is>
          <t>整行启用时必填</t>
        </is>
      </c>
      <c r="I181" s="150" t="inlineStr">
        <is>
          <t>无</t>
        </is>
      </c>
      <c r="J181" s="150" t="n"/>
      <c r="K181" s="150" t="n"/>
      <c r="L181" s="150" t="str"/>
      <c r="M181" s="150" t="inlineStr">
        <is>
          <t>去首尾空格；统一字母大小写、连接符和全半角；保留原值</t>
        </is>
      </c>
      <c r="N181" s="150" t="inlineStr">
        <is>
          <t>异常时写入自动备注；不改写原值</t>
        </is>
      </c>
      <c r="O181" s="150" t="inlineStr">
        <is>
          <t>GB 32030-2022</t>
        </is>
      </c>
      <c r="P181" s="150" t="inlineStr">
        <is>
          <t>第1章、表1～表7</t>
        </is>
      </c>
    </row>
    <row r="182">
      <c r="A182" s="150" t="inlineStr">
        <is>
          <t>潜水电泵</t>
        </is>
      </c>
      <c r="B182" s="150" t="inlineStr">
        <is>
          <t>quantity</t>
        </is>
      </c>
      <c r="C182" s="150" t="inlineStr">
        <is>
          <t>数量</t>
        </is>
      </c>
      <c r="D182" s="150" t="inlineStr">
        <is>
          <t>基础信息</t>
        </is>
      </c>
      <c r="E182" s="150" t="inlineStr">
        <is>
          <t>整数</t>
        </is>
      </c>
      <c r="F182" s="150" t="inlineStr">
        <is>
          <t>-</t>
        </is>
      </c>
      <c r="G182" s="150" t="inlineStr">
        <is>
          <t>是</t>
        </is>
      </c>
      <c r="H182" s="150" t="inlineStr">
        <is>
          <t>整行启用时必填</t>
        </is>
      </c>
      <c r="I182" s="150" t="inlineStr">
        <is>
          <t>正整数</t>
        </is>
      </c>
      <c r="J182" s="150" t="n">
        <v>1</v>
      </c>
      <c r="K182" s="150" t="n"/>
      <c r="L182" s="150" t="str"/>
      <c r="M182" s="150" t="inlineStr">
        <is>
          <t>去首尾空格；全角转半角；保留原值，不自动改写</t>
        </is>
      </c>
      <c r="N182" s="150" t="inlineStr">
        <is>
          <t>异常时写入自动备注；不改写原值</t>
        </is>
      </c>
      <c r="O182" s="150" t="inlineStr">
        <is>
          <t>GB 32030-2022</t>
        </is>
      </c>
      <c r="P182" s="150" t="inlineStr">
        <is>
          <t>第1章、表1～表7</t>
        </is>
      </c>
    </row>
    <row r="183">
      <c r="A183" s="150" t="inlineStr">
        <is>
          <t>潜水电泵</t>
        </is>
      </c>
      <c r="B183" s="150" t="inlineStr">
        <is>
          <t>location</t>
        </is>
      </c>
      <c r="C183" s="150" t="inlineStr">
        <is>
          <t>安装位置</t>
        </is>
      </c>
      <c r="D183" s="150" t="inlineStr">
        <is>
          <t>基础信息</t>
        </is>
      </c>
      <c r="E183" s="150" t="inlineStr">
        <is>
          <t>文本</t>
        </is>
      </c>
      <c r="F183" s="150" t="inlineStr">
        <is>
          <t>-</t>
        </is>
      </c>
      <c r="G183" s="150" t="inlineStr">
        <is>
          <t>是</t>
        </is>
      </c>
      <c r="H183" s="150" t="inlineStr">
        <is>
          <t>可选</t>
        </is>
      </c>
      <c r="I183" s="150" t="inlineStr">
        <is>
          <t>无</t>
        </is>
      </c>
      <c r="J183" s="150" t="n"/>
      <c r="K183" s="150" t="n"/>
      <c r="L183" s="150" t="str"/>
      <c r="M183" s="150" t="inlineStr">
        <is>
          <t>去首尾空格；全角转半角；保留原值，不自动改写</t>
        </is>
      </c>
      <c r="N183" s="150" t="inlineStr">
        <is>
          <t>异常时写入自动备注；不改写原值</t>
        </is>
      </c>
      <c r="O183" s="150" t="inlineStr">
        <is>
          <t>GB 32030-2022</t>
        </is>
      </c>
      <c r="P183" s="150" t="inlineStr">
        <is>
          <t>第1章、表1～表7</t>
        </is>
      </c>
    </row>
    <row r="184">
      <c r="A184" s="150" t="inlineStr">
        <is>
          <t>潜水电泵</t>
        </is>
      </c>
      <c r="B184" s="150" t="inlineStr">
        <is>
          <t>category</t>
        </is>
      </c>
      <c r="C184" s="150" t="inlineStr">
        <is>
          <t>设备类别</t>
        </is>
      </c>
      <c r="D184" s="150" t="inlineStr">
        <is>
          <t>设备参数</t>
        </is>
      </c>
      <c r="E184" s="150" t="inlineStr">
        <is>
          <t>文本</t>
        </is>
      </c>
      <c r="F184" s="150" t="inlineStr">
        <is>
          <t>-</t>
        </is>
      </c>
      <c r="G184" s="150" t="inlineStr">
        <is>
          <t>是</t>
        </is>
      </c>
      <c r="H184" s="150" t="inlineStr">
        <is>
          <t>整行启用时必填</t>
        </is>
      </c>
      <c r="I184" s="150" t="inlineStr">
        <is>
          <t>停止型下拉；粘贴后由自动备注复核</t>
        </is>
      </c>
      <c r="J184" s="150" t="n"/>
      <c r="K184" s="150" t="n"/>
      <c r="L184" s="150" t="inlineStr">
        <is>
          <t>EV_SUBMERSIBLE_CATEGORY</t>
        </is>
      </c>
      <c r="M184" s="150" t="inlineStr">
        <is>
          <t>去首尾空格；全角转半角；保留原值，不自动改写</t>
        </is>
      </c>
      <c r="N184" s="150" t="inlineStr">
        <is>
          <t>异常时写入自动备注；不改写原值</t>
        </is>
      </c>
      <c r="O184" s="150" t="inlineStr">
        <is>
          <t>GB 32030-2022</t>
        </is>
      </c>
      <c r="P184" s="150" t="inlineStr">
        <is>
          <t>第1章、表1～表7</t>
        </is>
      </c>
    </row>
    <row r="185">
      <c r="A185" s="150" t="inlineStr">
        <is>
          <t>潜水电泵</t>
        </is>
      </c>
      <c r="B185" s="150" t="inlineStr">
        <is>
          <t>device_form</t>
        </is>
      </c>
      <c r="C185" s="150" t="inlineStr">
        <is>
          <t>设备形式</t>
        </is>
      </c>
      <c r="D185" s="150" t="inlineStr">
        <is>
          <t>设备参数</t>
        </is>
      </c>
      <c r="E185" s="150" t="inlineStr">
        <is>
          <t>文本</t>
        </is>
      </c>
      <c r="F185" s="150" t="inlineStr">
        <is>
          <t>-</t>
        </is>
      </c>
      <c r="G185" s="150" t="inlineStr">
        <is>
          <t>是</t>
        </is>
      </c>
      <c r="H185" s="150" t="inlineStr">
        <is>
          <t>按设备类别选择对应设备形式</t>
        </is>
      </c>
      <c r="I185" s="150" t="inlineStr">
        <is>
          <t>关联停止型下拉；粘贴后由自动备注复核</t>
        </is>
      </c>
      <c r="J185" s="150" t="n"/>
      <c r="K185" s="150" t="n"/>
      <c r="L185" s="150" t="inlineStr">
        <is>
          <t>EV_SUB_FORM_ALL</t>
        </is>
      </c>
      <c r="M185" s="150" t="inlineStr">
        <is>
          <t>去首尾空格；全角转半角；保留原值，不自动改写</t>
        </is>
      </c>
      <c r="N185" s="150" t="inlineStr">
        <is>
          <t>异常时写入自动备注；不改写原值</t>
        </is>
      </c>
      <c r="O185" s="150" t="inlineStr">
        <is>
          <t>GB 32030-2022</t>
        </is>
      </c>
      <c r="P185" s="150" t="inlineStr">
        <is>
          <t>第1章、表1～表7</t>
        </is>
      </c>
    </row>
    <row r="186">
      <c r="A186" s="150" t="inlineStr">
        <is>
          <t>潜水电泵</t>
        </is>
      </c>
      <c r="B186" s="150" t="inlineStr">
        <is>
          <t>flow</t>
        </is>
      </c>
      <c r="C186" s="150" t="inlineStr">
        <is>
          <t>流量</t>
        </is>
      </c>
      <c r="D186" s="150" t="inlineStr">
        <is>
          <t>设备参数</t>
        </is>
      </c>
      <c r="E186" s="150" t="inlineStr">
        <is>
          <t>数值</t>
        </is>
      </c>
      <c r="F186" s="150" t="inlineStr">
        <is>
          <t>m³/h</t>
        </is>
      </c>
      <c r="G186" s="150" t="inlineStr">
        <is>
          <t>是</t>
        </is>
      </c>
      <c r="H186" s="150" t="inlineStr">
        <is>
          <t>整行启用时必填</t>
        </is>
      </c>
      <c r="I186" s="150" t="inlineStr">
        <is>
          <t>数值&gt;0</t>
        </is>
      </c>
      <c r="J186" s="150" t="n">
        <v>0</v>
      </c>
      <c r="K186" s="150" t="n"/>
      <c r="L186" s="150" t="str"/>
      <c r="M186" s="150" t="inlineStr">
        <is>
          <t>去首尾空格；全角转半角；保留原值，不自动改写</t>
        </is>
      </c>
      <c r="N186" s="150" t="inlineStr">
        <is>
          <t>异常时写入自动备注；不改写原值</t>
        </is>
      </c>
      <c r="O186" s="150" t="inlineStr">
        <is>
          <t>GB 32030-2022</t>
        </is>
      </c>
      <c r="P186" s="150" t="inlineStr">
        <is>
          <t>第1章、表1～表7</t>
        </is>
      </c>
    </row>
    <row r="187">
      <c r="A187" s="150" t="inlineStr">
        <is>
          <t>潜水电泵</t>
        </is>
      </c>
      <c r="B187" s="150" t="inlineStr">
        <is>
          <t>head</t>
        </is>
      </c>
      <c r="C187" s="150" t="inlineStr">
        <is>
          <t>扬程</t>
        </is>
      </c>
      <c r="D187" s="150" t="inlineStr">
        <is>
          <t>设备参数</t>
        </is>
      </c>
      <c r="E187" s="150" t="inlineStr">
        <is>
          <t>数值</t>
        </is>
      </c>
      <c r="F187" s="150" t="inlineStr">
        <is>
          <t>m</t>
        </is>
      </c>
      <c r="G187" s="150" t="inlineStr">
        <is>
          <t>是</t>
        </is>
      </c>
      <c r="H187" s="150" t="inlineStr">
        <is>
          <t>整行启用时必填</t>
        </is>
      </c>
      <c r="I187" s="150" t="inlineStr">
        <is>
          <t>数值&gt;0</t>
        </is>
      </c>
      <c r="J187" s="150" t="n">
        <v>0</v>
      </c>
      <c r="K187" s="150" t="n"/>
      <c r="L187" s="150" t="str"/>
      <c r="M187" s="150" t="inlineStr">
        <is>
          <t>去首尾空格；全角转半角；保留原值，不自动改写</t>
        </is>
      </c>
      <c r="N187" s="150" t="inlineStr">
        <is>
          <t>异常时写入自动备注；不改写原值</t>
        </is>
      </c>
      <c r="O187" s="150" t="inlineStr">
        <is>
          <t>GB 32030-2022</t>
        </is>
      </c>
      <c r="P187" s="150" t="inlineStr">
        <is>
          <t>第1章、表1～表7</t>
        </is>
      </c>
    </row>
    <row r="188">
      <c r="A188" s="150" t="inlineStr">
        <is>
          <t>潜水电泵</t>
        </is>
      </c>
      <c r="B188" s="150" t="inlineStr">
        <is>
          <t>speed</t>
        </is>
      </c>
      <c r="C188" s="150" t="inlineStr">
        <is>
          <t>额定转速</t>
        </is>
      </c>
      <c r="D188" s="150" t="inlineStr">
        <is>
          <t>设备参数</t>
        </is>
      </c>
      <c r="E188" s="150" t="inlineStr">
        <is>
          <t>数值</t>
        </is>
      </c>
      <c r="F188" s="150" t="inlineStr">
        <is>
          <t>r/min</t>
        </is>
      </c>
      <c r="G188" s="150" t="inlineStr">
        <is>
          <t>是</t>
        </is>
      </c>
      <c r="H188" s="150" t="inlineStr">
        <is>
          <t>整行启用时必填</t>
        </is>
      </c>
      <c r="I188" s="150" t="inlineStr">
        <is>
          <t>数值&gt;0</t>
        </is>
      </c>
      <c r="J188" s="150" t="n">
        <v>0</v>
      </c>
      <c r="K188" s="150" t="n"/>
      <c r="L188" s="150" t="str"/>
      <c r="M188" s="150" t="inlineStr">
        <is>
          <t>去首尾空格；全角转半角；保留原值，不自动改写</t>
        </is>
      </c>
      <c r="N188" s="150" t="inlineStr">
        <is>
          <t>异常时写入自动备注；不改写原值</t>
        </is>
      </c>
      <c r="O188" s="150" t="inlineStr">
        <is>
          <t>GB 32030-2022</t>
        </is>
      </c>
      <c r="P188" s="150" t="inlineStr">
        <is>
          <t>第1章、表1～表7</t>
        </is>
      </c>
    </row>
    <row r="189">
      <c r="A189" s="150" t="inlineStr">
        <is>
          <t>潜水电泵</t>
        </is>
      </c>
      <c r="B189" s="150" t="inlineStr">
        <is>
          <t>temperature</t>
        </is>
      </c>
      <c r="C189" s="150" t="inlineStr">
        <is>
          <t>工作温度</t>
        </is>
      </c>
      <c r="D189" s="150" t="inlineStr">
        <is>
          <t>设备参数</t>
        </is>
      </c>
      <c r="E189" s="150" t="inlineStr">
        <is>
          <t>数值</t>
        </is>
      </c>
      <c r="F189" s="150" t="inlineStr">
        <is>
          <t>℃</t>
        </is>
      </c>
      <c r="G189" s="150" t="inlineStr">
        <is>
          <t>是</t>
        </is>
      </c>
      <c r="H189" s="150" t="inlineStr">
        <is>
          <t>整行启用时必填</t>
        </is>
      </c>
      <c r="I189" s="150" t="inlineStr">
        <is>
          <t>0～100</t>
        </is>
      </c>
      <c r="J189" s="150" t="n">
        <v>0</v>
      </c>
      <c r="K189" s="150" t="n">
        <v>100</v>
      </c>
      <c r="L189" s="150" t="str"/>
      <c r="M189" s="150" t="inlineStr">
        <is>
          <t>去首尾空格；全角转半角；保留原值，不自动改写</t>
        </is>
      </c>
      <c r="N189" s="150" t="inlineStr">
        <is>
          <t>异常时写入自动备注；不改写原值</t>
        </is>
      </c>
      <c r="O189" s="150" t="inlineStr">
        <is>
          <t>GB 32030-2022</t>
        </is>
      </c>
      <c r="P189" s="150" t="inlineStr">
        <is>
          <t>第1章、表1～表7</t>
        </is>
      </c>
    </row>
    <row r="190">
      <c r="A190" s="150" t="inlineStr">
        <is>
          <t>潜水电泵</t>
        </is>
      </c>
      <c r="B190" s="150" t="inlineStr">
        <is>
          <t>power</t>
        </is>
      </c>
      <c r="C190" s="150" t="inlineStr">
        <is>
          <t>额定功率</t>
        </is>
      </c>
      <c r="D190" s="150" t="inlineStr">
        <is>
          <t>设备参数</t>
        </is>
      </c>
      <c r="E190" s="150" t="inlineStr">
        <is>
          <t>数值</t>
        </is>
      </c>
      <c r="F190" s="150" t="inlineStr">
        <is>
          <t>kW</t>
        </is>
      </c>
      <c r="G190" s="150" t="inlineStr">
        <is>
          <t>是</t>
        </is>
      </c>
      <c r="H190" s="150" t="inlineStr">
        <is>
          <t>整行启用时必填</t>
        </is>
      </c>
      <c r="I190" s="150" t="inlineStr">
        <is>
          <t>数值&gt;0</t>
        </is>
      </c>
      <c r="J190" s="150" t="n">
        <v>0</v>
      </c>
      <c r="K190" s="150" t="n"/>
      <c r="L190" s="150" t="str"/>
      <c r="M190" s="150" t="inlineStr">
        <is>
          <t>去首尾空格；全角转半角；保留原值，不自动改写</t>
        </is>
      </c>
      <c r="N190" s="150" t="inlineStr">
        <is>
          <t>异常时写入自动备注；不改写原值</t>
        </is>
      </c>
      <c r="O190" s="150" t="inlineStr">
        <is>
          <t>GB 32030-2022</t>
        </is>
      </c>
      <c r="P190" s="150" t="inlineStr">
        <is>
          <t>第1章、表1～表7</t>
        </is>
      </c>
    </row>
    <row r="191">
      <c r="A191" s="150" t="inlineStr">
        <is>
          <t>潜水电泵</t>
        </is>
      </c>
      <c r="B191" s="150" t="inlineStr">
        <is>
          <t>stages</t>
        </is>
      </c>
      <c r="C191" s="150" t="inlineStr">
        <is>
          <t>级数</t>
        </is>
      </c>
      <c r="D191" s="150" t="inlineStr">
        <is>
          <t>设备参数</t>
        </is>
      </c>
      <c r="E191" s="150" t="inlineStr">
        <is>
          <t>整数</t>
        </is>
      </c>
      <c r="F191" s="150" t="inlineStr">
        <is>
          <t>级</t>
        </is>
      </c>
      <c r="G191" s="150" t="inlineStr">
        <is>
          <t>是</t>
        </is>
      </c>
      <c r="H191" s="150" t="inlineStr">
        <is>
          <t>整行启用时必填</t>
        </is>
      </c>
      <c r="I191" s="150" t="inlineStr">
        <is>
          <t>正整数</t>
        </is>
      </c>
      <c r="J191" s="150" t="n">
        <v>1</v>
      </c>
      <c r="K191" s="150" t="n"/>
      <c r="L191" s="150" t="str"/>
      <c r="M191" s="150" t="inlineStr">
        <is>
          <t>去首尾空格；全角转半角；保留原值，不自动改写</t>
        </is>
      </c>
      <c r="N191" s="150" t="inlineStr">
        <is>
          <t>异常时写入自动备注；不改写原值</t>
        </is>
      </c>
      <c r="O191" s="150" t="inlineStr">
        <is>
          <t>GB 32030-2022</t>
        </is>
      </c>
      <c r="P191" s="150" t="inlineStr">
        <is>
          <t>第1章、表1～表7</t>
        </is>
      </c>
    </row>
    <row r="192">
      <c r="A192" s="150" t="inlineStr">
        <is>
          <t>潜水电泵</t>
        </is>
      </c>
      <c r="B192" s="150" t="inlineStr">
        <is>
          <t>efficiency</t>
        </is>
      </c>
      <c r="C192" s="150" t="inlineStr">
        <is>
          <t>电泵效率</t>
        </is>
      </c>
      <c r="D192" s="150" t="inlineStr">
        <is>
          <t>设备参数</t>
        </is>
      </c>
      <c r="E192" s="150" t="inlineStr">
        <is>
          <t>数值</t>
        </is>
      </c>
      <c r="F192" s="150" t="inlineStr">
        <is>
          <t>%</t>
        </is>
      </c>
      <c r="G192" s="150" t="inlineStr">
        <is>
          <t>是</t>
        </is>
      </c>
      <c r="H192" s="150" t="inlineStr">
        <is>
          <t>整行启用时必填</t>
        </is>
      </c>
      <c r="I192" s="150" t="inlineStr">
        <is>
          <t>百分数本值1～100</t>
        </is>
      </c>
      <c r="J192" s="150" t="n">
        <v>1</v>
      </c>
      <c r="K192" s="150" t="n">
        <v>100</v>
      </c>
      <c r="L192" s="150" t="str"/>
      <c r="M192" s="150" t="inlineStr">
        <is>
          <t>去首尾空格；全角转半角；保留原值，不自动改写</t>
        </is>
      </c>
      <c r="N192" s="150" t="inlineStr">
        <is>
          <t>异常时写入自动备注；不改写原值</t>
        </is>
      </c>
      <c r="O192" s="150" t="inlineStr">
        <is>
          <t>GB 32030-2022</t>
        </is>
      </c>
      <c r="P192" s="150" t="inlineStr">
        <is>
          <t>第1章、表1～表7</t>
        </is>
      </c>
    </row>
    <row r="193">
      <c r="A193" s="150" t="inlineStr">
        <is>
          <t>潜水电泵</t>
        </is>
      </c>
      <c r="B193" s="150" t="inlineStr">
        <is>
          <t>specified_eff</t>
        </is>
      </c>
      <c r="C193" s="150" t="inlineStr">
        <is>
          <t>规定效率</t>
        </is>
      </c>
      <c r="D193" s="150" t="inlineStr">
        <is>
          <t>计算辅助结果</t>
        </is>
      </c>
      <c r="E193" s="150" t="inlineStr">
        <is>
          <t>数值</t>
        </is>
      </c>
      <c r="F193" s="150" t="inlineStr">
        <is>
          <t>%</t>
        </is>
      </c>
      <c r="G193" s="150" t="inlineStr">
        <is>
          <t>否</t>
        </is>
      </c>
      <c r="H193" s="150" t="inlineStr">
        <is>
          <t>本阶段锁定预留</t>
        </is>
      </c>
      <c r="I193" s="150" t="inlineStr">
        <is>
          <t>无</t>
        </is>
      </c>
      <c r="J193" s="150" t="n"/>
      <c r="K193" s="150" t="n"/>
      <c r="L193" s="150" t="str"/>
      <c r="M193" s="150" t="inlineStr">
        <is>
          <t>锁定预留，不清洗</t>
        </is>
      </c>
      <c r="N193" s="150" t="inlineStr">
        <is>
          <t>本阶段不查询、不判定</t>
        </is>
      </c>
      <c r="O193" s="150" t="inlineStr">
        <is>
          <t>GB 32030-2022</t>
        </is>
      </c>
      <c r="P193" s="150" t="inlineStr">
        <is>
          <t>第1章、表1～表7</t>
        </is>
      </c>
    </row>
    <row r="194">
      <c r="A194" s="150" t="inlineStr">
        <is>
          <t>潜水电泵</t>
        </is>
      </c>
      <c r="B194" s="150" t="inlineStr">
        <is>
          <t>tolerance</t>
        </is>
      </c>
      <c r="C194" s="150" t="inlineStr">
        <is>
          <t>效率容差</t>
        </is>
      </c>
      <c r="D194" s="150" t="inlineStr">
        <is>
          <t>计算辅助结果</t>
        </is>
      </c>
      <c r="E194" s="150" t="inlineStr">
        <is>
          <t>数值</t>
        </is>
      </c>
      <c r="F194" s="150" t="inlineStr">
        <is>
          <t>%</t>
        </is>
      </c>
      <c r="G194" s="150" t="inlineStr">
        <is>
          <t>否</t>
        </is>
      </c>
      <c r="H194" s="150" t="inlineStr">
        <is>
          <t>本阶段锁定预留</t>
        </is>
      </c>
      <c r="I194" s="150" t="inlineStr">
        <is>
          <t>无</t>
        </is>
      </c>
      <c r="J194" s="150" t="n"/>
      <c r="K194" s="150" t="n"/>
      <c r="L194" s="150" t="str"/>
      <c r="M194" s="150" t="inlineStr">
        <is>
          <t>锁定预留，不清洗</t>
        </is>
      </c>
      <c r="N194" s="150" t="inlineStr">
        <is>
          <t>本阶段不查询、不判定</t>
        </is>
      </c>
      <c r="O194" s="150" t="inlineStr">
        <is>
          <t>GB 32030-2022</t>
        </is>
      </c>
      <c r="P194" s="150" t="inlineStr">
        <is>
          <t>第1章、表1～表7</t>
        </is>
      </c>
    </row>
    <row r="195">
      <c r="A195" s="150" t="inlineStr">
        <is>
          <t>潜水电泵</t>
        </is>
      </c>
      <c r="B195" s="150" t="inlineStr">
        <is>
          <t>grade1</t>
        </is>
      </c>
      <c r="C195" s="150" t="inlineStr">
        <is>
          <t>1级效率</t>
        </is>
      </c>
      <c r="D195" s="150" t="inlineStr">
        <is>
          <t>标准查询结果</t>
        </is>
      </c>
      <c r="E195" s="150" t="inlineStr">
        <is>
          <t>数值</t>
        </is>
      </c>
      <c r="F195" s="150" t="inlineStr">
        <is>
          <t>%</t>
        </is>
      </c>
      <c r="G195" s="150" t="inlineStr">
        <is>
          <t>否</t>
        </is>
      </c>
      <c r="H195" s="150" t="inlineStr">
        <is>
          <t>本阶段锁定预留</t>
        </is>
      </c>
      <c r="I195" s="150" t="inlineStr">
        <is>
          <t>无</t>
        </is>
      </c>
      <c r="J195" s="150" t="n"/>
      <c r="K195" s="150" t="n"/>
      <c r="L195" s="150" t="str"/>
      <c r="M195" s="150" t="inlineStr">
        <is>
          <t>锁定预留，不清洗</t>
        </is>
      </c>
      <c r="N195" s="150" t="inlineStr">
        <is>
          <t>本阶段不查询、不判定</t>
        </is>
      </c>
      <c r="O195" s="150" t="inlineStr">
        <is>
          <t>GB 32030-2022</t>
        </is>
      </c>
      <c r="P195" s="150" t="inlineStr">
        <is>
          <t>第1章、表1～表7</t>
        </is>
      </c>
    </row>
    <row r="196">
      <c r="A196" s="150" t="inlineStr">
        <is>
          <t>潜水电泵</t>
        </is>
      </c>
      <c r="B196" s="150" t="inlineStr">
        <is>
          <t>grade2</t>
        </is>
      </c>
      <c r="C196" s="150" t="inlineStr">
        <is>
          <t>2级效率</t>
        </is>
      </c>
      <c r="D196" s="150" t="inlineStr">
        <is>
          <t>标准查询结果</t>
        </is>
      </c>
      <c r="E196" s="150" t="inlineStr">
        <is>
          <t>数值</t>
        </is>
      </c>
      <c r="F196" s="150" t="inlineStr">
        <is>
          <t>%</t>
        </is>
      </c>
      <c r="G196" s="150" t="inlineStr">
        <is>
          <t>否</t>
        </is>
      </c>
      <c r="H196" s="150" t="inlineStr">
        <is>
          <t>本阶段锁定预留</t>
        </is>
      </c>
      <c r="I196" s="150" t="inlineStr">
        <is>
          <t>无</t>
        </is>
      </c>
      <c r="J196" s="150" t="n"/>
      <c r="K196" s="150" t="n"/>
      <c r="L196" s="150" t="str"/>
      <c r="M196" s="150" t="inlineStr">
        <is>
          <t>锁定预留，不清洗</t>
        </is>
      </c>
      <c r="N196" s="150" t="inlineStr">
        <is>
          <t>本阶段不查询、不判定</t>
        </is>
      </c>
      <c r="O196" s="150" t="inlineStr">
        <is>
          <t>GB 32030-2022</t>
        </is>
      </c>
      <c r="P196" s="150" t="inlineStr">
        <is>
          <t>第1章、表1～表7</t>
        </is>
      </c>
    </row>
    <row r="197">
      <c r="A197" s="150" t="inlineStr">
        <is>
          <t>潜水电泵</t>
        </is>
      </c>
      <c r="B197" s="150" t="inlineStr">
        <is>
          <t>grade3</t>
        </is>
      </c>
      <c r="C197" s="150" t="inlineStr">
        <is>
          <t>3级效率</t>
        </is>
      </c>
      <c r="D197" s="150" t="inlineStr">
        <is>
          <t>标准查询结果</t>
        </is>
      </c>
      <c r="E197" s="150" t="inlineStr">
        <is>
          <t>数值</t>
        </is>
      </c>
      <c r="F197" s="150" t="inlineStr">
        <is>
          <t>%</t>
        </is>
      </c>
      <c r="G197" s="150" t="inlineStr">
        <is>
          <t>否</t>
        </is>
      </c>
      <c r="H197" s="150" t="inlineStr">
        <is>
          <t>本阶段锁定预留</t>
        </is>
      </c>
      <c r="I197" s="150" t="inlineStr">
        <is>
          <t>无</t>
        </is>
      </c>
      <c r="J197" s="150" t="n"/>
      <c r="K197" s="150" t="n"/>
      <c r="L197" s="150" t="str"/>
      <c r="M197" s="150" t="inlineStr">
        <is>
          <t>锁定预留，不清洗</t>
        </is>
      </c>
      <c r="N197" s="150" t="inlineStr">
        <is>
          <t>本阶段不查询、不判定</t>
        </is>
      </c>
      <c r="O197" s="150" t="inlineStr">
        <is>
          <t>GB 32030-2022</t>
        </is>
      </c>
      <c r="P197" s="150" t="inlineStr">
        <is>
          <t>第1章、表1～表7</t>
        </is>
      </c>
    </row>
    <row r="198">
      <c r="A198" s="150" t="inlineStr">
        <is>
          <t>潜水电泵</t>
        </is>
      </c>
      <c r="B198" s="150" t="inlineStr">
        <is>
          <t>conclusion</t>
        </is>
      </c>
      <c r="C198" s="150" t="inlineStr">
        <is>
          <t>能效等级</t>
        </is>
      </c>
      <c r="D198" s="150" t="inlineStr">
        <is>
          <t>结论</t>
        </is>
      </c>
      <c r="E198" s="150" t="inlineStr">
        <is>
          <t>文本</t>
        </is>
      </c>
      <c r="F198" s="150" t="inlineStr">
        <is>
          <t>-</t>
        </is>
      </c>
      <c r="G198" s="150" t="inlineStr">
        <is>
          <t>否</t>
        </is>
      </c>
      <c r="H198" s="150" t="inlineStr">
        <is>
          <t>本阶段锁定预留</t>
        </is>
      </c>
      <c r="I198" s="150" t="inlineStr">
        <is>
          <t>无</t>
        </is>
      </c>
      <c r="J198" s="150" t="n"/>
      <c r="K198" s="150" t="n"/>
      <c r="L198" s="150" t="str"/>
      <c r="M198" s="150" t="inlineStr">
        <is>
          <t>锁定预留，不清洗</t>
        </is>
      </c>
      <c r="N198" s="150" t="inlineStr">
        <is>
          <t>本阶段不查询、不判定</t>
        </is>
      </c>
      <c r="O198" s="150" t="inlineStr">
        <is>
          <t>GB 32030-2022</t>
        </is>
      </c>
      <c r="P198" s="150" t="inlineStr">
        <is>
          <t>第1章、表1～表7</t>
        </is>
      </c>
    </row>
    <row r="199">
      <c r="A199" s="150" t="inlineStr">
        <is>
          <t>潜水电泵</t>
        </is>
      </c>
      <c r="B199" s="150" t="inlineStr">
        <is>
          <t>photo</t>
        </is>
      </c>
      <c r="C199" s="150" t="inlineStr">
        <is>
          <t>铭牌照片</t>
        </is>
      </c>
      <c r="D199" s="150" t="inlineStr">
        <is>
          <t>附件备注</t>
        </is>
      </c>
      <c r="E199" s="150" t="inlineStr">
        <is>
          <t>图片</t>
        </is>
      </c>
      <c r="F199" s="150" t="inlineStr">
        <is>
          <t>-</t>
        </is>
      </c>
      <c r="G199" s="150" t="inlineStr">
        <is>
          <t>是</t>
        </is>
      </c>
      <c r="H199" s="150" t="inlineStr">
        <is>
          <t>整行启用时必填</t>
        </is>
      </c>
      <c r="I199" s="150" t="inlineStr">
        <is>
          <t>无</t>
        </is>
      </c>
      <c r="J199" s="150" t="n"/>
      <c r="K199" s="150" t="n"/>
      <c r="L199" s="150" t="str"/>
      <c r="M199" s="150" t="inlineStr">
        <is>
          <t>仅接受Excel“置于单元格”图片；不接受浮动图片</t>
        </is>
      </c>
      <c r="N199" s="150" t="inlineStr">
        <is>
          <t>为空时提示缺少铭牌照片</t>
        </is>
      </c>
      <c r="O199" s="150" t="inlineStr">
        <is>
          <t>GB 32030-2022</t>
        </is>
      </c>
      <c r="P199" s="150" t="inlineStr">
        <is>
          <t>第1章、表1～表7</t>
        </is>
      </c>
    </row>
    <row r="200">
      <c r="A200" s="150" t="inlineStr">
        <is>
          <t>潜水电泵</t>
        </is>
      </c>
      <c r="B200" s="150" t="inlineStr">
        <is>
          <t>fill_note</t>
        </is>
      </c>
      <c r="C200" s="150" t="inlineStr">
        <is>
          <t>填表备注</t>
        </is>
      </c>
      <c r="D200" s="150" t="inlineStr">
        <is>
          <t>附件备注</t>
        </is>
      </c>
      <c r="E200" s="150" t="inlineStr">
        <is>
          <t>文本</t>
        </is>
      </c>
      <c r="F200" s="150" t="inlineStr">
        <is>
          <t>-</t>
        </is>
      </c>
      <c r="G200" s="150" t="inlineStr">
        <is>
          <t>是</t>
        </is>
      </c>
      <c r="H200" s="150" t="inlineStr">
        <is>
          <t>可选</t>
        </is>
      </c>
      <c r="I200" s="150" t="inlineStr">
        <is>
          <t>无</t>
        </is>
      </c>
      <c r="J200" s="150" t="n"/>
      <c r="K200" s="150" t="n"/>
      <c r="L200" s="150" t="str"/>
      <c r="M200" s="150" t="inlineStr">
        <is>
          <t>去首尾空格；全角转半角；保留原值，不自动改写</t>
        </is>
      </c>
      <c r="N200" s="150" t="inlineStr">
        <is>
          <t>异常时写入自动备注；不改写原值</t>
        </is>
      </c>
      <c r="O200" s="150" t="inlineStr">
        <is>
          <t>GB 32030-2022</t>
        </is>
      </c>
      <c r="P200" s="150" t="inlineStr">
        <is>
          <t>第1章、表1～表7</t>
        </is>
      </c>
    </row>
    <row r="201">
      <c r="A201" s="150" t="inlineStr">
        <is>
          <t>潜水电泵</t>
        </is>
      </c>
      <c r="B201" s="150" t="inlineStr">
        <is>
          <t>auto_note</t>
        </is>
      </c>
      <c r="C201" s="150" t="inlineStr">
        <is>
          <t>自动备注</t>
        </is>
      </c>
      <c r="D201" s="150" t="inlineStr">
        <is>
          <t>附件备注</t>
        </is>
      </c>
      <c r="E201" s="150" t="inlineStr">
        <is>
          <t>公式</t>
        </is>
      </c>
      <c r="F201" s="150" t="inlineStr">
        <is>
          <t>-</t>
        </is>
      </c>
      <c r="G201" s="150" t="inlineStr">
        <is>
          <t>否</t>
        </is>
      </c>
      <c r="H201" s="150" t="inlineStr">
        <is>
          <t>公式生成</t>
        </is>
      </c>
      <c r="I201" s="150" t="inlineStr">
        <is>
          <t>无</t>
        </is>
      </c>
      <c r="J201" s="150" t="n"/>
      <c r="K201" s="150" t="n"/>
      <c r="L201" s="150" t="str"/>
      <c r="M201" s="150" t="inlineStr">
        <is>
          <t>锁定公式列，不清洗</t>
        </is>
      </c>
      <c r="N201" s="150" t="inlineStr">
        <is>
          <t>公式锁定并随表格扩展</t>
        </is>
      </c>
      <c r="O201" s="150" t="inlineStr">
        <is>
          <t>GB 32030-2022</t>
        </is>
      </c>
      <c r="P201" s="150" t="inlineStr">
        <is>
          <t>第1章、表1～表7</t>
        </is>
      </c>
    </row>
    <row r="202">
      <c r="A202" s="150" t="inlineStr">
        <is>
          <t>工业锅炉</t>
        </is>
      </c>
      <c r="B202" s="150" t="inlineStr">
        <is>
          <t>seq</t>
        </is>
      </c>
      <c r="C202" s="150" t="inlineStr">
        <is>
          <t>序号</t>
        </is>
      </c>
      <c r="D202" s="150" t="inlineStr">
        <is>
          <t>基础信息</t>
        </is>
      </c>
      <c r="E202" s="150" t="inlineStr">
        <is>
          <t>整数</t>
        </is>
      </c>
      <c r="F202" s="150" t="inlineStr">
        <is>
          <t>-</t>
        </is>
      </c>
      <c r="G202" s="150" t="inlineStr">
        <is>
          <t>否</t>
        </is>
      </c>
      <c r="H202" s="150" t="inlineStr">
        <is>
          <t>公式生成</t>
        </is>
      </c>
      <c r="I202" s="150" t="inlineStr">
        <is>
          <t>无</t>
        </is>
      </c>
      <c r="J202" s="150" t="n"/>
      <c r="K202" s="150" t="n"/>
      <c r="L202" s="150" t="str"/>
      <c r="M202" s="150" t="inlineStr">
        <is>
          <t>锁定公式列，不清洗</t>
        </is>
      </c>
      <c r="N202" s="150" t="inlineStr">
        <is>
          <t>公式锁定并随表格扩展</t>
        </is>
      </c>
      <c r="O202" s="150" t="inlineStr">
        <is>
          <t>GB 24500-2020</t>
        </is>
      </c>
      <c r="P202" s="150" t="inlineStr">
        <is>
          <t>表1～表4</t>
        </is>
      </c>
    </row>
    <row r="203">
      <c r="A203" s="150" t="inlineStr">
        <is>
          <t>工业锅炉</t>
        </is>
      </c>
      <c r="B203" s="150" t="inlineStr">
        <is>
          <t>device_name</t>
        </is>
      </c>
      <c r="C203" s="150" t="inlineStr">
        <is>
          <t>设备名称</t>
        </is>
      </c>
      <c r="D203" s="150" t="inlineStr">
        <is>
          <t>基础信息</t>
        </is>
      </c>
      <c r="E203" s="150" t="inlineStr">
        <is>
          <t>文本</t>
        </is>
      </c>
      <c r="F203" s="150" t="inlineStr">
        <is>
          <t>-</t>
        </is>
      </c>
      <c r="G203" s="150" t="inlineStr">
        <is>
          <t>是</t>
        </is>
      </c>
      <c r="H203" s="150" t="inlineStr">
        <is>
          <t>整行启用时必填</t>
        </is>
      </c>
      <c r="I203" s="150" t="inlineStr">
        <is>
          <t>无</t>
        </is>
      </c>
      <c r="J203" s="150" t="n"/>
      <c r="K203" s="150" t="n"/>
      <c r="L203" s="150" t="str"/>
      <c r="M203" s="150" t="inlineStr">
        <is>
          <t>去首尾空格；全角转半角；保留原值，不自动改写</t>
        </is>
      </c>
      <c r="N203" s="150" t="inlineStr">
        <is>
          <t>异常时写入自动备注；不改写原值</t>
        </is>
      </c>
      <c r="O203" s="150" t="inlineStr">
        <is>
          <t>GB 24500-2020</t>
        </is>
      </c>
      <c r="P203" s="150" t="inlineStr">
        <is>
          <t>表1～表4</t>
        </is>
      </c>
    </row>
    <row r="204">
      <c r="A204" s="150" t="inlineStr">
        <is>
          <t>工业锅炉</t>
        </is>
      </c>
      <c r="B204" s="150" t="inlineStr">
        <is>
          <t>model</t>
        </is>
      </c>
      <c r="C204" s="150" t="inlineStr">
        <is>
          <t>型号</t>
        </is>
      </c>
      <c r="D204" s="150" t="inlineStr">
        <is>
          <t>基础信息</t>
        </is>
      </c>
      <c r="E204" s="150" t="inlineStr">
        <is>
          <t>文本</t>
        </is>
      </c>
      <c r="F204" s="150" t="inlineStr">
        <is>
          <t>-</t>
        </is>
      </c>
      <c r="G204" s="150" t="inlineStr">
        <is>
          <t>是</t>
        </is>
      </c>
      <c r="H204" s="150" t="inlineStr">
        <is>
          <t>整行启用时必填</t>
        </is>
      </c>
      <c r="I204" s="150" t="inlineStr">
        <is>
          <t>无</t>
        </is>
      </c>
      <c r="J204" s="150" t="n"/>
      <c r="K204" s="150" t="n"/>
      <c r="L204" s="150" t="str"/>
      <c r="M204" s="150" t="inlineStr">
        <is>
          <t>去首尾空格；统一字母大小写、连接符和全半角；保留原值</t>
        </is>
      </c>
      <c r="N204" s="150" t="inlineStr">
        <is>
          <t>异常时写入自动备注；不改写原值</t>
        </is>
      </c>
      <c r="O204" s="150" t="inlineStr">
        <is>
          <t>GB 24500-2020</t>
        </is>
      </c>
      <c r="P204" s="150" t="inlineStr">
        <is>
          <t>表1～表4</t>
        </is>
      </c>
    </row>
    <row r="205">
      <c r="A205" s="150" t="inlineStr">
        <is>
          <t>工业锅炉</t>
        </is>
      </c>
      <c r="B205" s="150" t="inlineStr">
        <is>
          <t>quantity</t>
        </is>
      </c>
      <c r="C205" s="150" t="inlineStr">
        <is>
          <t>数量</t>
        </is>
      </c>
      <c r="D205" s="150" t="inlineStr">
        <is>
          <t>基础信息</t>
        </is>
      </c>
      <c r="E205" s="150" t="inlineStr">
        <is>
          <t>整数</t>
        </is>
      </c>
      <c r="F205" s="150" t="inlineStr">
        <is>
          <t>-</t>
        </is>
      </c>
      <c r="G205" s="150" t="inlineStr">
        <is>
          <t>是</t>
        </is>
      </c>
      <c r="H205" s="150" t="inlineStr">
        <is>
          <t>整行启用时必填</t>
        </is>
      </c>
      <c r="I205" s="150" t="inlineStr">
        <is>
          <t>正整数</t>
        </is>
      </c>
      <c r="J205" s="150" t="n">
        <v>1</v>
      </c>
      <c r="K205" s="150" t="n"/>
      <c r="L205" s="150" t="str"/>
      <c r="M205" s="150" t="inlineStr">
        <is>
          <t>去首尾空格；全角转半角；保留原值，不自动改写</t>
        </is>
      </c>
      <c r="N205" s="150" t="inlineStr">
        <is>
          <t>异常时写入自动备注；不改写原值</t>
        </is>
      </c>
      <c r="O205" s="150" t="inlineStr">
        <is>
          <t>GB 24500-2020</t>
        </is>
      </c>
      <c r="P205" s="150" t="inlineStr">
        <is>
          <t>表1～表4</t>
        </is>
      </c>
    </row>
    <row r="206">
      <c r="A206" s="150" t="inlineStr">
        <is>
          <t>工业锅炉</t>
        </is>
      </c>
      <c r="B206" s="150" t="inlineStr">
        <is>
          <t>location</t>
        </is>
      </c>
      <c r="C206" s="150" t="inlineStr">
        <is>
          <t>安装位置</t>
        </is>
      </c>
      <c r="D206" s="150" t="inlineStr">
        <is>
          <t>基础信息</t>
        </is>
      </c>
      <c r="E206" s="150" t="inlineStr">
        <is>
          <t>文本</t>
        </is>
      </c>
      <c r="F206" s="150" t="inlineStr">
        <is>
          <t>-</t>
        </is>
      </c>
      <c r="G206" s="150" t="inlineStr">
        <is>
          <t>是</t>
        </is>
      </c>
      <c r="H206" s="150" t="inlineStr">
        <is>
          <t>可选</t>
        </is>
      </c>
      <c r="I206" s="150" t="inlineStr">
        <is>
          <t>无</t>
        </is>
      </c>
      <c r="J206" s="150" t="n"/>
      <c r="K206" s="150" t="n"/>
      <c r="L206" s="150" t="str"/>
      <c r="M206" s="150" t="inlineStr">
        <is>
          <t>去首尾空格；全角转半角；保留原值，不自动改写</t>
        </is>
      </c>
      <c r="N206" s="150" t="inlineStr">
        <is>
          <t>异常时写入自动备注；不改写原值</t>
        </is>
      </c>
      <c r="O206" s="150" t="inlineStr">
        <is>
          <t>GB 24500-2020</t>
        </is>
      </c>
      <c r="P206" s="150" t="inlineStr">
        <is>
          <t>表1～表4</t>
        </is>
      </c>
    </row>
    <row r="207">
      <c r="A207" s="150" t="inlineStr">
        <is>
          <t>工业锅炉</t>
        </is>
      </c>
      <c r="B207" s="150" t="inlineStr">
        <is>
          <t>category</t>
        </is>
      </c>
      <c r="C207" s="150" t="inlineStr">
        <is>
          <t>设备类别</t>
        </is>
      </c>
      <c r="D207" s="150" t="inlineStr">
        <is>
          <t>设备参数</t>
        </is>
      </c>
      <c r="E207" s="150" t="inlineStr">
        <is>
          <t>文本</t>
        </is>
      </c>
      <c r="F207" s="150" t="inlineStr">
        <is>
          <t>-</t>
        </is>
      </c>
      <c r="G207" s="150" t="inlineStr">
        <is>
          <t>是</t>
        </is>
      </c>
      <c r="H207" s="150" t="inlineStr">
        <is>
          <t>整行启用时必填</t>
        </is>
      </c>
      <c r="I207" s="150" t="inlineStr">
        <is>
          <t>停止型下拉；粘贴后由自动备注复核</t>
        </is>
      </c>
      <c r="J207" s="150" t="n"/>
      <c r="K207" s="150" t="n"/>
      <c r="L207" s="150" t="inlineStr">
        <is>
          <t>EV_BOILER_CATEGORY</t>
        </is>
      </c>
      <c r="M207" s="150" t="inlineStr">
        <is>
          <t>去首尾空格；全角转半角；保留原值，不自动改写</t>
        </is>
      </c>
      <c r="N207" s="150" t="inlineStr">
        <is>
          <t>异常时写入自动备注；不改写原值</t>
        </is>
      </c>
      <c r="O207" s="150" t="inlineStr">
        <is>
          <t>GB 24500-2020</t>
        </is>
      </c>
      <c r="P207" s="150" t="inlineStr">
        <is>
          <t>表1～表4</t>
        </is>
      </c>
    </row>
    <row r="208">
      <c r="A208" s="150" t="inlineStr">
        <is>
          <t>工业锅炉</t>
        </is>
      </c>
      <c r="B208" s="150" t="inlineStr">
        <is>
          <t>fuel</t>
        </is>
      </c>
      <c r="C208" s="150" t="inlineStr">
        <is>
          <t>能源/燃料品种</t>
        </is>
      </c>
      <c r="D208" s="150" t="inlineStr">
        <is>
          <t>设备参数</t>
        </is>
      </c>
      <c r="E208" s="150" t="inlineStr">
        <is>
          <t>文本</t>
        </is>
      </c>
      <c r="F208" s="150" t="inlineStr">
        <is>
          <t>-</t>
        </is>
      </c>
      <c r="G208" s="150" t="inlineStr">
        <is>
          <t>是</t>
        </is>
      </c>
      <c r="H208" s="150" t="inlineStr">
        <is>
          <t>按设备类别条件填写</t>
        </is>
      </c>
      <c r="I208" s="150" t="inlineStr">
        <is>
          <t>停止型下拉；粘贴后由自动备注复核</t>
        </is>
      </c>
      <c r="J208" s="150" t="n"/>
      <c r="K208" s="150" t="n"/>
      <c r="L208" s="150" t="inlineStr">
        <is>
          <t>EV_FUEL</t>
        </is>
      </c>
      <c r="M208" s="150" t="inlineStr">
        <is>
          <t>去首尾空格；全角转半角；保留原值，不自动改写</t>
        </is>
      </c>
      <c r="N208" s="150" t="inlineStr">
        <is>
          <t>异常时写入自动备注；不改写原值</t>
        </is>
      </c>
      <c r="O208" s="150" t="inlineStr">
        <is>
          <t>GB 24500-2020</t>
        </is>
      </c>
      <c r="P208" s="150" t="inlineStr">
        <is>
          <t>表1～表4</t>
        </is>
      </c>
    </row>
    <row r="209">
      <c r="A209" s="150" t="inlineStr">
        <is>
          <t>工业锅炉</t>
        </is>
      </c>
      <c r="B209" s="150" t="inlineStr">
        <is>
          <t>evaporation</t>
        </is>
      </c>
      <c r="C209" s="150" t="inlineStr">
        <is>
          <t>蒸发量</t>
        </is>
      </c>
      <c r="D209" s="150" t="inlineStr">
        <is>
          <t>设备参数</t>
        </is>
      </c>
      <c r="E209" s="150" t="inlineStr">
        <is>
          <t>数值</t>
        </is>
      </c>
      <c r="F209" s="150" t="inlineStr">
        <is>
          <t>t/h</t>
        </is>
      </c>
      <c r="G209" s="150" t="inlineStr">
        <is>
          <t>是</t>
        </is>
      </c>
      <c r="H209" s="150" t="inlineStr">
        <is>
          <t>与热功率至少填写一项</t>
        </is>
      </c>
      <c r="I209" s="150" t="inlineStr">
        <is>
          <t>数值&gt;0</t>
        </is>
      </c>
      <c r="J209" s="150" t="n">
        <v>0</v>
      </c>
      <c r="K209" s="150" t="n"/>
      <c r="L209" s="150" t="str"/>
      <c r="M209" s="150" t="inlineStr">
        <is>
          <t>去首尾空格；全角转半角；保留原值，不自动改写</t>
        </is>
      </c>
      <c r="N209" s="150" t="inlineStr">
        <is>
          <t>异常时写入自动备注；不改写原值</t>
        </is>
      </c>
      <c r="O209" s="150" t="inlineStr">
        <is>
          <t>GB 24500-2020</t>
        </is>
      </c>
      <c r="P209" s="150" t="inlineStr">
        <is>
          <t>表1～表4</t>
        </is>
      </c>
    </row>
    <row r="210">
      <c r="A210" s="150" t="inlineStr">
        <is>
          <t>工业锅炉</t>
        </is>
      </c>
      <c r="B210" s="150" t="inlineStr">
        <is>
          <t>thermal_power</t>
        </is>
      </c>
      <c r="C210" s="150" t="inlineStr">
        <is>
          <t>热功率</t>
        </is>
      </c>
      <c r="D210" s="150" t="inlineStr">
        <is>
          <t>设备参数</t>
        </is>
      </c>
      <c r="E210" s="150" t="inlineStr">
        <is>
          <t>数值</t>
        </is>
      </c>
      <c r="F210" s="150" t="inlineStr">
        <is>
          <t>MW</t>
        </is>
      </c>
      <c r="G210" s="150" t="inlineStr">
        <is>
          <t>是</t>
        </is>
      </c>
      <c r="H210" s="150" t="inlineStr">
        <is>
          <t>与蒸发量至少填写一项</t>
        </is>
      </c>
      <c r="I210" s="150" t="inlineStr">
        <is>
          <t>数值&gt;0</t>
        </is>
      </c>
      <c r="J210" s="150" t="n">
        <v>0</v>
      </c>
      <c r="K210" s="150" t="n"/>
      <c r="L210" s="150" t="str"/>
      <c r="M210" s="150" t="inlineStr">
        <is>
          <t>去首尾空格；全角转半角；保留原值，不自动改写</t>
        </is>
      </c>
      <c r="N210" s="150" t="inlineStr">
        <is>
          <t>异常时写入自动备注；不改写原值</t>
        </is>
      </c>
      <c r="O210" s="150" t="inlineStr">
        <is>
          <t>GB 24500-2020</t>
        </is>
      </c>
      <c r="P210" s="150" t="inlineStr">
        <is>
          <t>表1～表4</t>
        </is>
      </c>
    </row>
    <row r="211">
      <c r="A211" s="150" t="inlineStr">
        <is>
          <t>工业锅炉</t>
        </is>
      </c>
      <c r="B211" s="150" t="inlineStr">
        <is>
          <t>lhv</t>
        </is>
      </c>
      <c r="C211" s="150" t="inlineStr">
        <is>
          <t>收到基低位发热量</t>
        </is>
      </c>
      <c r="D211" s="150" t="inlineStr">
        <is>
          <t>设备参数</t>
        </is>
      </c>
      <c r="E211" s="150" t="inlineStr">
        <is>
          <t>数值</t>
        </is>
      </c>
      <c r="F211" s="150" t="inlineStr">
        <is>
          <t>kJ/kg或kJ/m³</t>
        </is>
      </c>
      <c r="G211" s="150" t="inlineStr">
        <is>
          <t>是</t>
        </is>
      </c>
      <c r="H211" s="150" t="inlineStr">
        <is>
          <t>整行启用时必填</t>
        </is>
      </c>
      <c r="I211" s="150" t="inlineStr">
        <is>
          <t>数值&gt;0</t>
        </is>
      </c>
      <c r="J211" s="150" t="n">
        <v>0</v>
      </c>
      <c r="K211" s="150" t="n"/>
      <c r="L211" s="150" t="str"/>
      <c r="M211" s="150" t="inlineStr">
        <is>
          <t>去首尾空格；全角转半角；保留原值，不自动改写</t>
        </is>
      </c>
      <c r="N211" s="150" t="inlineStr">
        <is>
          <t>异常时写入自动备注；不改写原值</t>
        </is>
      </c>
      <c r="O211" s="150" t="inlineStr">
        <is>
          <t>GB 24500-2020</t>
        </is>
      </c>
      <c r="P211" s="150" t="inlineStr">
        <is>
          <t>表1～表4</t>
        </is>
      </c>
    </row>
    <row r="212">
      <c r="A212" s="150" t="inlineStr">
        <is>
          <t>工业锅炉</t>
        </is>
      </c>
      <c r="B212" s="150" t="inlineStr">
        <is>
          <t>vdaf</t>
        </is>
      </c>
      <c r="C212" s="150" t="inlineStr">
        <is>
          <t>干燥无灰基挥发分</t>
        </is>
      </c>
      <c r="D212" s="150" t="inlineStr">
        <is>
          <t>设备参数</t>
        </is>
      </c>
      <c r="E212" s="150" t="inlineStr">
        <is>
          <t>数值</t>
        </is>
      </c>
      <c r="F212" s="150" t="inlineStr">
        <is>
          <t>%</t>
        </is>
      </c>
      <c r="G212" s="150" t="inlineStr">
        <is>
          <t>是</t>
        </is>
      </c>
      <c r="H212" s="150" t="inlineStr">
        <is>
          <t>燃煤按品种条件必填</t>
        </is>
      </c>
      <c r="I212" s="150" t="inlineStr">
        <is>
          <t>0～100</t>
        </is>
      </c>
      <c r="J212" s="150" t="n">
        <v>0</v>
      </c>
      <c r="K212" s="150" t="n">
        <v>100</v>
      </c>
      <c r="L212" s="150" t="str"/>
      <c r="M212" s="150" t="inlineStr">
        <is>
          <t>去首尾空格；全角转半角；保留原值，不自动改写</t>
        </is>
      </c>
      <c r="N212" s="150" t="inlineStr">
        <is>
          <t>异常时写入自动备注；不改写原值</t>
        </is>
      </c>
      <c r="O212" s="150" t="inlineStr">
        <is>
          <t>GB 24500-2020</t>
        </is>
      </c>
      <c r="P212" s="150" t="inlineStr">
        <is>
          <t>表1～表4</t>
        </is>
      </c>
    </row>
    <row r="213">
      <c r="A213" s="150" t="inlineStr">
        <is>
          <t>工业锅炉</t>
        </is>
      </c>
      <c r="B213" s="150" t="inlineStr">
        <is>
          <t>design_efficiency</t>
        </is>
      </c>
      <c r="C213" s="150" t="inlineStr">
        <is>
          <t>设计热效率</t>
        </is>
      </c>
      <c r="D213" s="150" t="inlineStr">
        <is>
          <t>设备参数</t>
        </is>
      </c>
      <c r="E213" s="150" t="inlineStr">
        <is>
          <t>数值</t>
        </is>
      </c>
      <c r="F213" s="150" t="inlineStr">
        <is>
          <t>%</t>
        </is>
      </c>
      <c r="G213" s="150" t="inlineStr">
        <is>
          <t>是</t>
        </is>
      </c>
      <c r="H213" s="150" t="inlineStr">
        <is>
          <t>整行启用时必填</t>
        </is>
      </c>
      <c r="I213" s="150" t="inlineStr">
        <is>
          <t>非冷凝1～100；冷凝1～110</t>
        </is>
      </c>
      <c r="J213" s="150" t="n">
        <v>1</v>
      </c>
      <c r="K213" s="150" t="n">
        <v>110</v>
      </c>
      <c r="L213" s="150" t="str"/>
      <c r="M213" s="150" t="inlineStr">
        <is>
          <t>去首尾空格；全角转半角；保留原值，不自动改写</t>
        </is>
      </c>
      <c r="N213" s="150" t="inlineStr">
        <is>
          <t>异常时写入自动备注；不改写原值</t>
        </is>
      </c>
      <c r="O213" s="150" t="inlineStr">
        <is>
          <t>GB 24500-2020</t>
        </is>
      </c>
      <c r="P213" s="150" t="inlineStr">
        <is>
          <t>表1～表4</t>
        </is>
      </c>
    </row>
    <row r="214">
      <c r="A214" s="150" t="inlineStr">
        <is>
          <t>工业锅炉</t>
        </is>
      </c>
      <c r="B214" s="150" t="inlineStr">
        <is>
          <t>grade1</t>
        </is>
      </c>
      <c r="C214" s="150" t="inlineStr">
        <is>
          <t>1级热效率</t>
        </is>
      </c>
      <c r="D214" s="150" t="inlineStr">
        <is>
          <t>标准查询结果</t>
        </is>
      </c>
      <c r="E214" s="150" t="inlineStr">
        <is>
          <t>数值</t>
        </is>
      </c>
      <c r="F214" s="150" t="inlineStr">
        <is>
          <t>%</t>
        </is>
      </c>
      <c r="G214" s="150" t="inlineStr">
        <is>
          <t>否</t>
        </is>
      </c>
      <c r="H214" s="150" t="inlineStr">
        <is>
          <t>本阶段锁定预留</t>
        </is>
      </c>
      <c r="I214" s="150" t="inlineStr">
        <is>
          <t>无</t>
        </is>
      </c>
      <c r="J214" s="150" t="n"/>
      <c r="K214" s="150" t="n"/>
      <c r="L214" s="150" t="str"/>
      <c r="M214" s="150" t="inlineStr">
        <is>
          <t>锁定预留，不清洗</t>
        </is>
      </c>
      <c r="N214" s="150" t="inlineStr">
        <is>
          <t>本阶段不查询、不判定</t>
        </is>
      </c>
      <c r="O214" s="150" t="inlineStr">
        <is>
          <t>GB 24500-2020</t>
        </is>
      </c>
      <c r="P214" s="150" t="inlineStr">
        <is>
          <t>表1～表4</t>
        </is>
      </c>
    </row>
    <row r="215">
      <c r="A215" s="150" t="inlineStr">
        <is>
          <t>工业锅炉</t>
        </is>
      </c>
      <c r="B215" s="150" t="inlineStr">
        <is>
          <t>grade2</t>
        </is>
      </c>
      <c r="C215" s="150" t="inlineStr">
        <is>
          <t>2级热效率</t>
        </is>
      </c>
      <c r="D215" s="150" t="inlineStr">
        <is>
          <t>标准查询结果</t>
        </is>
      </c>
      <c r="E215" s="150" t="inlineStr">
        <is>
          <t>数值</t>
        </is>
      </c>
      <c r="F215" s="150" t="inlineStr">
        <is>
          <t>%</t>
        </is>
      </c>
      <c r="G215" s="150" t="inlineStr">
        <is>
          <t>否</t>
        </is>
      </c>
      <c r="H215" s="150" t="inlineStr">
        <is>
          <t>本阶段锁定预留</t>
        </is>
      </c>
      <c r="I215" s="150" t="inlineStr">
        <is>
          <t>无</t>
        </is>
      </c>
      <c r="J215" s="150" t="n"/>
      <c r="K215" s="150" t="n"/>
      <c r="L215" s="150" t="str"/>
      <c r="M215" s="150" t="inlineStr">
        <is>
          <t>锁定预留，不清洗</t>
        </is>
      </c>
      <c r="N215" s="150" t="inlineStr">
        <is>
          <t>本阶段不查询、不判定</t>
        </is>
      </c>
      <c r="O215" s="150" t="inlineStr">
        <is>
          <t>GB 24500-2020</t>
        </is>
      </c>
      <c r="P215" s="150" t="inlineStr">
        <is>
          <t>表1～表4</t>
        </is>
      </c>
    </row>
    <row r="216">
      <c r="A216" s="150" t="inlineStr">
        <is>
          <t>工业锅炉</t>
        </is>
      </c>
      <c r="B216" s="150" t="inlineStr">
        <is>
          <t>grade3</t>
        </is>
      </c>
      <c r="C216" s="150" t="inlineStr">
        <is>
          <t>3级热效率</t>
        </is>
      </c>
      <c r="D216" s="150" t="inlineStr">
        <is>
          <t>标准查询结果</t>
        </is>
      </c>
      <c r="E216" s="150" t="inlineStr">
        <is>
          <t>数值</t>
        </is>
      </c>
      <c r="F216" s="150" t="inlineStr">
        <is>
          <t>%</t>
        </is>
      </c>
      <c r="G216" s="150" t="inlineStr">
        <is>
          <t>否</t>
        </is>
      </c>
      <c r="H216" s="150" t="inlineStr">
        <is>
          <t>本阶段锁定预留</t>
        </is>
      </c>
      <c r="I216" s="150" t="inlineStr">
        <is>
          <t>无</t>
        </is>
      </c>
      <c r="J216" s="150" t="n"/>
      <c r="K216" s="150" t="n"/>
      <c r="L216" s="150" t="str"/>
      <c r="M216" s="150" t="inlineStr">
        <is>
          <t>锁定预留，不清洗</t>
        </is>
      </c>
      <c r="N216" s="150" t="inlineStr">
        <is>
          <t>本阶段不查询、不判定</t>
        </is>
      </c>
      <c r="O216" s="150" t="inlineStr">
        <is>
          <t>GB 24500-2020</t>
        </is>
      </c>
      <c r="P216" s="150" t="inlineStr">
        <is>
          <t>表1～表4</t>
        </is>
      </c>
    </row>
    <row r="217">
      <c r="A217" s="150" t="inlineStr">
        <is>
          <t>工业锅炉</t>
        </is>
      </c>
      <c r="B217" s="150" t="inlineStr">
        <is>
          <t>conclusion</t>
        </is>
      </c>
      <c r="C217" s="150" t="inlineStr">
        <is>
          <t>能效等级</t>
        </is>
      </c>
      <c r="D217" s="150" t="inlineStr">
        <is>
          <t>结论</t>
        </is>
      </c>
      <c r="E217" s="150" t="inlineStr">
        <is>
          <t>文本</t>
        </is>
      </c>
      <c r="F217" s="150" t="inlineStr">
        <is>
          <t>-</t>
        </is>
      </c>
      <c r="G217" s="150" t="inlineStr">
        <is>
          <t>否</t>
        </is>
      </c>
      <c r="H217" s="150" t="inlineStr">
        <is>
          <t>本阶段锁定预留</t>
        </is>
      </c>
      <c r="I217" s="150" t="inlineStr">
        <is>
          <t>无</t>
        </is>
      </c>
      <c r="J217" s="150" t="n"/>
      <c r="K217" s="150" t="n"/>
      <c r="L217" s="150" t="str"/>
      <c r="M217" s="150" t="inlineStr">
        <is>
          <t>锁定预留，不清洗</t>
        </is>
      </c>
      <c r="N217" s="150" t="inlineStr">
        <is>
          <t>本阶段不查询、不判定</t>
        </is>
      </c>
      <c r="O217" s="150" t="inlineStr">
        <is>
          <t>GB 24500-2020</t>
        </is>
      </c>
      <c r="P217" s="150" t="inlineStr">
        <is>
          <t>表1～表4</t>
        </is>
      </c>
    </row>
    <row r="218">
      <c r="A218" s="150" t="inlineStr">
        <is>
          <t>工业锅炉</t>
        </is>
      </c>
      <c r="B218" s="150" t="inlineStr">
        <is>
          <t>photo</t>
        </is>
      </c>
      <c r="C218" s="150" t="inlineStr">
        <is>
          <t>铭牌照片</t>
        </is>
      </c>
      <c r="D218" s="150" t="inlineStr">
        <is>
          <t>附件备注</t>
        </is>
      </c>
      <c r="E218" s="150" t="inlineStr">
        <is>
          <t>图片</t>
        </is>
      </c>
      <c r="F218" s="150" t="inlineStr">
        <is>
          <t>-</t>
        </is>
      </c>
      <c r="G218" s="150" t="inlineStr">
        <is>
          <t>是</t>
        </is>
      </c>
      <c r="H218" s="150" t="inlineStr">
        <is>
          <t>整行启用时必填</t>
        </is>
      </c>
      <c r="I218" s="150" t="inlineStr">
        <is>
          <t>无</t>
        </is>
      </c>
      <c r="J218" s="150" t="n"/>
      <c r="K218" s="150" t="n"/>
      <c r="L218" s="150" t="str"/>
      <c r="M218" s="150" t="inlineStr">
        <is>
          <t>仅接受Excel“置于单元格”图片；不接受浮动图片</t>
        </is>
      </c>
      <c r="N218" s="150" t="inlineStr">
        <is>
          <t>为空时提示缺少铭牌照片</t>
        </is>
      </c>
      <c r="O218" s="150" t="inlineStr">
        <is>
          <t>GB 24500-2020</t>
        </is>
      </c>
      <c r="P218" s="150" t="inlineStr">
        <is>
          <t>表1～表4</t>
        </is>
      </c>
    </row>
    <row r="219">
      <c r="A219" s="150" t="inlineStr">
        <is>
          <t>工业锅炉</t>
        </is>
      </c>
      <c r="B219" s="150" t="inlineStr">
        <is>
          <t>fill_note</t>
        </is>
      </c>
      <c r="C219" s="150" t="inlineStr">
        <is>
          <t>填表备注</t>
        </is>
      </c>
      <c r="D219" s="150" t="inlineStr">
        <is>
          <t>附件备注</t>
        </is>
      </c>
      <c r="E219" s="150" t="inlineStr">
        <is>
          <t>文本</t>
        </is>
      </c>
      <c r="F219" s="150" t="inlineStr">
        <is>
          <t>-</t>
        </is>
      </c>
      <c r="G219" s="150" t="inlineStr">
        <is>
          <t>是</t>
        </is>
      </c>
      <c r="H219" s="150" t="inlineStr">
        <is>
          <t>可选</t>
        </is>
      </c>
      <c r="I219" s="150" t="inlineStr">
        <is>
          <t>无</t>
        </is>
      </c>
      <c r="J219" s="150" t="n"/>
      <c r="K219" s="150" t="n"/>
      <c r="L219" s="150" t="str"/>
      <c r="M219" s="150" t="inlineStr">
        <is>
          <t>去首尾空格；全角转半角；保留原值，不自动改写</t>
        </is>
      </c>
      <c r="N219" s="150" t="inlineStr">
        <is>
          <t>异常时写入自动备注；不改写原值</t>
        </is>
      </c>
      <c r="O219" s="150" t="inlineStr">
        <is>
          <t>GB 24500-2020</t>
        </is>
      </c>
      <c r="P219" s="150" t="inlineStr">
        <is>
          <t>表1～表4</t>
        </is>
      </c>
    </row>
    <row r="220">
      <c r="A220" s="150" t="inlineStr">
        <is>
          <t>工业锅炉</t>
        </is>
      </c>
      <c r="B220" s="150" t="inlineStr">
        <is>
          <t>auto_note</t>
        </is>
      </c>
      <c r="C220" s="150" t="inlineStr">
        <is>
          <t>自动备注</t>
        </is>
      </c>
      <c r="D220" s="150" t="inlineStr">
        <is>
          <t>附件备注</t>
        </is>
      </c>
      <c r="E220" s="150" t="inlineStr">
        <is>
          <t>公式</t>
        </is>
      </c>
      <c r="F220" s="150" t="inlineStr">
        <is>
          <t>-</t>
        </is>
      </c>
      <c r="G220" s="150" t="inlineStr">
        <is>
          <t>否</t>
        </is>
      </c>
      <c r="H220" s="150" t="inlineStr">
        <is>
          <t>公式生成</t>
        </is>
      </c>
      <c r="I220" s="150" t="inlineStr">
        <is>
          <t>无</t>
        </is>
      </c>
      <c r="J220" s="150" t="n"/>
      <c r="K220" s="150" t="n"/>
      <c r="L220" s="150" t="str"/>
      <c r="M220" s="150" t="inlineStr">
        <is>
          <t>锁定公式列，不清洗</t>
        </is>
      </c>
      <c r="N220" s="150" t="inlineStr">
        <is>
          <t>公式锁定并随表格扩展</t>
        </is>
      </c>
      <c r="O220" s="150" t="inlineStr">
        <is>
          <t>GB 24500-2020</t>
        </is>
      </c>
      <c r="P220" s="150" t="inlineStr">
        <is>
          <t>表1～表4</t>
        </is>
      </c>
    </row>
    <row r="221">
      <c r="A221" s="150" t="inlineStr">
        <is>
          <t>热处理设备</t>
        </is>
      </c>
      <c r="B221" s="150" t="inlineStr">
        <is>
          <t>seq</t>
        </is>
      </c>
      <c r="C221" s="150" t="inlineStr">
        <is>
          <t>序号</t>
        </is>
      </c>
      <c r="D221" s="150" t="inlineStr">
        <is>
          <t>基础信息</t>
        </is>
      </c>
      <c r="E221" s="150" t="inlineStr">
        <is>
          <t>整数</t>
        </is>
      </c>
      <c r="F221" s="150" t="inlineStr">
        <is>
          <t>-</t>
        </is>
      </c>
      <c r="G221" s="150" t="inlineStr">
        <is>
          <t>否</t>
        </is>
      </c>
      <c r="H221" s="150" t="inlineStr">
        <is>
          <t>公式生成</t>
        </is>
      </c>
      <c r="I221" s="150" t="inlineStr">
        <is>
          <t>无</t>
        </is>
      </c>
      <c r="J221" s="150" t="n"/>
      <c r="K221" s="150" t="n"/>
      <c r="L221" s="150" t="str"/>
      <c r="M221" s="150" t="inlineStr">
        <is>
          <t>锁定公式列，不清洗</t>
        </is>
      </c>
      <c r="N221" s="150" t="inlineStr">
        <is>
          <t>公式锁定并随表格扩展</t>
        </is>
      </c>
      <c r="O221" s="150" t="inlineStr">
        <is>
          <t>GB/T 36561-2018</t>
        </is>
      </c>
      <c r="P221" s="150" t="inlineStr">
        <is>
          <t>表8等</t>
        </is>
      </c>
    </row>
    <row r="222">
      <c r="A222" s="150" t="inlineStr">
        <is>
          <t>热处理设备</t>
        </is>
      </c>
      <c r="B222" s="150" t="inlineStr">
        <is>
          <t>device_name</t>
        </is>
      </c>
      <c r="C222" s="150" t="inlineStr">
        <is>
          <t>设备名称</t>
        </is>
      </c>
      <c r="D222" s="150" t="inlineStr">
        <is>
          <t>基础信息</t>
        </is>
      </c>
      <c r="E222" s="150" t="inlineStr">
        <is>
          <t>文本</t>
        </is>
      </c>
      <c r="F222" s="150" t="inlineStr">
        <is>
          <t>-</t>
        </is>
      </c>
      <c r="G222" s="150" t="inlineStr">
        <is>
          <t>是</t>
        </is>
      </c>
      <c r="H222" s="150" t="inlineStr">
        <is>
          <t>整行启用时必填</t>
        </is>
      </c>
      <c r="I222" s="150" t="inlineStr">
        <is>
          <t>无</t>
        </is>
      </c>
      <c r="J222" s="150" t="n"/>
      <c r="K222" s="150" t="n"/>
      <c r="L222" s="150" t="str"/>
      <c r="M222" s="150" t="inlineStr">
        <is>
          <t>去首尾空格；全角转半角；保留原值，不自动改写</t>
        </is>
      </c>
      <c r="N222" s="150" t="inlineStr">
        <is>
          <t>异常时写入自动备注；不改写原值</t>
        </is>
      </c>
      <c r="O222" s="150" t="inlineStr">
        <is>
          <t>GB/T 36561-2018</t>
        </is>
      </c>
      <c r="P222" s="150" t="inlineStr">
        <is>
          <t>表8等</t>
        </is>
      </c>
    </row>
    <row r="223">
      <c r="A223" s="150" t="inlineStr">
        <is>
          <t>热处理设备</t>
        </is>
      </c>
      <c r="B223" s="150" t="inlineStr">
        <is>
          <t>model</t>
        </is>
      </c>
      <c r="C223" s="150" t="inlineStr">
        <is>
          <t>型号</t>
        </is>
      </c>
      <c r="D223" s="150" t="inlineStr">
        <is>
          <t>基础信息</t>
        </is>
      </c>
      <c r="E223" s="150" t="inlineStr">
        <is>
          <t>文本</t>
        </is>
      </c>
      <c r="F223" s="150" t="inlineStr">
        <is>
          <t>-</t>
        </is>
      </c>
      <c r="G223" s="150" t="inlineStr">
        <is>
          <t>是</t>
        </is>
      </c>
      <c r="H223" s="150" t="inlineStr">
        <is>
          <t>整行启用时必填</t>
        </is>
      </c>
      <c r="I223" s="150" t="inlineStr">
        <is>
          <t>无</t>
        </is>
      </c>
      <c r="J223" s="150" t="n"/>
      <c r="K223" s="150" t="n"/>
      <c r="L223" s="150" t="str"/>
      <c r="M223" s="150" t="inlineStr">
        <is>
          <t>去首尾空格；统一字母大小写、连接符和全半角；保留原值</t>
        </is>
      </c>
      <c r="N223" s="150" t="inlineStr">
        <is>
          <t>异常时写入自动备注；不改写原值</t>
        </is>
      </c>
      <c r="O223" s="150" t="inlineStr">
        <is>
          <t>GB/T 36561-2018</t>
        </is>
      </c>
      <c r="P223" s="150" t="inlineStr">
        <is>
          <t>表8等</t>
        </is>
      </c>
    </row>
    <row r="224">
      <c r="A224" s="150" t="inlineStr">
        <is>
          <t>热处理设备</t>
        </is>
      </c>
      <c r="B224" s="150" t="inlineStr">
        <is>
          <t>quantity</t>
        </is>
      </c>
      <c r="C224" s="150" t="inlineStr">
        <is>
          <t>数量</t>
        </is>
      </c>
      <c r="D224" s="150" t="inlineStr">
        <is>
          <t>基础信息</t>
        </is>
      </c>
      <c r="E224" s="150" t="inlineStr">
        <is>
          <t>整数</t>
        </is>
      </c>
      <c r="F224" s="150" t="inlineStr">
        <is>
          <t>-</t>
        </is>
      </c>
      <c r="G224" s="150" t="inlineStr">
        <is>
          <t>是</t>
        </is>
      </c>
      <c r="H224" s="150" t="inlineStr">
        <is>
          <t>整行启用时必填</t>
        </is>
      </c>
      <c r="I224" s="150" t="inlineStr">
        <is>
          <t>正整数</t>
        </is>
      </c>
      <c r="J224" s="150" t="n">
        <v>1</v>
      </c>
      <c r="K224" s="150" t="n"/>
      <c r="L224" s="150" t="str"/>
      <c r="M224" s="150" t="inlineStr">
        <is>
          <t>去首尾空格；全角转半角；保留原值，不自动改写</t>
        </is>
      </c>
      <c r="N224" s="150" t="inlineStr">
        <is>
          <t>异常时写入自动备注；不改写原值</t>
        </is>
      </c>
      <c r="O224" s="150" t="inlineStr">
        <is>
          <t>GB/T 36561-2018</t>
        </is>
      </c>
      <c r="P224" s="150" t="inlineStr">
        <is>
          <t>表8等</t>
        </is>
      </c>
    </row>
    <row r="225">
      <c r="A225" s="150" t="inlineStr">
        <is>
          <t>热处理设备</t>
        </is>
      </c>
      <c r="B225" s="150" t="inlineStr">
        <is>
          <t>location</t>
        </is>
      </c>
      <c r="C225" s="150" t="inlineStr">
        <is>
          <t>安装位置</t>
        </is>
      </c>
      <c r="D225" s="150" t="inlineStr">
        <is>
          <t>基础信息</t>
        </is>
      </c>
      <c r="E225" s="150" t="inlineStr">
        <is>
          <t>文本</t>
        </is>
      </c>
      <c r="F225" s="150" t="inlineStr">
        <is>
          <t>-</t>
        </is>
      </c>
      <c r="G225" s="150" t="inlineStr">
        <is>
          <t>是</t>
        </is>
      </c>
      <c r="H225" s="150" t="inlineStr">
        <is>
          <t>可选</t>
        </is>
      </c>
      <c r="I225" s="150" t="inlineStr">
        <is>
          <t>无</t>
        </is>
      </c>
      <c r="J225" s="150" t="n"/>
      <c r="K225" s="150" t="n"/>
      <c r="L225" s="150" t="str"/>
      <c r="M225" s="150" t="inlineStr">
        <is>
          <t>去首尾空格；全角转半角；保留原值，不自动改写</t>
        </is>
      </c>
      <c r="N225" s="150" t="inlineStr">
        <is>
          <t>异常时写入自动备注；不改写原值</t>
        </is>
      </c>
      <c r="O225" s="150" t="inlineStr">
        <is>
          <t>GB/T 36561-2018</t>
        </is>
      </c>
      <c r="P225" s="150" t="inlineStr">
        <is>
          <t>表8等</t>
        </is>
      </c>
    </row>
    <row r="226">
      <c r="A226" s="150" t="inlineStr">
        <is>
          <t>热处理设备</t>
        </is>
      </c>
      <c r="B226" s="150" t="inlineStr">
        <is>
          <t>category</t>
        </is>
      </c>
      <c r="C226" s="150" t="inlineStr">
        <is>
          <t>设备类别</t>
        </is>
      </c>
      <c r="D226" s="150" t="inlineStr">
        <is>
          <t>设备参数</t>
        </is>
      </c>
      <c r="E226" s="150" t="inlineStr">
        <is>
          <t>文本</t>
        </is>
      </c>
      <c r="F226" s="150" t="inlineStr">
        <is>
          <t>-</t>
        </is>
      </c>
      <c r="G226" s="150" t="inlineStr">
        <is>
          <t>是</t>
        </is>
      </c>
      <c r="H226" s="150" t="inlineStr">
        <is>
          <t>整行启用时必填</t>
        </is>
      </c>
      <c r="I226" s="150" t="inlineStr">
        <is>
          <t>停止型下拉；粘贴后由自动备注复核</t>
        </is>
      </c>
      <c r="J226" s="150" t="n"/>
      <c r="K226" s="150" t="n"/>
      <c r="L226" s="150" t="inlineStr">
        <is>
          <t>EV_HEAT_TREAT_CATEGORY</t>
        </is>
      </c>
      <c r="M226" s="150" t="inlineStr">
        <is>
          <t>去首尾空格；全角转半角；保留原值，不自动改写</t>
        </is>
      </c>
      <c r="N226" s="150" t="inlineStr">
        <is>
          <t>异常时写入自动备注；不改写原值</t>
        </is>
      </c>
      <c r="O226" s="150" t="inlineStr">
        <is>
          <t>GB/T 36561-2018</t>
        </is>
      </c>
      <c r="P226" s="150" t="inlineStr">
        <is>
          <t>表8等</t>
        </is>
      </c>
    </row>
    <row r="227">
      <c r="A227" s="150" t="inlineStr">
        <is>
          <t>热处理设备</t>
        </is>
      </c>
      <c r="B227" s="150" t="inlineStr">
        <is>
          <t>energy_type</t>
        </is>
      </c>
      <c r="C227" s="150" t="inlineStr">
        <is>
          <t>能源类型</t>
        </is>
      </c>
      <c r="D227" s="150" t="inlineStr">
        <is>
          <t>设备参数</t>
        </is>
      </c>
      <c r="E227" s="150" t="inlineStr">
        <is>
          <t>文本</t>
        </is>
      </c>
      <c r="F227" s="150" t="inlineStr">
        <is>
          <t>-</t>
        </is>
      </c>
      <c r="G227" s="150" t="inlineStr">
        <is>
          <t>是</t>
        </is>
      </c>
      <c r="H227" s="150" t="inlineStr">
        <is>
          <t>整行启用时必填</t>
        </is>
      </c>
      <c r="I227" s="150" t="inlineStr">
        <is>
          <t>停止型下拉；粘贴后由自动备注复核</t>
        </is>
      </c>
      <c r="J227" s="150" t="n"/>
      <c r="K227" s="150" t="n"/>
      <c r="L227" s="150" t="inlineStr">
        <is>
          <t>EV_ENERGY_TYPE</t>
        </is>
      </c>
      <c r="M227" s="150" t="inlineStr">
        <is>
          <t>去首尾空格；全角转半角；保留原值，不自动改写</t>
        </is>
      </c>
      <c r="N227" s="150" t="inlineStr">
        <is>
          <t>异常时写入自动备注；不改写原值</t>
        </is>
      </c>
      <c r="O227" s="150" t="inlineStr">
        <is>
          <t>GB/T 36561-2018</t>
        </is>
      </c>
      <c r="P227" s="150" t="inlineStr">
        <is>
          <t>表8等</t>
        </is>
      </c>
    </row>
    <row r="228">
      <c r="A228" s="150" t="inlineStr">
        <is>
          <t>热处理设备</t>
        </is>
      </c>
      <c r="B228" s="150" t="inlineStr">
        <is>
          <t>rated_power</t>
        </is>
      </c>
      <c r="C228" s="150" t="inlineStr">
        <is>
          <t>额定功率</t>
        </is>
      </c>
      <c r="D228" s="150" t="inlineStr">
        <is>
          <t>设备参数</t>
        </is>
      </c>
      <c r="E228" s="150" t="inlineStr">
        <is>
          <t>数值</t>
        </is>
      </c>
      <c r="F228" s="150" t="inlineStr">
        <is>
          <t>kW</t>
        </is>
      </c>
      <c r="G228" s="150" t="inlineStr">
        <is>
          <t>是</t>
        </is>
      </c>
      <c r="H228" s="150" t="inlineStr">
        <is>
          <t>整行启用时必填</t>
        </is>
      </c>
      <c r="I228" s="150" t="inlineStr">
        <is>
          <t>数值&gt;0</t>
        </is>
      </c>
      <c r="J228" s="150" t="n">
        <v>0</v>
      </c>
      <c r="K228" s="150" t="n"/>
      <c r="L228" s="150" t="str"/>
      <c r="M228" s="150" t="inlineStr">
        <is>
          <t>去首尾空格；全角转半角；保留原值，不自动改写</t>
        </is>
      </c>
      <c r="N228" s="150" t="inlineStr">
        <is>
          <t>异常时写入自动备注；不改写原值</t>
        </is>
      </c>
      <c r="O228" s="150" t="inlineStr">
        <is>
          <t>GB/T 36561-2018</t>
        </is>
      </c>
      <c r="P228" s="150" t="inlineStr">
        <is>
          <t>表8等</t>
        </is>
      </c>
    </row>
    <row r="229">
      <c r="A229" s="150" t="inlineStr">
        <is>
          <t>热处理设备</t>
        </is>
      </c>
      <c r="B229" s="150" t="inlineStr">
        <is>
          <t>rated_temperature</t>
        </is>
      </c>
      <c r="C229" s="150" t="inlineStr">
        <is>
          <t>额定温度</t>
        </is>
      </c>
      <c r="D229" s="150" t="inlineStr">
        <is>
          <t>设备参数</t>
        </is>
      </c>
      <c r="E229" s="150" t="inlineStr">
        <is>
          <t>数值</t>
        </is>
      </c>
      <c r="F229" s="150" t="inlineStr">
        <is>
          <t>℃</t>
        </is>
      </c>
      <c r="G229" s="150" t="inlineStr">
        <is>
          <t>是</t>
        </is>
      </c>
      <c r="H229" s="150" t="inlineStr">
        <is>
          <t>整行启用时必填</t>
        </is>
      </c>
      <c r="I229" s="150" t="inlineStr">
        <is>
          <t>数值&gt;0</t>
        </is>
      </c>
      <c r="J229" s="150" t="n">
        <v>0</v>
      </c>
      <c r="K229" s="150" t="n"/>
      <c r="L229" s="150" t="str"/>
      <c r="M229" s="150" t="inlineStr">
        <is>
          <t>去首尾空格；全角转半角；保留原值，不自动改写</t>
        </is>
      </c>
      <c r="N229" s="150" t="inlineStr">
        <is>
          <t>异常时写入自动备注；不改写原值</t>
        </is>
      </c>
      <c r="O229" s="150" t="inlineStr">
        <is>
          <t>GB/T 36561-2018</t>
        </is>
      </c>
      <c r="P229" s="150" t="inlineStr">
        <is>
          <t>表8等</t>
        </is>
      </c>
    </row>
    <row r="230">
      <c r="A230" s="150" t="inlineStr">
        <is>
          <t>热处理设备</t>
        </is>
      </c>
      <c r="B230" s="150" t="inlineStr">
        <is>
          <t>equivalent_weight</t>
        </is>
      </c>
      <c r="C230" s="150" t="inlineStr">
        <is>
          <t>总折合重量</t>
        </is>
      </c>
      <c r="D230" s="150" t="inlineStr">
        <is>
          <t>设备参数</t>
        </is>
      </c>
      <c r="E230" s="150" t="inlineStr">
        <is>
          <t>数值</t>
        </is>
      </c>
      <c r="F230" s="150" t="inlineStr">
        <is>
          <t>t</t>
        </is>
      </c>
      <c r="G230" s="150" t="inlineStr">
        <is>
          <t>是</t>
        </is>
      </c>
      <c r="H230" s="150" t="inlineStr">
        <is>
          <t>整行启用时必填</t>
        </is>
      </c>
      <c r="I230" s="150" t="inlineStr">
        <is>
          <t>数值&gt;0</t>
        </is>
      </c>
      <c r="J230" s="150" t="n">
        <v>0</v>
      </c>
      <c r="K230" s="150" t="n"/>
      <c r="L230" s="150" t="str"/>
      <c r="M230" s="150" t="inlineStr">
        <is>
          <t>去首尾空格；全角转半角；保留原值，不自动改写</t>
        </is>
      </c>
      <c r="N230" s="150" t="inlineStr">
        <is>
          <t>异常时写入自动备注；不改写原值</t>
        </is>
      </c>
      <c r="O230" s="150" t="inlineStr">
        <is>
          <t>GB/T 36561-2018</t>
        </is>
      </c>
      <c r="P230" s="150" t="inlineStr">
        <is>
          <t>表8等</t>
        </is>
      </c>
    </row>
    <row r="231">
      <c r="A231" s="150" t="inlineStr">
        <is>
          <t>热处理设备</t>
        </is>
      </c>
      <c r="B231" s="150" t="inlineStr">
        <is>
          <t>electricity</t>
        </is>
      </c>
      <c r="C231" s="150" t="inlineStr">
        <is>
          <t>电炉总耗电量</t>
        </is>
      </c>
      <c r="D231" s="150" t="inlineStr">
        <is>
          <t>设备参数</t>
        </is>
      </c>
      <c r="E231" s="150" t="inlineStr">
        <is>
          <t>数值</t>
        </is>
      </c>
      <c r="F231" s="150" t="inlineStr">
        <is>
          <t>kW·h</t>
        </is>
      </c>
      <c r="G231" s="150" t="inlineStr">
        <is>
          <t>是</t>
        </is>
      </c>
      <c r="H231" s="150" t="inlineStr">
        <is>
          <t>电力设备条件必填</t>
        </is>
      </c>
      <c r="I231" s="150" t="inlineStr">
        <is>
          <t>数值&gt;0</t>
        </is>
      </c>
      <c r="J231" s="150" t="n">
        <v>0</v>
      </c>
      <c r="K231" s="150" t="n"/>
      <c r="L231" s="150" t="str"/>
      <c r="M231" s="150" t="inlineStr">
        <is>
          <t>去首尾空格；全角转半角；保留原值，不自动改写</t>
        </is>
      </c>
      <c r="N231" s="150" t="inlineStr">
        <is>
          <t>异常时写入自动备注；不改写原值</t>
        </is>
      </c>
      <c r="O231" s="150" t="inlineStr">
        <is>
          <t>GB/T 36561-2018</t>
        </is>
      </c>
      <c r="P231" s="150" t="inlineStr">
        <is>
          <t>表8等</t>
        </is>
      </c>
    </row>
    <row r="232">
      <c r="A232" s="150" t="inlineStr">
        <is>
          <t>热处理设备</t>
        </is>
      </c>
      <c r="B232" s="150" t="inlineStr">
        <is>
          <t>fuel_consumption</t>
        </is>
      </c>
      <c r="C232" s="150" t="inlineStr">
        <is>
          <t>燃料总耗量</t>
        </is>
      </c>
      <c r="D232" s="150" t="inlineStr">
        <is>
          <t>设备参数</t>
        </is>
      </c>
      <c r="E232" s="150" t="inlineStr">
        <is>
          <t>数值</t>
        </is>
      </c>
      <c r="F232" s="150" t="inlineStr">
        <is>
          <t>m³</t>
        </is>
      </c>
      <c r="G232" s="150" t="inlineStr">
        <is>
          <t>是</t>
        </is>
      </c>
      <c r="H232" s="150" t="inlineStr">
        <is>
          <t>燃料设备条件必填</t>
        </is>
      </c>
      <c r="I232" s="150" t="inlineStr">
        <is>
          <t>数值&gt;0</t>
        </is>
      </c>
      <c r="J232" s="150" t="n">
        <v>0</v>
      </c>
      <c r="K232" s="150" t="n"/>
      <c r="L232" s="150" t="str"/>
      <c r="M232" s="150" t="inlineStr">
        <is>
          <t>去首尾空格；全角转半角；保留原值，不自动改写</t>
        </is>
      </c>
      <c r="N232" s="150" t="inlineStr">
        <is>
          <t>异常时写入自动备注；不改写原值</t>
        </is>
      </c>
      <c r="O232" s="150" t="inlineStr">
        <is>
          <t>GB/T 36561-2018</t>
        </is>
      </c>
      <c r="P232" s="150" t="inlineStr">
        <is>
          <t>表8等</t>
        </is>
      </c>
    </row>
    <row r="233">
      <c r="A233" s="150" t="inlineStr">
        <is>
          <t>热处理设备</t>
        </is>
      </c>
      <c r="B233" s="150" t="inlineStr">
        <is>
          <t>fuel_heat</t>
        </is>
      </c>
      <c r="C233" s="150" t="inlineStr">
        <is>
          <t>燃料热值</t>
        </is>
      </c>
      <c r="D233" s="150" t="inlineStr">
        <is>
          <t>设备参数</t>
        </is>
      </c>
      <c r="E233" s="150" t="inlineStr">
        <is>
          <t>数值</t>
        </is>
      </c>
      <c r="F233" s="150" t="inlineStr">
        <is>
          <t>kJ/m³</t>
        </is>
      </c>
      <c r="G233" s="150" t="inlineStr">
        <is>
          <t>是</t>
        </is>
      </c>
      <c r="H233" s="150" t="inlineStr">
        <is>
          <t>燃料设备条件必填</t>
        </is>
      </c>
      <c r="I233" s="150" t="inlineStr">
        <is>
          <t>数值&gt;0</t>
        </is>
      </c>
      <c r="J233" s="150" t="n">
        <v>0</v>
      </c>
      <c r="K233" s="150" t="n"/>
      <c r="L233" s="150" t="str"/>
      <c r="M233" s="150" t="inlineStr">
        <is>
          <t>去首尾空格；全角转半角；保留原值，不自动改写</t>
        </is>
      </c>
      <c r="N233" s="150" t="inlineStr">
        <is>
          <t>异常时写入自动备注；不改写原值</t>
        </is>
      </c>
      <c r="O233" s="150" t="inlineStr">
        <is>
          <t>GB/T 36561-2018</t>
        </is>
      </c>
      <c r="P233" s="150" t="inlineStr">
        <is>
          <t>表8等</t>
        </is>
      </c>
    </row>
    <row r="234">
      <c r="A234" s="150" t="inlineStr">
        <is>
          <t>热处理设备</t>
        </is>
      </c>
      <c r="B234" s="150" t="inlineStr">
        <is>
          <t>fuel_factor</t>
        </is>
      </c>
      <c r="C234" s="150" t="inlineStr">
        <is>
          <t>燃料系数</t>
        </is>
      </c>
      <c r="D234" s="150" t="inlineStr">
        <is>
          <t>计算辅助结果</t>
        </is>
      </c>
      <c r="E234" s="150" t="inlineStr">
        <is>
          <t>文本</t>
        </is>
      </c>
      <c r="F234" s="150" t="inlineStr">
        <is>
          <t>-</t>
        </is>
      </c>
      <c r="G234" s="150" t="inlineStr">
        <is>
          <t>否</t>
        </is>
      </c>
      <c r="H234" s="150" t="inlineStr">
        <is>
          <t>本阶段锁定预留</t>
        </is>
      </c>
      <c r="I234" s="150" t="inlineStr">
        <is>
          <t>无</t>
        </is>
      </c>
      <c r="J234" s="150" t="n"/>
      <c r="K234" s="150" t="n"/>
      <c r="L234" s="150" t="str"/>
      <c r="M234" s="150" t="inlineStr">
        <is>
          <t>锁定预留，不清洗</t>
        </is>
      </c>
      <c r="N234" s="150" t="inlineStr">
        <is>
          <t>本阶段不查询、不判定</t>
        </is>
      </c>
      <c r="O234" s="150" t="inlineStr">
        <is>
          <t>GB/T 36561-2018</t>
        </is>
      </c>
      <c r="P234" s="150" t="inlineStr">
        <is>
          <t>表8等</t>
        </is>
      </c>
    </row>
    <row r="235">
      <c r="A235" s="150" t="inlineStr">
        <is>
          <t>热处理设备</t>
        </is>
      </c>
      <c r="B235" s="150" t="inlineStr">
        <is>
          <t>electric_specific</t>
        </is>
      </c>
      <c r="C235" s="150" t="inlineStr">
        <is>
          <t>电炉可比单耗</t>
        </is>
      </c>
      <c r="D235" s="150" t="inlineStr">
        <is>
          <t>计算辅助结果</t>
        </is>
      </c>
      <c r="E235" s="150" t="inlineStr">
        <is>
          <t>数值</t>
        </is>
      </c>
      <c r="F235" s="150" t="inlineStr">
        <is>
          <t>kW·h/t</t>
        </is>
      </c>
      <c r="G235" s="150" t="inlineStr">
        <is>
          <t>否</t>
        </is>
      </c>
      <c r="H235" s="150" t="inlineStr">
        <is>
          <t>本阶段锁定预留</t>
        </is>
      </c>
      <c r="I235" s="150" t="inlineStr">
        <is>
          <t>无</t>
        </is>
      </c>
      <c r="J235" s="150" t="n"/>
      <c r="K235" s="150" t="n"/>
      <c r="L235" s="150" t="str"/>
      <c r="M235" s="150" t="inlineStr">
        <is>
          <t>锁定预留，不清洗</t>
        </is>
      </c>
      <c r="N235" s="150" t="inlineStr">
        <is>
          <t>本阶段不查询、不判定</t>
        </is>
      </c>
      <c r="O235" s="150" t="inlineStr">
        <is>
          <t>GB/T 36561-2018</t>
        </is>
      </c>
      <c r="P235" s="150" t="inlineStr">
        <is>
          <t>表8等</t>
        </is>
      </c>
    </row>
    <row r="236">
      <c r="A236" s="150" t="inlineStr">
        <is>
          <t>热处理设备</t>
        </is>
      </c>
      <c r="B236" s="150" t="inlineStr">
        <is>
          <t>fuel_specific</t>
        </is>
      </c>
      <c r="C236" s="150" t="inlineStr">
        <is>
          <t>燃料炉可比单耗</t>
        </is>
      </c>
      <c r="D236" s="150" t="inlineStr">
        <is>
          <t>计算辅助结果</t>
        </is>
      </c>
      <c r="E236" s="150" t="inlineStr">
        <is>
          <t>数值</t>
        </is>
      </c>
      <c r="F236" s="150" t="inlineStr">
        <is>
          <t>kgce/t</t>
        </is>
      </c>
      <c r="G236" s="150" t="inlineStr">
        <is>
          <t>否</t>
        </is>
      </c>
      <c r="H236" s="150" t="inlineStr">
        <is>
          <t>本阶段锁定预留</t>
        </is>
      </c>
      <c r="I236" s="150" t="inlineStr">
        <is>
          <t>无</t>
        </is>
      </c>
      <c r="J236" s="150" t="n"/>
      <c r="K236" s="150" t="n"/>
      <c r="L236" s="150" t="str"/>
      <c r="M236" s="150" t="inlineStr">
        <is>
          <t>锁定预留，不清洗</t>
        </is>
      </c>
      <c r="N236" s="150" t="inlineStr">
        <is>
          <t>本阶段不查询、不判定</t>
        </is>
      </c>
      <c r="O236" s="150" t="inlineStr">
        <is>
          <t>GB/T 36561-2018</t>
        </is>
      </c>
      <c r="P236" s="150" t="inlineStr">
        <is>
          <t>表8等</t>
        </is>
      </c>
    </row>
    <row r="237">
      <c r="A237" s="150" t="inlineStr">
        <is>
          <t>热处理设备</t>
        </is>
      </c>
      <c r="B237" s="150" t="inlineStr">
        <is>
          <t>grade_a</t>
        </is>
      </c>
      <c r="C237" s="150" t="inlineStr">
        <is>
          <t>一等指标</t>
        </is>
      </c>
      <c r="D237" s="150" t="inlineStr">
        <is>
          <t>标准查询结果</t>
        </is>
      </c>
      <c r="E237" s="150" t="inlineStr">
        <is>
          <t>数值</t>
        </is>
      </c>
      <c r="F237" s="150" t="inlineStr">
        <is>
          <t>按炉型</t>
        </is>
      </c>
      <c r="G237" s="150" t="inlineStr">
        <is>
          <t>否</t>
        </is>
      </c>
      <c r="H237" s="150" t="inlineStr">
        <is>
          <t>本阶段锁定预留</t>
        </is>
      </c>
      <c r="I237" s="150" t="inlineStr">
        <is>
          <t>无</t>
        </is>
      </c>
      <c r="J237" s="150" t="n"/>
      <c r="K237" s="150" t="n"/>
      <c r="L237" s="150" t="str"/>
      <c r="M237" s="150" t="inlineStr">
        <is>
          <t>锁定预留，不清洗</t>
        </is>
      </c>
      <c r="N237" s="150" t="inlineStr">
        <is>
          <t>本阶段不查询、不判定</t>
        </is>
      </c>
      <c r="O237" s="150" t="inlineStr">
        <is>
          <t>GB/T 36561-2018</t>
        </is>
      </c>
      <c r="P237" s="150" t="inlineStr">
        <is>
          <t>表8等</t>
        </is>
      </c>
    </row>
    <row r="238">
      <c r="A238" s="150" t="inlineStr">
        <is>
          <t>热处理设备</t>
        </is>
      </c>
      <c r="B238" s="150" t="inlineStr">
        <is>
          <t>grade_b</t>
        </is>
      </c>
      <c r="C238" s="150" t="inlineStr">
        <is>
          <t>二等指标</t>
        </is>
      </c>
      <c r="D238" s="150" t="inlineStr">
        <is>
          <t>标准查询结果</t>
        </is>
      </c>
      <c r="E238" s="150" t="inlineStr">
        <is>
          <t>数值</t>
        </is>
      </c>
      <c r="F238" s="150" t="inlineStr">
        <is>
          <t>按炉型</t>
        </is>
      </c>
      <c r="G238" s="150" t="inlineStr">
        <is>
          <t>否</t>
        </is>
      </c>
      <c r="H238" s="150" t="inlineStr">
        <is>
          <t>本阶段锁定预留</t>
        </is>
      </c>
      <c r="I238" s="150" t="inlineStr">
        <is>
          <t>无</t>
        </is>
      </c>
      <c r="J238" s="150" t="n"/>
      <c r="K238" s="150" t="n"/>
      <c r="L238" s="150" t="str"/>
      <c r="M238" s="150" t="inlineStr">
        <is>
          <t>锁定预留，不清洗</t>
        </is>
      </c>
      <c r="N238" s="150" t="inlineStr">
        <is>
          <t>本阶段不查询、不判定</t>
        </is>
      </c>
      <c r="O238" s="150" t="inlineStr">
        <is>
          <t>GB/T 36561-2018</t>
        </is>
      </c>
      <c r="P238" s="150" t="inlineStr">
        <is>
          <t>表8等</t>
        </is>
      </c>
    </row>
    <row r="239">
      <c r="A239" s="150" t="inlineStr">
        <is>
          <t>热处理设备</t>
        </is>
      </c>
      <c r="B239" s="150" t="inlineStr">
        <is>
          <t>grade_c</t>
        </is>
      </c>
      <c r="C239" s="150" t="inlineStr">
        <is>
          <t>三等指标</t>
        </is>
      </c>
      <c r="D239" s="150" t="inlineStr">
        <is>
          <t>标准查询结果</t>
        </is>
      </c>
      <c r="E239" s="150" t="inlineStr">
        <is>
          <t>数值</t>
        </is>
      </c>
      <c r="F239" s="150" t="inlineStr">
        <is>
          <t>按炉型</t>
        </is>
      </c>
      <c r="G239" s="150" t="inlineStr">
        <is>
          <t>否</t>
        </is>
      </c>
      <c r="H239" s="150" t="inlineStr">
        <is>
          <t>本阶段锁定预留</t>
        </is>
      </c>
      <c r="I239" s="150" t="inlineStr">
        <is>
          <t>无</t>
        </is>
      </c>
      <c r="J239" s="150" t="n"/>
      <c r="K239" s="150" t="n"/>
      <c r="L239" s="150" t="str"/>
      <c r="M239" s="150" t="inlineStr">
        <is>
          <t>锁定预留，不清洗</t>
        </is>
      </c>
      <c r="N239" s="150" t="inlineStr">
        <is>
          <t>本阶段不查询、不判定</t>
        </is>
      </c>
      <c r="O239" s="150" t="inlineStr">
        <is>
          <t>GB/T 36561-2018</t>
        </is>
      </c>
      <c r="P239" s="150" t="inlineStr">
        <is>
          <t>表8等</t>
        </is>
      </c>
    </row>
    <row r="240">
      <c r="A240" s="150" t="inlineStr">
        <is>
          <t>热处理设备</t>
        </is>
      </c>
      <c r="B240" s="150" t="inlineStr">
        <is>
          <t>conclusion</t>
        </is>
      </c>
      <c r="C240" s="150" t="inlineStr">
        <is>
          <t>评价等级</t>
        </is>
      </c>
      <c r="D240" s="150" t="inlineStr">
        <is>
          <t>结论</t>
        </is>
      </c>
      <c r="E240" s="150" t="inlineStr">
        <is>
          <t>文本</t>
        </is>
      </c>
      <c r="F240" s="150" t="inlineStr">
        <is>
          <t>-</t>
        </is>
      </c>
      <c r="G240" s="150" t="inlineStr">
        <is>
          <t>否</t>
        </is>
      </c>
      <c r="H240" s="150" t="inlineStr">
        <is>
          <t>本阶段锁定预留</t>
        </is>
      </c>
      <c r="I240" s="150" t="inlineStr">
        <is>
          <t>无</t>
        </is>
      </c>
      <c r="J240" s="150" t="n"/>
      <c r="K240" s="150" t="n"/>
      <c r="L240" s="150" t="str"/>
      <c r="M240" s="150" t="inlineStr">
        <is>
          <t>锁定预留，不清洗</t>
        </is>
      </c>
      <c r="N240" s="150" t="inlineStr">
        <is>
          <t>本阶段不查询、不判定</t>
        </is>
      </c>
      <c r="O240" s="150" t="inlineStr">
        <is>
          <t>GB/T 36561-2018</t>
        </is>
      </c>
      <c r="P240" s="150" t="inlineStr">
        <is>
          <t>表8等</t>
        </is>
      </c>
    </row>
    <row r="241">
      <c r="A241" s="150" t="inlineStr">
        <is>
          <t>热处理设备</t>
        </is>
      </c>
      <c r="B241" s="150" t="inlineStr">
        <is>
          <t>photo</t>
        </is>
      </c>
      <c r="C241" s="150" t="inlineStr">
        <is>
          <t>铭牌照片</t>
        </is>
      </c>
      <c r="D241" s="150" t="inlineStr">
        <is>
          <t>附件备注</t>
        </is>
      </c>
      <c r="E241" s="150" t="inlineStr">
        <is>
          <t>图片</t>
        </is>
      </c>
      <c r="F241" s="150" t="inlineStr">
        <is>
          <t>-</t>
        </is>
      </c>
      <c r="G241" s="150" t="inlineStr">
        <is>
          <t>是</t>
        </is>
      </c>
      <c r="H241" s="150" t="inlineStr">
        <is>
          <t>整行启用时必填</t>
        </is>
      </c>
      <c r="I241" s="150" t="inlineStr">
        <is>
          <t>无</t>
        </is>
      </c>
      <c r="J241" s="150" t="n"/>
      <c r="K241" s="150" t="n"/>
      <c r="L241" s="150" t="str"/>
      <c r="M241" s="150" t="inlineStr">
        <is>
          <t>仅接受Excel“置于单元格”图片；不接受浮动图片</t>
        </is>
      </c>
      <c r="N241" s="150" t="inlineStr">
        <is>
          <t>为空时提示缺少铭牌照片</t>
        </is>
      </c>
      <c r="O241" s="150" t="inlineStr">
        <is>
          <t>GB/T 36561-2018</t>
        </is>
      </c>
      <c r="P241" s="150" t="inlineStr">
        <is>
          <t>表8等</t>
        </is>
      </c>
    </row>
    <row r="242">
      <c r="A242" s="150" t="inlineStr">
        <is>
          <t>热处理设备</t>
        </is>
      </c>
      <c r="B242" s="150" t="inlineStr">
        <is>
          <t>fill_note</t>
        </is>
      </c>
      <c r="C242" s="150" t="inlineStr">
        <is>
          <t>填表备注</t>
        </is>
      </c>
      <c r="D242" s="150" t="inlineStr">
        <is>
          <t>附件备注</t>
        </is>
      </c>
      <c r="E242" s="150" t="inlineStr">
        <is>
          <t>文本</t>
        </is>
      </c>
      <c r="F242" s="150" t="inlineStr">
        <is>
          <t>-</t>
        </is>
      </c>
      <c r="G242" s="150" t="inlineStr">
        <is>
          <t>是</t>
        </is>
      </c>
      <c r="H242" s="150" t="inlineStr">
        <is>
          <t>可选</t>
        </is>
      </c>
      <c r="I242" s="150" t="inlineStr">
        <is>
          <t>无</t>
        </is>
      </c>
      <c r="J242" s="150" t="n"/>
      <c r="K242" s="150" t="n"/>
      <c r="L242" s="150" t="str"/>
      <c r="M242" s="150" t="inlineStr">
        <is>
          <t>去首尾空格；全角转半角；保留原值，不自动改写</t>
        </is>
      </c>
      <c r="N242" s="150" t="inlineStr">
        <is>
          <t>异常时写入自动备注；不改写原值</t>
        </is>
      </c>
      <c r="O242" s="150" t="inlineStr">
        <is>
          <t>GB/T 36561-2018</t>
        </is>
      </c>
      <c r="P242" s="150" t="inlineStr">
        <is>
          <t>表8等</t>
        </is>
      </c>
    </row>
    <row r="243">
      <c r="A243" s="150" t="inlineStr">
        <is>
          <t>热处理设备</t>
        </is>
      </c>
      <c r="B243" s="150" t="inlineStr">
        <is>
          <t>auto_note</t>
        </is>
      </c>
      <c r="C243" s="150" t="inlineStr">
        <is>
          <t>自动备注</t>
        </is>
      </c>
      <c r="D243" s="150" t="inlineStr">
        <is>
          <t>附件备注</t>
        </is>
      </c>
      <c r="E243" s="150" t="inlineStr">
        <is>
          <t>公式</t>
        </is>
      </c>
      <c r="F243" s="150" t="inlineStr">
        <is>
          <t>-</t>
        </is>
      </c>
      <c r="G243" s="150" t="inlineStr">
        <is>
          <t>否</t>
        </is>
      </c>
      <c r="H243" s="150" t="inlineStr">
        <is>
          <t>公式生成</t>
        </is>
      </c>
      <c r="I243" s="150" t="inlineStr">
        <is>
          <t>无</t>
        </is>
      </c>
      <c r="J243" s="150" t="n"/>
      <c r="K243" s="150" t="n"/>
      <c r="L243" s="150" t="str"/>
      <c r="M243" s="150" t="inlineStr">
        <is>
          <t>锁定公式列，不清洗</t>
        </is>
      </c>
      <c r="N243" s="150" t="inlineStr">
        <is>
          <t>公式锁定并随表格扩展</t>
        </is>
      </c>
      <c r="O243" s="150" t="inlineStr">
        <is>
          <t>GB/T 36561-2018</t>
        </is>
      </c>
      <c r="P243" s="150" t="inlineStr">
        <is>
          <t>表8等</t>
        </is>
      </c>
    </row>
    <row r="244">
      <c r="A244" s="150" t="inlineStr">
        <is>
          <t>热泵和冷水机组</t>
        </is>
      </c>
      <c r="B244" s="150" t="inlineStr">
        <is>
          <t>seq</t>
        </is>
      </c>
      <c r="C244" s="150" t="inlineStr">
        <is>
          <t>序号</t>
        </is>
      </c>
      <c r="D244" s="150" t="inlineStr">
        <is>
          <t>基础信息</t>
        </is>
      </c>
      <c r="E244" s="150" t="inlineStr">
        <is>
          <t>整数</t>
        </is>
      </c>
      <c r="F244" s="150" t="inlineStr">
        <is>
          <t>-</t>
        </is>
      </c>
      <c r="G244" s="150" t="inlineStr">
        <is>
          <t>否</t>
        </is>
      </c>
      <c r="H244" s="150" t="inlineStr">
        <is>
          <t>公式生成</t>
        </is>
      </c>
      <c r="I244" s="150" t="inlineStr">
        <is>
          <t>无</t>
        </is>
      </c>
      <c r="J244" s="150" t="n"/>
      <c r="K244" s="150" t="n"/>
      <c r="L244" s="150" t="str"/>
      <c r="M244" s="150" t="inlineStr">
        <is>
          <t>锁定公式列，不清洗</t>
        </is>
      </c>
      <c r="N244" s="150" t="inlineStr">
        <is>
          <t>公式锁定并随表格扩展</t>
        </is>
      </c>
      <c r="O244" s="150" t="inlineStr">
        <is>
          <t>GB 19577-2024</t>
        </is>
      </c>
      <c r="P244" s="150" t="inlineStr">
        <is>
          <t>表1～表8</t>
        </is>
      </c>
    </row>
    <row r="245">
      <c r="A245" s="150" t="inlineStr">
        <is>
          <t>热泵和冷水机组</t>
        </is>
      </c>
      <c r="B245" s="150" t="inlineStr">
        <is>
          <t>device_name</t>
        </is>
      </c>
      <c r="C245" s="150" t="inlineStr">
        <is>
          <t>设备名称</t>
        </is>
      </c>
      <c r="D245" s="150" t="inlineStr">
        <is>
          <t>基础信息</t>
        </is>
      </c>
      <c r="E245" s="150" t="inlineStr">
        <is>
          <t>文本</t>
        </is>
      </c>
      <c r="F245" s="150" t="inlineStr">
        <is>
          <t>-</t>
        </is>
      </c>
      <c r="G245" s="150" t="inlineStr">
        <is>
          <t>是</t>
        </is>
      </c>
      <c r="H245" s="150" t="inlineStr">
        <is>
          <t>整行启用时必填</t>
        </is>
      </c>
      <c r="I245" s="150" t="inlineStr">
        <is>
          <t>无</t>
        </is>
      </c>
      <c r="J245" s="150" t="n"/>
      <c r="K245" s="150" t="n"/>
      <c r="L245" s="150" t="str"/>
      <c r="M245" s="150" t="inlineStr">
        <is>
          <t>去首尾空格；全角转半角；保留原值，不自动改写</t>
        </is>
      </c>
      <c r="N245" s="150" t="inlineStr">
        <is>
          <t>异常时写入自动备注；不改写原值</t>
        </is>
      </c>
      <c r="O245" s="150" t="inlineStr">
        <is>
          <t>GB 19577-2024</t>
        </is>
      </c>
      <c r="P245" s="150" t="inlineStr">
        <is>
          <t>表1～表8</t>
        </is>
      </c>
    </row>
    <row r="246">
      <c r="A246" s="150" t="inlineStr">
        <is>
          <t>热泵和冷水机组</t>
        </is>
      </c>
      <c r="B246" s="150" t="inlineStr">
        <is>
          <t>model</t>
        </is>
      </c>
      <c r="C246" s="150" t="inlineStr">
        <is>
          <t>型号</t>
        </is>
      </c>
      <c r="D246" s="150" t="inlineStr">
        <is>
          <t>基础信息</t>
        </is>
      </c>
      <c r="E246" s="150" t="inlineStr">
        <is>
          <t>文本</t>
        </is>
      </c>
      <c r="F246" s="150" t="inlineStr">
        <is>
          <t>-</t>
        </is>
      </c>
      <c r="G246" s="150" t="inlineStr">
        <is>
          <t>是</t>
        </is>
      </c>
      <c r="H246" s="150" t="inlineStr">
        <is>
          <t>整行启用时必填</t>
        </is>
      </c>
      <c r="I246" s="150" t="inlineStr">
        <is>
          <t>无</t>
        </is>
      </c>
      <c r="J246" s="150" t="n"/>
      <c r="K246" s="150" t="n"/>
      <c r="L246" s="150" t="str"/>
      <c r="M246" s="150" t="inlineStr">
        <is>
          <t>去首尾空格；统一字母大小写、连接符和全半角；保留原值</t>
        </is>
      </c>
      <c r="N246" s="150" t="inlineStr">
        <is>
          <t>异常时写入自动备注；不改写原值</t>
        </is>
      </c>
      <c r="O246" s="150" t="inlineStr">
        <is>
          <t>GB 19577-2024</t>
        </is>
      </c>
      <c r="P246" s="150" t="inlineStr">
        <is>
          <t>表1～表8</t>
        </is>
      </c>
    </row>
    <row r="247">
      <c r="A247" s="150" t="inlineStr">
        <is>
          <t>热泵和冷水机组</t>
        </is>
      </c>
      <c r="B247" s="150" t="inlineStr">
        <is>
          <t>quantity</t>
        </is>
      </c>
      <c r="C247" s="150" t="inlineStr">
        <is>
          <t>数量</t>
        </is>
      </c>
      <c r="D247" s="150" t="inlineStr">
        <is>
          <t>基础信息</t>
        </is>
      </c>
      <c r="E247" s="150" t="inlineStr">
        <is>
          <t>整数</t>
        </is>
      </c>
      <c r="F247" s="150" t="inlineStr">
        <is>
          <t>-</t>
        </is>
      </c>
      <c r="G247" s="150" t="inlineStr">
        <is>
          <t>是</t>
        </is>
      </c>
      <c r="H247" s="150" t="inlineStr">
        <is>
          <t>整行启用时必填</t>
        </is>
      </c>
      <c r="I247" s="150" t="inlineStr">
        <is>
          <t>正整数</t>
        </is>
      </c>
      <c r="J247" s="150" t="n">
        <v>1</v>
      </c>
      <c r="K247" s="150" t="n"/>
      <c r="L247" s="150" t="str"/>
      <c r="M247" s="150" t="inlineStr">
        <is>
          <t>去首尾空格；全角转半角；保留原值，不自动改写</t>
        </is>
      </c>
      <c r="N247" s="150" t="inlineStr">
        <is>
          <t>异常时写入自动备注；不改写原值</t>
        </is>
      </c>
      <c r="O247" s="150" t="inlineStr">
        <is>
          <t>GB 19577-2024</t>
        </is>
      </c>
      <c r="P247" s="150" t="inlineStr">
        <is>
          <t>表1～表8</t>
        </is>
      </c>
    </row>
    <row r="248">
      <c r="A248" s="150" t="inlineStr">
        <is>
          <t>热泵和冷水机组</t>
        </is>
      </c>
      <c r="B248" s="150" t="inlineStr">
        <is>
          <t>location</t>
        </is>
      </c>
      <c r="C248" s="150" t="inlineStr">
        <is>
          <t>安装位置</t>
        </is>
      </c>
      <c r="D248" s="150" t="inlineStr">
        <is>
          <t>基础信息</t>
        </is>
      </c>
      <c r="E248" s="150" t="inlineStr">
        <is>
          <t>文本</t>
        </is>
      </c>
      <c r="F248" s="150" t="inlineStr">
        <is>
          <t>-</t>
        </is>
      </c>
      <c r="G248" s="150" t="inlineStr">
        <is>
          <t>是</t>
        </is>
      </c>
      <c r="H248" s="150" t="inlineStr">
        <is>
          <t>可选</t>
        </is>
      </c>
      <c r="I248" s="150" t="inlineStr">
        <is>
          <t>无</t>
        </is>
      </c>
      <c r="J248" s="150" t="n"/>
      <c r="K248" s="150" t="n"/>
      <c r="L248" s="150" t="str"/>
      <c r="M248" s="150" t="inlineStr">
        <is>
          <t>去首尾空格；全角转半角；保留原值，不自动改写</t>
        </is>
      </c>
      <c r="N248" s="150" t="inlineStr">
        <is>
          <t>异常时写入自动备注；不改写原值</t>
        </is>
      </c>
      <c r="O248" s="150" t="inlineStr">
        <is>
          <t>GB 19577-2024</t>
        </is>
      </c>
      <c r="P248" s="150" t="inlineStr">
        <is>
          <t>表1～表8</t>
        </is>
      </c>
    </row>
    <row r="249">
      <c r="A249" s="150" t="inlineStr">
        <is>
          <t>热泵和冷水机组</t>
        </is>
      </c>
      <c r="B249" s="150" t="inlineStr">
        <is>
          <t>category</t>
        </is>
      </c>
      <c r="C249" s="150" t="inlineStr">
        <is>
          <t>设备类别</t>
        </is>
      </c>
      <c r="D249" s="150" t="inlineStr">
        <is>
          <t>设备参数</t>
        </is>
      </c>
      <c r="E249" s="150" t="inlineStr">
        <is>
          <t>文本</t>
        </is>
      </c>
      <c r="F249" s="150" t="inlineStr">
        <is>
          <t>-</t>
        </is>
      </c>
      <c r="G249" s="150" t="inlineStr">
        <is>
          <t>是</t>
        </is>
      </c>
      <c r="H249" s="150" t="inlineStr">
        <is>
          <t>整行启用时必填</t>
        </is>
      </c>
      <c r="I249" s="150" t="inlineStr">
        <is>
          <t>停止型下拉；粘贴后由自动备注复核</t>
        </is>
      </c>
      <c r="J249" s="150" t="n"/>
      <c r="K249" s="150" t="n"/>
      <c r="L249" s="150" t="inlineStr">
        <is>
          <t>EV_HP_CHILLER_CATEGORY</t>
        </is>
      </c>
      <c r="M249" s="150" t="inlineStr">
        <is>
          <t>去首尾空格；全角转半角；保留原值，不自动改写</t>
        </is>
      </c>
      <c r="N249" s="150" t="inlineStr">
        <is>
          <t>异常时写入自动备注；不改写原值</t>
        </is>
      </c>
      <c r="O249" s="150" t="inlineStr">
        <is>
          <t>GB 19577-2024</t>
        </is>
      </c>
      <c r="P249" s="150" t="inlineStr">
        <is>
          <t>表1～表8</t>
        </is>
      </c>
    </row>
    <row r="250">
      <c r="A250" s="150" t="inlineStr">
        <is>
          <t>热泵和冷水机组</t>
        </is>
      </c>
      <c r="B250" s="150" t="inlineStr">
        <is>
          <t>product_standard</t>
        </is>
      </c>
      <c r="C250" s="150" t="inlineStr">
        <is>
          <t>产品标准</t>
        </is>
      </c>
      <c r="D250" s="150" t="inlineStr">
        <is>
          <t>设备参数</t>
        </is>
      </c>
      <c r="E250" s="150" t="inlineStr">
        <is>
          <t>文本</t>
        </is>
      </c>
      <c r="F250" s="150" t="inlineStr">
        <is>
          <t>-</t>
        </is>
      </c>
      <c r="G250" s="150" t="inlineStr">
        <is>
          <t>是</t>
        </is>
      </c>
      <c r="H250" s="150" t="inlineStr">
        <is>
          <t>按设备类别关联选择</t>
        </is>
      </c>
      <c r="I250" s="150" t="inlineStr">
        <is>
          <t>关联停止型下拉；粘贴后由自动备注复核</t>
        </is>
      </c>
      <c r="J250" s="150" t="n"/>
      <c r="K250" s="150" t="n"/>
      <c r="L250" s="150" t="inlineStr">
        <is>
          <t>EV_HP_STD_ALL</t>
        </is>
      </c>
      <c r="M250" s="150" t="inlineStr">
        <is>
          <t>去首尾空格；全角转半角；保留原值，不自动改写</t>
        </is>
      </c>
      <c r="N250" s="150" t="inlineStr">
        <is>
          <t>异常时写入自动备注；不改写原值</t>
        </is>
      </c>
      <c r="O250" s="150" t="inlineStr">
        <is>
          <t>GB 19577-2024</t>
        </is>
      </c>
      <c r="P250" s="150" t="inlineStr">
        <is>
          <t>表1～表8</t>
        </is>
      </c>
    </row>
    <row r="251">
      <c r="A251" s="150" t="inlineStr">
        <is>
          <t>热泵和冷水机组</t>
        </is>
      </c>
      <c r="B251" s="150" t="inlineStr">
        <is>
          <t>unit_type</t>
        </is>
      </c>
      <c r="C251" s="150" t="inlineStr">
        <is>
          <t>机组型式</t>
        </is>
      </c>
      <c r="D251" s="150" t="inlineStr">
        <is>
          <t>设备参数</t>
        </is>
      </c>
      <c r="E251" s="150" t="inlineStr">
        <is>
          <t>文本</t>
        </is>
      </c>
      <c r="F251" s="150" t="inlineStr">
        <is>
          <t>-</t>
        </is>
      </c>
      <c r="G251" s="150" t="inlineStr">
        <is>
          <t>是</t>
        </is>
      </c>
      <c r="H251" s="150" t="inlineStr">
        <is>
          <t>按设备类别关联选择</t>
        </is>
      </c>
      <c r="I251" s="150" t="inlineStr">
        <is>
          <t>关联停止型下拉；粘贴后由自动备注复核</t>
        </is>
      </c>
      <c r="J251" s="150" t="n"/>
      <c r="K251" s="150" t="n"/>
      <c r="L251" s="150" t="inlineStr">
        <is>
          <t>EV_HP_UNIT_ALL</t>
        </is>
      </c>
      <c r="M251" s="150" t="inlineStr">
        <is>
          <t>去首尾空格；全角转半角；保留原值，不自动改写</t>
        </is>
      </c>
      <c r="N251" s="150" t="inlineStr">
        <is>
          <t>异常时写入自动备注；不改写原值</t>
        </is>
      </c>
      <c r="O251" s="150" t="inlineStr">
        <is>
          <t>GB 19577-2024</t>
        </is>
      </c>
      <c r="P251" s="150" t="inlineStr">
        <is>
          <t>表1～表8</t>
        </is>
      </c>
    </row>
    <row r="252">
      <c r="A252" s="150" t="inlineStr">
        <is>
          <t>热泵和冷水机组</t>
        </is>
      </c>
      <c r="B252" s="150" t="inlineStr">
        <is>
          <t>source</t>
        </is>
      </c>
      <c r="C252" s="150" t="inlineStr">
        <is>
          <t>冷却/热源方式</t>
        </is>
      </c>
      <c r="D252" s="150" t="inlineStr">
        <is>
          <t>设备参数</t>
        </is>
      </c>
      <c r="E252" s="150" t="inlineStr">
        <is>
          <t>文本</t>
        </is>
      </c>
      <c r="F252" s="150" t="inlineStr">
        <is>
          <t>-</t>
        </is>
      </c>
      <c r="G252" s="150" t="inlineStr">
        <is>
          <t>是</t>
        </is>
      </c>
      <c r="H252" s="150" t="inlineStr">
        <is>
          <t>按设备类别关联选择</t>
        </is>
      </c>
      <c r="I252" s="150" t="inlineStr">
        <is>
          <t>关联停止型下拉；粘贴后由自动备注复核</t>
        </is>
      </c>
      <c r="J252" s="150" t="n"/>
      <c r="K252" s="150" t="n"/>
      <c r="L252" s="150" t="inlineStr">
        <is>
          <t>EV_HP_SOURCE_ALL</t>
        </is>
      </c>
      <c r="M252" s="150" t="inlineStr">
        <is>
          <t>去首尾空格；全角转半角；保留原值，不自动改写</t>
        </is>
      </c>
      <c r="N252" s="150" t="inlineStr">
        <is>
          <t>异常时写入自动备注；不改写原值</t>
        </is>
      </c>
      <c r="O252" s="150" t="inlineStr">
        <is>
          <t>GB 19577-2024</t>
        </is>
      </c>
      <c r="P252" s="150" t="inlineStr">
        <is>
          <t>表1～表8</t>
        </is>
      </c>
    </row>
    <row r="253">
      <c r="A253" s="150" t="inlineStr">
        <is>
          <t>热泵和冷水机组</t>
        </is>
      </c>
      <c r="B253" s="150" t="inlineStr">
        <is>
          <t>evaluation_system</t>
        </is>
      </c>
      <c r="C253" s="150" t="inlineStr">
        <is>
          <t>能效评价指标体系</t>
        </is>
      </c>
      <c r="D253" s="150" t="inlineStr">
        <is>
          <t>设备参数</t>
        </is>
      </c>
      <c r="E253" s="150" t="inlineStr">
        <is>
          <t>文本</t>
        </is>
      </c>
      <c r="F253" s="150" t="inlineStr">
        <is>
          <t>-</t>
        </is>
      </c>
      <c r="G253" s="150" t="inlineStr">
        <is>
          <t>是</t>
        </is>
      </c>
      <c r="H253" s="150" t="inlineStr">
        <is>
          <t>整行启用时必填</t>
        </is>
      </c>
      <c r="I253" s="150" t="inlineStr">
        <is>
          <t>停止型下拉；粘贴后由自动备注复核</t>
        </is>
      </c>
      <c r="J253" s="150" t="n"/>
      <c r="K253" s="150" t="n"/>
      <c r="L253" s="150" t="inlineStr">
        <is>
          <t>EV_HP_EVAL_SYSTEM</t>
        </is>
      </c>
      <c r="M253" s="150" t="inlineStr">
        <is>
          <t>去首尾空格；全角转半角；保留原值，不自动改写</t>
        </is>
      </c>
      <c r="N253" s="150" t="inlineStr">
        <is>
          <t>异常时写入自动备注；不改写原值</t>
        </is>
      </c>
      <c r="O253" s="150" t="inlineStr">
        <is>
          <t>GB 19577-2024</t>
        </is>
      </c>
      <c r="P253" s="150" t="inlineStr">
        <is>
          <t>表1～表8</t>
        </is>
      </c>
    </row>
    <row r="254">
      <c r="A254" s="150" t="inlineStr">
        <is>
          <t>热泵和冷水机组</t>
        </is>
      </c>
      <c r="B254" s="150" t="inlineStr">
        <is>
          <t>cooling_capacity</t>
        </is>
      </c>
      <c r="C254" s="150" t="inlineStr">
        <is>
          <t>名义制冷量</t>
        </is>
      </c>
      <c r="D254" s="150" t="inlineStr">
        <is>
          <t>设备参数</t>
        </is>
      </c>
      <c r="E254" s="150" t="inlineStr">
        <is>
          <t>数值</t>
        </is>
      </c>
      <c r="F254" s="150" t="inlineStr">
        <is>
          <t>kW</t>
        </is>
      </c>
      <c r="G254" s="150" t="inlineStr">
        <is>
          <t>是</t>
        </is>
      </c>
      <c r="H254" s="150" t="inlineStr">
        <is>
          <t>按设备类别条件必填</t>
        </is>
      </c>
      <c r="I254" s="150" t="inlineStr">
        <is>
          <t>数值&gt;0</t>
        </is>
      </c>
      <c r="J254" s="150" t="n">
        <v>0</v>
      </c>
      <c r="K254" s="150" t="n"/>
      <c r="L254" s="150" t="str"/>
      <c r="M254" s="150" t="inlineStr">
        <is>
          <t>去首尾空格；全角转半角；保留原值，不自动改写</t>
        </is>
      </c>
      <c r="N254" s="150" t="inlineStr">
        <is>
          <t>异常时写入自动备注；不改写原值</t>
        </is>
      </c>
      <c r="O254" s="150" t="inlineStr">
        <is>
          <t>GB 19577-2024</t>
        </is>
      </c>
      <c r="P254" s="150" t="inlineStr">
        <is>
          <t>表1～表8</t>
        </is>
      </c>
    </row>
    <row r="255">
      <c r="A255" s="150" t="inlineStr">
        <is>
          <t>热泵和冷水机组</t>
        </is>
      </c>
      <c r="B255" s="150" t="inlineStr">
        <is>
          <t>heating_capacity</t>
        </is>
      </c>
      <c r="C255" s="150" t="inlineStr">
        <is>
          <t>名义制热量</t>
        </is>
      </c>
      <c r="D255" s="150" t="inlineStr">
        <is>
          <t>设备参数</t>
        </is>
      </c>
      <c r="E255" s="150" t="inlineStr">
        <is>
          <t>数值</t>
        </is>
      </c>
      <c r="F255" s="150" t="inlineStr">
        <is>
          <t>kW</t>
        </is>
      </c>
      <c r="G255" s="150" t="inlineStr">
        <is>
          <t>是</t>
        </is>
      </c>
      <c r="H255" s="150" t="inlineStr">
        <is>
          <t>按设备类别条件必填</t>
        </is>
      </c>
      <c r="I255" s="150" t="inlineStr">
        <is>
          <t>数值&gt;0</t>
        </is>
      </c>
      <c r="J255" s="150" t="n">
        <v>0</v>
      </c>
      <c r="K255" s="150" t="n"/>
      <c r="L255" s="150" t="str"/>
      <c r="M255" s="150" t="inlineStr">
        <is>
          <t>去首尾空格；全角转半角；保留原值，不自动改写</t>
        </is>
      </c>
      <c r="N255" s="150" t="inlineStr">
        <is>
          <t>异常时写入自动备注；不改写原值</t>
        </is>
      </c>
      <c r="O255" s="150" t="inlineStr">
        <is>
          <t>GB 19577-2024</t>
        </is>
      </c>
      <c r="P255" s="150" t="inlineStr">
        <is>
          <t>表1～表8</t>
        </is>
      </c>
    </row>
    <row r="256">
      <c r="A256" s="150" t="inlineStr">
        <is>
          <t>热泵和冷水机组</t>
        </is>
      </c>
      <c r="B256" s="150" t="inlineStr">
        <is>
          <t>rated_power</t>
        </is>
      </c>
      <c r="C256" s="150" t="inlineStr">
        <is>
          <t>额定功率</t>
        </is>
      </c>
      <c r="D256" s="150" t="inlineStr">
        <is>
          <t>设备参数</t>
        </is>
      </c>
      <c r="E256" s="150" t="inlineStr">
        <is>
          <t>数值</t>
        </is>
      </c>
      <c r="F256" s="150" t="inlineStr">
        <is>
          <t>kW</t>
        </is>
      </c>
      <c r="G256" s="150" t="inlineStr">
        <is>
          <t>是</t>
        </is>
      </c>
      <c r="H256" s="150" t="inlineStr">
        <is>
          <t>整行启用时必填</t>
        </is>
      </c>
      <c r="I256" s="150" t="inlineStr">
        <is>
          <t>数值&gt;0</t>
        </is>
      </c>
      <c r="J256" s="150" t="n">
        <v>0</v>
      </c>
      <c r="K256" s="150" t="n"/>
      <c r="L256" s="150" t="str"/>
      <c r="M256" s="150" t="inlineStr">
        <is>
          <t>去首尾空格；全角转半角；保留原值，不自动改写</t>
        </is>
      </c>
      <c r="N256" s="150" t="inlineStr">
        <is>
          <t>异常时写入自动备注；不改写原值</t>
        </is>
      </c>
      <c r="O256" s="150" t="inlineStr">
        <is>
          <t>GB 19577-2024</t>
        </is>
      </c>
      <c r="P256" s="150" t="inlineStr">
        <is>
          <t>表1～表8</t>
        </is>
      </c>
    </row>
    <row r="257">
      <c r="A257" s="150" t="inlineStr">
        <is>
          <t>热泵和冷水机组</t>
        </is>
      </c>
      <c r="B257" s="150" t="inlineStr">
        <is>
          <t>primary_metric_name</t>
        </is>
      </c>
      <c r="C257" s="150" t="inlineStr">
        <is>
          <t>分级指标名称（自动）</t>
        </is>
      </c>
      <c r="D257" s="150" t="inlineStr">
        <is>
          <t>设备参数</t>
        </is>
      </c>
      <c r="E257" s="150" t="inlineStr">
        <is>
          <t>公式</t>
        </is>
      </c>
      <c r="F257" s="150" t="inlineStr">
        <is>
          <t>-</t>
        </is>
      </c>
      <c r="G257" s="150" t="inlineStr">
        <is>
          <t>否</t>
        </is>
      </c>
      <c r="H257" s="150" t="inlineStr">
        <is>
          <t>公式生成</t>
        </is>
      </c>
      <c r="I257" s="150" t="inlineStr">
        <is>
          <t>无</t>
        </is>
      </c>
      <c r="J257" s="150" t="n"/>
      <c r="K257" s="150" t="n"/>
      <c r="L257" s="150" t="str"/>
      <c r="M257" s="150" t="inlineStr">
        <is>
          <t>锁定公式列，不清洗</t>
        </is>
      </c>
      <c r="N257" s="150" t="inlineStr">
        <is>
          <t>公式锁定并随表格扩展</t>
        </is>
      </c>
      <c r="O257" s="150" t="inlineStr">
        <is>
          <t>GB 19577-2024</t>
        </is>
      </c>
      <c r="P257" s="150" t="inlineStr">
        <is>
          <t>表1～表8</t>
        </is>
      </c>
    </row>
    <row r="258">
      <c r="A258" s="150" t="inlineStr">
        <is>
          <t>热泵和冷水机组</t>
        </is>
      </c>
      <c r="B258" s="150" t="inlineStr">
        <is>
          <t>primary_metric_value</t>
        </is>
      </c>
      <c r="C258" s="150" t="inlineStr">
        <is>
          <t>分级指标设计值</t>
        </is>
      </c>
      <c r="D258" s="150" t="inlineStr">
        <is>
          <t>设备参数</t>
        </is>
      </c>
      <c r="E258" s="150" t="inlineStr">
        <is>
          <t>数值</t>
        </is>
      </c>
      <c r="F258" s="150" t="inlineStr">
        <is>
          <t>无量纲</t>
        </is>
      </c>
      <c r="G258" s="150" t="inlineStr">
        <is>
          <t>是</t>
        </is>
      </c>
      <c r="H258" s="150" t="inlineStr">
        <is>
          <t>整行启用时必填</t>
        </is>
      </c>
      <c r="I258" s="150" t="inlineStr">
        <is>
          <t>数值&gt;0</t>
        </is>
      </c>
      <c r="J258" s="150" t="n">
        <v>0</v>
      </c>
      <c r="K258" s="150" t="n"/>
      <c r="L258" s="150" t="str"/>
      <c r="M258" s="150" t="inlineStr">
        <is>
          <t>去首尾空格；全角转半角；保留原值，不自动改写</t>
        </is>
      </c>
      <c r="N258" s="150" t="inlineStr">
        <is>
          <t>异常时写入自动备注；不改写原值</t>
        </is>
      </c>
      <c r="O258" s="150" t="inlineStr">
        <is>
          <t>GB 19577-2024</t>
        </is>
      </c>
      <c r="P258" s="150" t="inlineStr">
        <is>
          <t>表1～表8</t>
        </is>
      </c>
    </row>
    <row r="259">
      <c r="A259" s="150" t="inlineStr">
        <is>
          <t>热泵和冷水机组</t>
        </is>
      </c>
      <c r="B259" s="150" t="inlineStr">
        <is>
          <t>aux_metric1_name</t>
        </is>
      </c>
      <c r="C259" s="150" t="inlineStr">
        <is>
          <t>辅助约束指标1名称（自动）</t>
        </is>
      </c>
      <c r="D259" s="150" t="inlineStr">
        <is>
          <t>设备参数</t>
        </is>
      </c>
      <c r="E259" s="150" t="inlineStr">
        <is>
          <t>公式</t>
        </is>
      </c>
      <c r="F259" s="150" t="inlineStr">
        <is>
          <t>-</t>
        </is>
      </c>
      <c r="G259" s="150" t="inlineStr">
        <is>
          <t>否</t>
        </is>
      </c>
      <c r="H259" s="150" t="inlineStr">
        <is>
          <t>公式生成</t>
        </is>
      </c>
      <c r="I259" s="150" t="inlineStr">
        <is>
          <t>无</t>
        </is>
      </c>
      <c r="J259" s="150" t="n"/>
      <c r="K259" s="150" t="n"/>
      <c r="L259" s="150" t="str"/>
      <c r="M259" s="150" t="inlineStr">
        <is>
          <t>锁定公式列，不清洗</t>
        </is>
      </c>
      <c r="N259" s="150" t="inlineStr">
        <is>
          <t>公式锁定并随表格扩展</t>
        </is>
      </c>
      <c r="O259" s="150" t="inlineStr">
        <is>
          <t>GB 19577-2024</t>
        </is>
      </c>
      <c r="P259" s="150" t="inlineStr">
        <is>
          <t>表1～表8</t>
        </is>
      </c>
    </row>
    <row r="260">
      <c r="A260" s="150" t="inlineStr">
        <is>
          <t>热泵和冷水机组</t>
        </is>
      </c>
      <c r="B260" s="150" t="inlineStr">
        <is>
          <t>aux_metric1_value</t>
        </is>
      </c>
      <c r="C260" s="150" t="inlineStr">
        <is>
          <t>辅助约束指标1设计值</t>
        </is>
      </c>
      <c r="D260" s="150" t="inlineStr">
        <is>
          <t>设备参数</t>
        </is>
      </c>
      <c r="E260" s="150" t="inlineStr">
        <is>
          <t>数值</t>
        </is>
      </c>
      <c r="F260" s="150" t="inlineStr">
        <is>
          <t>无量纲</t>
        </is>
      </c>
      <c r="G260" s="150" t="inlineStr">
        <is>
          <t>是</t>
        </is>
      </c>
      <c r="H260" s="150" t="inlineStr">
        <is>
          <t>指标名生成时条件必填</t>
        </is>
      </c>
      <c r="I260" s="150" t="inlineStr">
        <is>
          <t>数值&gt;0</t>
        </is>
      </c>
      <c r="J260" s="150" t="n">
        <v>0</v>
      </c>
      <c r="K260" s="150" t="n"/>
      <c r="L260" s="150" t="str"/>
      <c r="M260" s="150" t="inlineStr">
        <is>
          <t>去首尾空格；全角转半角；保留原值，不自动改写</t>
        </is>
      </c>
      <c r="N260" s="150" t="inlineStr">
        <is>
          <t>异常时写入自动备注；不改写原值</t>
        </is>
      </c>
      <c r="O260" s="150" t="inlineStr">
        <is>
          <t>GB 19577-2024</t>
        </is>
      </c>
      <c r="P260" s="150" t="inlineStr">
        <is>
          <t>表1～表8</t>
        </is>
      </c>
    </row>
    <row r="261">
      <c r="A261" s="150" t="inlineStr">
        <is>
          <t>热泵和冷水机组</t>
        </is>
      </c>
      <c r="B261" s="150" t="inlineStr">
        <is>
          <t>aux_metric2_name</t>
        </is>
      </c>
      <c r="C261" s="150" t="inlineStr">
        <is>
          <t>辅助约束指标2名称（自动）</t>
        </is>
      </c>
      <c r="D261" s="150" t="inlineStr">
        <is>
          <t>设备参数</t>
        </is>
      </c>
      <c r="E261" s="150" t="inlineStr">
        <is>
          <t>公式</t>
        </is>
      </c>
      <c r="F261" s="150" t="inlineStr">
        <is>
          <t>-</t>
        </is>
      </c>
      <c r="G261" s="150" t="inlineStr">
        <is>
          <t>否</t>
        </is>
      </c>
      <c r="H261" s="150" t="inlineStr">
        <is>
          <t>公式生成</t>
        </is>
      </c>
      <c r="I261" s="150" t="inlineStr">
        <is>
          <t>无</t>
        </is>
      </c>
      <c r="J261" s="150" t="n"/>
      <c r="K261" s="150" t="n"/>
      <c r="L261" s="150" t="str"/>
      <c r="M261" s="150" t="inlineStr">
        <is>
          <t>锁定公式列，不清洗</t>
        </is>
      </c>
      <c r="N261" s="150" t="inlineStr">
        <is>
          <t>公式锁定并随表格扩展</t>
        </is>
      </c>
      <c r="O261" s="150" t="inlineStr">
        <is>
          <t>GB 19577-2024</t>
        </is>
      </c>
      <c r="P261" s="150" t="inlineStr">
        <is>
          <t>表1～表8</t>
        </is>
      </c>
    </row>
    <row r="262">
      <c r="A262" s="150" t="inlineStr">
        <is>
          <t>热泵和冷水机组</t>
        </is>
      </c>
      <c r="B262" s="150" t="inlineStr">
        <is>
          <t>aux_metric2_value</t>
        </is>
      </c>
      <c r="C262" s="150" t="inlineStr">
        <is>
          <t>辅助约束指标2设计值</t>
        </is>
      </c>
      <c r="D262" s="150" t="inlineStr">
        <is>
          <t>设备参数</t>
        </is>
      </c>
      <c r="E262" s="150" t="inlineStr">
        <is>
          <t>数值</t>
        </is>
      </c>
      <c r="F262" s="150" t="inlineStr">
        <is>
          <t>无量纲</t>
        </is>
      </c>
      <c r="G262" s="150" t="inlineStr">
        <is>
          <t>是</t>
        </is>
      </c>
      <c r="H262" s="150" t="inlineStr">
        <is>
          <t>指标名生成时条件必填</t>
        </is>
      </c>
      <c r="I262" s="150" t="inlineStr">
        <is>
          <t>数值&gt;0</t>
        </is>
      </c>
      <c r="J262" s="150" t="n">
        <v>0</v>
      </c>
      <c r="K262" s="150" t="n"/>
      <c r="L262" s="150" t="str"/>
      <c r="M262" s="150" t="inlineStr">
        <is>
          <t>去首尾空格；全角转半角；保留原值，不自动改写</t>
        </is>
      </c>
      <c r="N262" s="150" t="inlineStr">
        <is>
          <t>异常时写入自动备注；不改写原值</t>
        </is>
      </c>
      <c r="O262" s="150" t="inlineStr">
        <is>
          <t>GB 19577-2024</t>
        </is>
      </c>
      <c r="P262" s="150" t="inlineStr">
        <is>
          <t>表1～表8</t>
        </is>
      </c>
    </row>
    <row r="263">
      <c r="A263" s="150" t="inlineStr">
        <is>
          <t>热泵和冷水机组</t>
        </is>
      </c>
      <c r="B263" s="150" t="inlineStr">
        <is>
          <t>standard_table</t>
        </is>
      </c>
      <c r="C263" s="150" t="inlineStr">
        <is>
          <t>适用标准表（自动）</t>
        </is>
      </c>
      <c r="D263" s="150" t="inlineStr">
        <is>
          <t>计算辅助结果</t>
        </is>
      </c>
      <c r="E263" s="150" t="inlineStr">
        <is>
          <t>公式</t>
        </is>
      </c>
      <c r="F263" s="150" t="inlineStr">
        <is>
          <t>-</t>
        </is>
      </c>
      <c r="G263" s="150" t="inlineStr">
        <is>
          <t>否</t>
        </is>
      </c>
      <c r="H263" s="150" t="inlineStr">
        <is>
          <t>公式生成</t>
        </is>
      </c>
      <c r="I263" s="150" t="inlineStr">
        <is>
          <t>无</t>
        </is>
      </c>
      <c r="J263" s="150" t="n"/>
      <c r="K263" s="150" t="n"/>
      <c r="L263" s="150" t="str"/>
      <c r="M263" s="150" t="inlineStr">
        <is>
          <t>锁定公式列，不清洗</t>
        </is>
      </c>
      <c r="N263" s="150" t="inlineStr">
        <is>
          <t>公式锁定并随表格扩展</t>
        </is>
      </c>
      <c r="O263" s="150" t="inlineStr">
        <is>
          <t>GB 19577-2024</t>
        </is>
      </c>
      <c r="P263" s="150" t="inlineStr">
        <is>
          <t>表1～表8</t>
        </is>
      </c>
    </row>
    <row r="264">
      <c r="A264" s="150" t="inlineStr">
        <is>
          <t>热泵和冷水机组</t>
        </is>
      </c>
      <c r="B264" s="150" t="inlineStr">
        <is>
          <t>capacity_band</t>
        </is>
      </c>
      <c r="C264" s="150" t="inlineStr">
        <is>
          <t>容量分档（自动）</t>
        </is>
      </c>
      <c r="D264" s="150" t="inlineStr">
        <is>
          <t>计算辅助结果</t>
        </is>
      </c>
      <c r="E264" s="150" t="inlineStr">
        <is>
          <t>公式</t>
        </is>
      </c>
      <c r="F264" s="150" t="inlineStr">
        <is>
          <t>-</t>
        </is>
      </c>
      <c r="G264" s="150" t="inlineStr">
        <is>
          <t>否</t>
        </is>
      </c>
      <c r="H264" s="150" t="inlineStr">
        <is>
          <t>公式生成</t>
        </is>
      </c>
      <c r="I264" s="150" t="inlineStr">
        <is>
          <t>无</t>
        </is>
      </c>
      <c r="J264" s="150" t="n"/>
      <c r="K264" s="150" t="n"/>
      <c r="L264" s="150" t="str"/>
      <c r="M264" s="150" t="inlineStr">
        <is>
          <t>锁定公式列，不清洗</t>
        </is>
      </c>
      <c r="N264" s="150" t="inlineStr">
        <is>
          <t>公式锁定并随表格扩展</t>
        </is>
      </c>
      <c r="O264" s="150" t="inlineStr">
        <is>
          <t>GB 19577-2024</t>
        </is>
      </c>
      <c r="P264" s="150" t="inlineStr">
        <is>
          <t>表1～表8</t>
        </is>
      </c>
    </row>
    <row r="265">
      <c r="A265" s="150" t="inlineStr">
        <is>
          <t>热泵和冷水机组</t>
        </is>
      </c>
      <c r="B265" s="150" t="inlineStr">
        <is>
          <t>primary_l1</t>
        </is>
      </c>
      <c r="C265" s="150" t="inlineStr">
        <is>
          <t>1级标准值</t>
        </is>
      </c>
      <c r="D265" s="150" t="inlineStr">
        <is>
          <t>标准查询结果</t>
        </is>
      </c>
      <c r="E265" s="150" t="inlineStr">
        <is>
          <t>数值</t>
        </is>
      </c>
      <c r="F265" s="150" t="inlineStr">
        <is>
          <t>无量纲</t>
        </is>
      </c>
      <c r="G265" s="150" t="inlineStr">
        <is>
          <t>否</t>
        </is>
      </c>
      <c r="H265" s="150" t="inlineStr">
        <is>
          <t>本阶段锁定预留</t>
        </is>
      </c>
      <c r="I265" s="150" t="inlineStr">
        <is>
          <t>无</t>
        </is>
      </c>
      <c r="J265" s="150" t="n"/>
      <c r="K265" s="150" t="n"/>
      <c r="L265" s="150" t="str"/>
      <c r="M265" s="150" t="inlineStr">
        <is>
          <t>锁定预留，不清洗</t>
        </is>
      </c>
      <c r="N265" s="150" t="inlineStr">
        <is>
          <t>本阶段不查询、不判定</t>
        </is>
      </c>
      <c r="O265" s="150" t="inlineStr">
        <is>
          <t>GB 19577-2024</t>
        </is>
      </c>
      <c r="P265" s="150" t="inlineStr">
        <is>
          <t>表1～表8</t>
        </is>
      </c>
    </row>
    <row r="266">
      <c r="A266" s="150" t="inlineStr">
        <is>
          <t>热泵和冷水机组</t>
        </is>
      </c>
      <c r="B266" s="150" t="inlineStr">
        <is>
          <t>primary_l2</t>
        </is>
      </c>
      <c r="C266" s="150" t="inlineStr">
        <is>
          <t>2级标准值</t>
        </is>
      </c>
      <c r="D266" s="150" t="inlineStr">
        <is>
          <t>标准查询结果</t>
        </is>
      </c>
      <c r="E266" s="150" t="inlineStr">
        <is>
          <t>数值</t>
        </is>
      </c>
      <c r="F266" s="150" t="inlineStr">
        <is>
          <t>无量纲</t>
        </is>
      </c>
      <c r="G266" s="150" t="inlineStr">
        <is>
          <t>否</t>
        </is>
      </c>
      <c r="H266" s="150" t="inlineStr">
        <is>
          <t>本阶段锁定预留</t>
        </is>
      </c>
      <c r="I266" s="150" t="inlineStr">
        <is>
          <t>无</t>
        </is>
      </c>
      <c r="J266" s="150" t="n"/>
      <c r="K266" s="150" t="n"/>
      <c r="L266" s="150" t="str"/>
      <c r="M266" s="150" t="inlineStr">
        <is>
          <t>锁定预留，不清洗</t>
        </is>
      </c>
      <c r="N266" s="150" t="inlineStr">
        <is>
          <t>本阶段不查询、不判定</t>
        </is>
      </c>
      <c r="O266" s="150" t="inlineStr">
        <is>
          <t>GB 19577-2024</t>
        </is>
      </c>
      <c r="P266" s="150" t="inlineStr">
        <is>
          <t>表1～表8</t>
        </is>
      </c>
    </row>
    <row r="267">
      <c r="A267" s="150" t="inlineStr">
        <is>
          <t>热泵和冷水机组</t>
        </is>
      </c>
      <c r="B267" s="150" t="inlineStr">
        <is>
          <t>primary_l3</t>
        </is>
      </c>
      <c r="C267" s="150" t="inlineStr">
        <is>
          <t>3级标准值</t>
        </is>
      </c>
      <c r="D267" s="150" t="inlineStr">
        <is>
          <t>标准查询结果</t>
        </is>
      </c>
      <c r="E267" s="150" t="inlineStr">
        <is>
          <t>数值</t>
        </is>
      </c>
      <c r="F267" s="150" t="inlineStr">
        <is>
          <t>无量纲</t>
        </is>
      </c>
      <c r="G267" s="150" t="inlineStr">
        <is>
          <t>否</t>
        </is>
      </c>
      <c r="H267" s="150" t="inlineStr">
        <is>
          <t>本阶段锁定预留</t>
        </is>
      </c>
      <c r="I267" s="150" t="inlineStr">
        <is>
          <t>无</t>
        </is>
      </c>
      <c r="J267" s="150" t="n"/>
      <c r="K267" s="150" t="n"/>
      <c r="L267" s="150" t="str"/>
      <c r="M267" s="150" t="inlineStr">
        <is>
          <t>锁定预留，不清洗</t>
        </is>
      </c>
      <c r="N267" s="150" t="inlineStr">
        <is>
          <t>本阶段不查询、不判定</t>
        </is>
      </c>
      <c r="O267" s="150" t="inlineStr">
        <is>
          <t>GB 19577-2024</t>
        </is>
      </c>
      <c r="P267" s="150" t="inlineStr">
        <is>
          <t>表1～表8</t>
        </is>
      </c>
    </row>
    <row r="268">
      <c r="A268" s="150" t="inlineStr">
        <is>
          <t>热泵和冷水机组</t>
        </is>
      </c>
      <c r="B268" s="150" t="inlineStr">
        <is>
          <t>conclusion</t>
        </is>
      </c>
      <c r="C268" s="150" t="inlineStr">
        <is>
          <t>能效等级</t>
        </is>
      </c>
      <c r="D268" s="150" t="inlineStr">
        <is>
          <t>结论</t>
        </is>
      </c>
      <c r="E268" s="150" t="inlineStr">
        <is>
          <t>文本</t>
        </is>
      </c>
      <c r="F268" s="150" t="inlineStr">
        <is>
          <t>-</t>
        </is>
      </c>
      <c r="G268" s="150" t="inlineStr">
        <is>
          <t>否</t>
        </is>
      </c>
      <c r="H268" s="150" t="inlineStr">
        <is>
          <t>本阶段锁定预留</t>
        </is>
      </c>
      <c r="I268" s="150" t="inlineStr">
        <is>
          <t>无</t>
        </is>
      </c>
      <c r="J268" s="150" t="n"/>
      <c r="K268" s="150" t="n"/>
      <c r="L268" s="150" t="str"/>
      <c r="M268" s="150" t="inlineStr">
        <is>
          <t>锁定预留，不清洗</t>
        </is>
      </c>
      <c r="N268" s="150" t="inlineStr">
        <is>
          <t>本阶段不查询、不判定</t>
        </is>
      </c>
      <c r="O268" s="150" t="inlineStr">
        <is>
          <t>GB 19577-2024</t>
        </is>
      </c>
      <c r="P268" s="150" t="inlineStr">
        <is>
          <t>表1～表8</t>
        </is>
      </c>
    </row>
    <row r="269">
      <c r="A269" s="150" t="inlineStr">
        <is>
          <t>热泵和冷水机组</t>
        </is>
      </c>
      <c r="B269" s="150" t="inlineStr">
        <is>
          <t>photo</t>
        </is>
      </c>
      <c r="C269" s="150" t="inlineStr">
        <is>
          <t>铭牌照片</t>
        </is>
      </c>
      <c r="D269" s="150" t="inlineStr">
        <is>
          <t>附件备注</t>
        </is>
      </c>
      <c r="E269" s="150" t="inlineStr">
        <is>
          <t>图片</t>
        </is>
      </c>
      <c r="F269" s="150" t="inlineStr">
        <is>
          <t>-</t>
        </is>
      </c>
      <c r="G269" s="150" t="inlineStr">
        <is>
          <t>是</t>
        </is>
      </c>
      <c r="H269" s="150" t="inlineStr">
        <is>
          <t>整行启用时必填</t>
        </is>
      </c>
      <c r="I269" s="150" t="inlineStr">
        <is>
          <t>无</t>
        </is>
      </c>
      <c r="J269" s="150" t="n"/>
      <c r="K269" s="150" t="n"/>
      <c r="L269" s="150" t="str"/>
      <c r="M269" s="150" t="inlineStr">
        <is>
          <t>仅接受Excel“置于单元格”图片；不接受浮动图片</t>
        </is>
      </c>
      <c r="N269" s="150" t="inlineStr">
        <is>
          <t>为空时提示缺少铭牌照片</t>
        </is>
      </c>
      <c r="O269" s="150" t="inlineStr">
        <is>
          <t>GB 19577-2024</t>
        </is>
      </c>
      <c r="P269" s="150" t="inlineStr">
        <is>
          <t>表1～表8</t>
        </is>
      </c>
    </row>
    <row r="270">
      <c r="A270" s="150" t="inlineStr">
        <is>
          <t>热泵和冷水机组</t>
        </is>
      </c>
      <c r="B270" s="150" t="inlineStr">
        <is>
          <t>fill_note</t>
        </is>
      </c>
      <c r="C270" s="150" t="inlineStr">
        <is>
          <t>填表备注</t>
        </is>
      </c>
      <c r="D270" s="150" t="inlineStr">
        <is>
          <t>附件备注</t>
        </is>
      </c>
      <c r="E270" s="150" t="inlineStr">
        <is>
          <t>文本</t>
        </is>
      </c>
      <c r="F270" s="150" t="inlineStr">
        <is>
          <t>-</t>
        </is>
      </c>
      <c r="G270" s="150" t="inlineStr">
        <is>
          <t>是</t>
        </is>
      </c>
      <c r="H270" s="150" t="inlineStr">
        <is>
          <t>可选</t>
        </is>
      </c>
      <c r="I270" s="150" t="inlineStr">
        <is>
          <t>无</t>
        </is>
      </c>
      <c r="J270" s="150" t="n"/>
      <c r="K270" s="150" t="n"/>
      <c r="L270" s="150" t="str"/>
      <c r="M270" s="150" t="inlineStr">
        <is>
          <t>去首尾空格；全角转半角；保留原值，不自动改写</t>
        </is>
      </c>
      <c r="N270" s="150" t="inlineStr">
        <is>
          <t>异常时写入自动备注；不改写原值</t>
        </is>
      </c>
      <c r="O270" s="150" t="inlineStr">
        <is>
          <t>GB 19577-2024</t>
        </is>
      </c>
      <c r="P270" s="150" t="inlineStr">
        <is>
          <t>表1～表8</t>
        </is>
      </c>
    </row>
    <row r="271">
      <c r="A271" s="150" t="inlineStr">
        <is>
          <t>热泵和冷水机组</t>
        </is>
      </c>
      <c r="B271" s="150" t="inlineStr">
        <is>
          <t>auto_note</t>
        </is>
      </c>
      <c r="C271" s="150" t="inlineStr">
        <is>
          <t>自动备注</t>
        </is>
      </c>
      <c r="D271" s="150" t="inlineStr">
        <is>
          <t>附件备注</t>
        </is>
      </c>
      <c r="E271" s="150" t="inlineStr">
        <is>
          <t>公式</t>
        </is>
      </c>
      <c r="F271" s="150" t="inlineStr">
        <is>
          <t>-</t>
        </is>
      </c>
      <c r="G271" s="150" t="inlineStr">
        <is>
          <t>否</t>
        </is>
      </c>
      <c r="H271" s="150" t="inlineStr">
        <is>
          <t>公式生成</t>
        </is>
      </c>
      <c r="I271" s="150" t="inlineStr">
        <is>
          <t>无</t>
        </is>
      </c>
      <c r="J271" s="150" t="n"/>
      <c r="K271" s="150" t="n"/>
      <c r="L271" s="150" t="str"/>
      <c r="M271" s="150" t="inlineStr">
        <is>
          <t>锁定公式列，不清洗</t>
        </is>
      </c>
      <c r="N271" s="150" t="inlineStr">
        <is>
          <t>公式锁定并随表格扩展</t>
        </is>
      </c>
      <c r="O271" s="150" t="inlineStr">
        <is>
          <t>GB 19577-2024</t>
        </is>
      </c>
      <c r="P271" s="150" t="inlineStr">
        <is>
          <t>表1～表8</t>
        </is>
      </c>
    </row>
    <row r="272">
      <c r="A272" s="150" t="inlineStr">
        <is>
          <t>热泵热水机</t>
        </is>
      </c>
      <c r="B272" s="150" t="inlineStr">
        <is>
          <t>seq</t>
        </is>
      </c>
      <c r="C272" s="150" t="inlineStr">
        <is>
          <t>序号</t>
        </is>
      </c>
      <c r="D272" s="150" t="inlineStr">
        <is>
          <t>基础信息</t>
        </is>
      </c>
      <c r="E272" s="150" t="inlineStr">
        <is>
          <t>整数</t>
        </is>
      </c>
      <c r="F272" s="150" t="inlineStr">
        <is>
          <t>-</t>
        </is>
      </c>
      <c r="G272" s="150" t="inlineStr">
        <is>
          <t>否</t>
        </is>
      </c>
      <c r="H272" s="150" t="inlineStr">
        <is>
          <t>公式生成</t>
        </is>
      </c>
      <c r="I272" s="150" t="inlineStr">
        <is>
          <t>无</t>
        </is>
      </c>
      <c r="J272" s="150" t="n"/>
      <c r="K272" s="150" t="n"/>
      <c r="L272" s="150" t="str"/>
      <c r="M272" s="150" t="inlineStr">
        <is>
          <t>锁定公式列，不清洗</t>
        </is>
      </c>
      <c r="N272" s="150" t="inlineStr">
        <is>
          <t>公式锁定并随表格扩展</t>
        </is>
      </c>
      <c r="O272" s="150" t="inlineStr">
        <is>
          <t>GB 29541-2013</t>
        </is>
      </c>
      <c r="P272" s="150" t="inlineStr">
        <is>
          <t>表1</t>
        </is>
      </c>
    </row>
    <row r="273">
      <c r="A273" s="150" t="inlineStr">
        <is>
          <t>热泵热水机</t>
        </is>
      </c>
      <c r="B273" s="150" t="inlineStr">
        <is>
          <t>device_name</t>
        </is>
      </c>
      <c r="C273" s="150" t="inlineStr">
        <is>
          <t>设备名称</t>
        </is>
      </c>
      <c r="D273" s="150" t="inlineStr">
        <is>
          <t>基础信息</t>
        </is>
      </c>
      <c r="E273" s="150" t="inlineStr">
        <is>
          <t>文本</t>
        </is>
      </c>
      <c r="F273" s="150" t="inlineStr">
        <is>
          <t>-</t>
        </is>
      </c>
      <c r="G273" s="150" t="inlineStr">
        <is>
          <t>是</t>
        </is>
      </c>
      <c r="H273" s="150" t="inlineStr">
        <is>
          <t>整行启用时必填</t>
        </is>
      </c>
      <c r="I273" s="150" t="inlineStr">
        <is>
          <t>无</t>
        </is>
      </c>
      <c r="J273" s="150" t="n"/>
      <c r="K273" s="150" t="n"/>
      <c r="L273" s="150" t="str"/>
      <c r="M273" s="150" t="inlineStr">
        <is>
          <t>去首尾空格；全角转半角；保留原值，不自动改写</t>
        </is>
      </c>
      <c r="N273" s="150" t="inlineStr">
        <is>
          <t>异常时写入自动备注；不改写原值</t>
        </is>
      </c>
      <c r="O273" s="150" t="inlineStr">
        <is>
          <t>GB 29541-2013</t>
        </is>
      </c>
      <c r="P273" s="150" t="inlineStr">
        <is>
          <t>表1</t>
        </is>
      </c>
    </row>
    <row r="274">
      <c r="A274" s="150" t="inlineStr">
        <is>
          <t>热泵热水机</t>
        </is>
      </c>
      <c r="B274" s="150" t="inlineStr">
        <is>
          <t>model</t>
        </is>
      </c>
      <c r="C274" s="150" t="inlineStr">
        <is>
          <t>型号</t>
        </is>
      </c>
      <c r="D274" s="150" t="inlineStr">
        <is>
          <t>基础信息</t>
        </is>
      </c>
      <c r="E274" s="150" t="inlineStr">
        <is>
          <t>文本</t>
        </is>
      </c>
      <c r="F274" s="150" t="inlineStr">
        <is>
          <t>-</t>
        </is>
      </c>
      <c r="G274" s="150" t="inlineStr">
        <is>
          <t>是</t>
        </is>
      </c>
      <c r="H274" s="150" t="inlineStr">
        <is>
          <t>整行启用时必填</t>
        </is>
      </c>
      <c r="I274" s="150" t="inlineStr">
        <is>
          <t>无</t>
        </is>
      </c>
      <c r="J274" s="150" t="n"/>
      <c r="K274" s="150" t="n"/>
      <c r="L274" s="150" t="str"/>
      <c r="M274" s="150" t="inlineStr">
        <is>
          <t>去首尾空格；统一字母大小写、连接符和全半角；保留原值</t>
        </is>
      </c>
      <c r="N274" s="150" t="inlineStr">
        <is>
          <t>异常时写入自动备注；不改写原值</t>
        </is>
      </c>
      <c r="O274" s="150" t="inlineStr">
        <is>
          <t>GB 29541-2013</t>
        </is>
      </c>
      <c r="P274" s="150" t="inlineStr">
        <is>
          <t>表1</t>
        </is>
      </c>
    </row>
    <row r="275">
      <c r="A275" s="150" t="inlineStr">
        <is>
          <t>热泵热水机</t>
        </is>
      </c>
      <c r="B275" s="150" t="inlineStr">
        <is>
          <t>quantity</t>
        </is>
      </c>
      <c r="C275" s="150" t="inlineStr">
        <is>
          <t>数量</t>
        </is>
      </c>
      <c r="D275" s="150" t="inlineStr">
        <is>
          <t>基础信息</t>
        </is>
      </c>
      <c r="E275" s="150" t="inlineStr">
        <is>
          <t>整数</t>
        </is>
      </c>
      <c r="F275" s="150" t="inlineStr">
        <is>
          <t>-</t>
        </is>
      </c>
      <c r="G275" s="150" t="inlineStr">
        <is>
          <t>是</t>
        </is>
      </c>
      <c r="H275" s="150" t="inlineStr">
        <is>
          <t>整行启用时必填</t>
        </is>
      </c>
      <c r="I275" s="150" t="inlineStr">
        <is>
          <t>正整数</t>
        </is>
      </c>
      <c r="J275" s="150" t="n">
        <v>1</v>
      </c>
      <c r="K275" s="150" t="n"/>
      <c r="L275" s="150" t="str"/>
      <c r="M275" s="150" t="inlineStr">
        <is>
          <t>去首尾空格；全角转半角；保留原值，不自动改写</t>
        </is>
      </c>
      <c r="N275" s="150" t="inlineStr">
        <is>
          <t>异常时写入自动备注；不改写原值</t>
        </is>
      </c>
      <c r="O275" s="150" t="inlineStr">
        <is>
          <t>GB 29541-2013</t>
        </is>
      </c>
      <c r="P275" s="150" t="inlineStr">
        <is>
          <t>表1</t>
        </is>
      </c>
    </row>
    <row r="276">
      <c r="A276" s="150" t="inlineStr">
        <is>
          <t>热泵热水机</t>
        </is>
      </c>
      <c r="B276" s="150" t="inlineStr">
        <is>
          <t>location</t>
        </is>
      </c>
      <c r="C276" s="150" t="inlineStr">
        <is>
          <t>安装位置</t>
        </is>
      </c>
      <c r="D276" s="150" t="inlineStr">
        <is>
          <t>基础信息</t>
        </is>
      </c>
      <c r="E276" s="150" t="inlineStr">
        <is>
          <t>文本</t>
        </is>
      </c>
      <c r="F276" s="150" t="inlineStr">
        <is>
          <t>-</t>
        </is>
      </c>
      <c r="G276" s="150" t="inlineStr">
        <is>
          <t>是</t>
        </is>
      </c>
      <c r="H276" s="150" t="inlineStr">
        <is>
          <t>可选</t>
        </is>
      </c>
      <c r="I276" s="150" t="inlineStr">
        <is>
          <t>无</t>
        </is>
      </c>
      <c r="J276" s="150" t="n"/>
      <c r="K276" s="150" t="n"/>
      <c r="L276" s="150" t="str"/>
      <c r="M276" s="150" t="inlineStr">
        <is>
          <t>去首尾空格；全角转半角；保留原值，不自动改写</t>
        </is>
      </c>
      <c r="N276" s="150" t="inlineStr">
        <is>
          <t>异常时写入自动备注；不改写原值</t>
        </is>
      </c>
      <c r="O276" s="150" t="inlineStr">
        <is>
          <t>GB 29541-2013</t>
        </is>
      </c>
      <c r="P276" s="150" t="inlineStr">
        <is>
          <t>表1</t>
        </is>
      </c>
    </row>
    <row r="277">
      <c r="A277" s="150" t="inlineStr">
        <is>
          <t>热泵热水机</t>
        </is>
      </c>
      <c r="B277" s="150" t="inlineStr">
        <is>
          <t>category</t>
        </is>
      </c>
      <c r="C277" s="150" t="inlineStr">
        <is>
          <t>设备类别</t>
        </is>
      </c>
      <c r="D277" s="150" t="inlineStr">
        <is>
          <t>设备参数</t>
        </is>
      </c>
      <c r="E277" s="150" t="inlineStr">
        <is>
          <t>文本</t>
        </is>
      </c>
      <c r="F277" s="150" t="inlineStr">
        <is>
          <t>-</t>
        </is>
      </c>
      <c r="G277" s="150" t="inlineStr">
        <is>
          <t>是</t>
        </is>
      </c>
      <c r="H277" s="150" t="inlineStr">
        <is>
          <t>整行启用时必填</t>
        </is>
      </c>
      <c r="I277" s="150" t="inlineStr">
        <is>
          <t>停止型下拉；粘贴后由自动备注复核</t>
        </is>
      </c>
      <c r="J277" s="150" t="n"/>
      <c r="K277" s="150" t="n"/>
      <c r="L277" s="150" t="inlineStr">
        <is>
          <t>EV_HPWH_CATEGORY</t>
        </is>
      </c>
      <c r="M277" s="150" t="inlineStr">
        <is>
          <t>去首尾空格；全角转半角；保留原值，不自动改写</t>
        </is>
      </c>
      <c r="N277" s="150" t="inlineStr">
        <is>
          <t>异常时写入自动备注；不改写原值</t>
        </is>
      </c>
      <c r="O277" s="150" t="inlineStr">
        <is>
          <t>GB 29541-2013</t>
        </is>
      </c>
      <c r="P277" s="150" t="inlineStr">
        <is>
          <t>表1</t>
        </is>
      </c>
    </row>
    <row r="278">
      <c r="A278" s="150" t="inlineStr">
        <is>
          <t>热泵热水机</t>
        </is>
      </c>
      <c r="B278" s="150" t="inlineStr">
        <is>
          <t>heating_method</t>
        </is>
      </c>
      <c r="C278" s="150" t="inlineStr">
        <is>
          <t>加热方式</t>
        </is>
      </c>
      <c r="D278" s="150" t="inlineStr">
        <is>
          <t>设备参数</t>
        </is>
      </c>
      <c r="E278" s="150" t="inlineStr">
        <is>
          <t>文本</t>
        </is>
      </c>
      <c r="F278" s="150" t="inlineStr">
        <is>
          <t>-</t>
        </is>
      </c>
      <c r="G278" s="150" t="inlineStr">
        <is>
          <t>是</t>
        </is>
      </c>
      <c r="H278" s="150" t="inlineStr">
        <is>
          <t>整行启用时必填</t>
        </is>
      </c>
      <c r="I278" s="150" t="inlineStr">
        <is>
          <t>停止型下拉；粘贴后由自动备注复核</t>
        </is>
      </c>
      <c r="J278" s="150" t="n"/>
      <c r="K278" s="150" t="n"/>
      <c r="L278" s="150" t="inlineStr">
        <is>
          <t>EV_HEATING_METHOD</t>
        </is>
      </c>
      <c r="M278" s="150" t="inlineStr">
        <is>
          <t>去首尾空格；全角转半角；保留原值，不自动改写</t>
        </is>
      </c>
      <c r="N278" s="150" t="inlineStr">
        <is>
          <t>异常时写入自动备注；不改写原值</t>
        </is>
      </c>
      <c r="O278" s="150" t="inlineStr">
        <is>
          <t>GB 29541-2013</t>
        </is>
      </c>
      <c r="P278" s="150" t="inlineStr">
        <is>
          <t>表1</t>
        </is>
      </c>
    </row>
    <row r="279">
      <c r="A279" s="150" t="inlineStr">
        <is>
          <t>热泵热水机</t>
        </is>
      </c>
      <c r="B279" s="150" t="inlineStr">
        <is>
          <t>with_pump</t>
        </is>
      </c>
      <c r="C279" s="150" t="inlineStr">
        <is>
          <t>是否提供水泵</t>
        </is>
      </c>
      <c r="D279" s="150" t="inlineStr">
        <is>
          <t>设备参数</t>
        </is>
      </c>
      <c r="E279" s="150" t="inlineStr">
        <is>
          <t>文本</t>
        </is>
      </c>
      <c r="F279" s="150" t="inlineStr">
        <is>
          <t>-</t>
        </is>
      </c>
      <c r="G279" s="150" t="inlineStr">
        <is>
          <t>是</t>
        </is>
      </c>
      <c r="H279" s="150" t="inlineStr">
        <is>
          <t>整行启用时必填</t>
        </is>
      </c>
      <c r="I279" s="150" t="inlineStr">
        <is>
          <t>停止型下拉；粘贴后由自动备注复核</t>
        </is>
      </c>
      <c r="J279" s="150" t="n"/>
      <c r="K279" s="150" t="n"/>
      <c r="L279" s="150" t="inlineStr">
        <is>
          <t>EV_YES_NO</t>
        </is>
      </c>
      <c r="M279" s="150" t="inlineStr">
        <is>
          <t>去首尾空格；全角转半角；保留原值，不自动改写</t>
        </is>
      </c>
      <c r="N279" s="150" t="inlineStr">
        <is>
          <t>异常时写入自动备注；不改写原值</t>
        </is>
      </c>
      <c r="O279" s="150" t="inlineStr">
        <is>
          <t>GB 29541-2013</t>
        </is>
      </c>
      <c r="P279" s="150" t="inlineStr">
        <is>
          <t>表1</t>
        </is>
      </c>
    </row>
    <row r="280">
      <c r="A280" s="150" t="inlineStr">
        <is>
          <t>热泵热水机</t>
        </is>
      </c>
      <c r="B280" s="150" t="inlineStr">
        <is>
          <t>heating_capacity</t>
        </is>
      </c>
      <c r="C280" s="150" t="inlineStr">
        <is>
          <t>制热量</t>
        </is>
      </c>
      <c r="D280" s="150" t="inlineStr">
        <is>
          <t>设备参数</t>
        </is>
      </c>
      <c r="E280" s="150" t="inlineStr">
        <is>
          <t>数值</t>
        </is>
      </c>
      <c r="F280" s="150" t="inlineStr">
        <is>
          <t>kW</t>
        </is>
      </c>
      <c r="G280" s="150" t="inlineStr">
        <is>
          <t>是</t>
        </is>
      </c>
      <c r="H280" s="150" t="inlineStr">
        <is>
          <t>整行启用时必填</t>
        </is>
      </c>
      <c r="I280" s="150" t="inlineStr">
        <is>
          <t>数值&gt;0</t>
        </is>
      </c>
      <c r="J280" s="150" t="n">
        <v>0</v>
      </c>
      <c r="K280" s="150" t="n"/>
      <c r="L280" s="150" t="str"/>
      <c r="M280" s="150" t="inlineStr">
        <is>
          <t>去首尾空格；全角转半角；保留原值，不自动改写</t>
        </is>
      </c>
      <c r="N280" s="150" t="inlineStr">
        <is>
          <t>异常时写入自动备注；不改写原值</t>
        </is>
      </c>
      <c r="O280" s="150" t="inlineStr">
        <is>
          <t>GB 29541-2013</t>
        </is>
      </c>
      <c r="P280" s="150" t="inlineStr">
        <is>
          <t>表1</t>
        </is>
      </c>
    </row>
    <row r="281">
      <c r="A281" s="150" t="inlineStr">
        <is>
          <t>热泵热水机</t>
        </is>
      </c>
      <c r="B281" s="150" t="inlineStr">
        <is>
          <t>rated_power</t>
        </is>
      </c>
      <c r="C281" s="150" t="inlineStr">
        <is>
          <t>额定功率</t>
        </is>
      </c>
      <c r="D281" s="150" t="inlineStr">
        <is>
          <t>设备参数</t>
        </is>
      </c>
      <c r="E281" s="150" t="inlineStr">
        <is>
          <t>数值</t>
        </is>
      </c>
      <c r="F281" s="150" t="inlineStr">
        <is>
          <t>kW</t>
        </is>
      </c>
      <c r="G281" s="150" t="inlineStr">
        <is>
          <t>是</t>
        </is>
      </c>
      <c r="H281" s="150" t="inlineStr">
        <is>
          <t>整行启用时必填</t>
        </is>
      </c>
      <c r="I281" s="150" t="inlineStr">
        <is>
          <t>数值&gt;0</t>
        </is>
      </c>
      <c r="J281" s="150" t="n">
        <v>0</v>
      </c>
      <c r="K281" s="150" t="n"/>
      <c r="L281" s="150" t="str"/>
      <c r="M281" s="150" t="inlineStr">
        <is>
          <t>去首尾空格；全角转半角；保留原值，不自动改写</t>
        </is>
      </c>
      <c r="N281" s="150" t="inlineStr">
        <is>
          <t>异常时写入自动备注；不改写原值</t>
        </is>
      </c>
      <c r="O281" s="150" t="inlineStr">
        <is>
          <t>GB 29541-2013</t>
        </is>
      </c>
      <c r="P281" s="150" t="inlineStr">
        <is>
          <t>表1</t>
        </is>
      </c>
    </row>
    <row r="282">
      <c r="A282" s="150" t="inlineStr">
        <is>
          <t>热泵热水机</t>
        </is>
      </c>
      <c r="B282" s="150" t="inlineStr">
        <is>
          <t>cop</t>
        </is>
      </c>
      <c r="C282" s="150" t="inlineStr">
        <is>
          <t>性能系数</t>
        </is>
      </c>
      <c r="D282" s="150" t="inlineStr">
        <is>
          <t>设备参数</t>
        </is>
      </c>
      <c r="E282" s="150" t="inlineStr">
        <is>
          <t>数值</t>
        </is>
      </c>
      <c r="F282" s="150" t="inlineStr">
        <is>
          <t>W/W</t>
        </is>
      </c>
      <c r="G282" s="150" t="inlineStr">
        <is>
          <t>是</t>
        </is>
      </c>
      <c r="H282" s="150" t="inlineStr">
        <is>
          <t>整行启用时必填</t>
        </is>
      </c>
      <c r="I282" s="150" t="inlineStr">
        <is>
          <t>数值&gt;0</t>
        </is>
      </c>
      <c r="J282" s="150" t="n">
        <v>0</v>
      </c>
      <c r="K282" s="150" t="n"/>
      <c r="L282" s="150" t="str"/>
      <c r="M282" s="150" t="inlineStr">
        <is>
          <t>去首尾空格；全角转半角；保留原值，不自动改写</t>
        </is>
      </c>
      <c r="N282" s="150" t="inlineStr">
        <is>
          <t>异常时写入自动备注；不改写原值</t>
        </is>
      </c>
      <c r="O282" s="150" t="inlineStr">
        <is>
          <t>GB 29541-2013</t>
        </is>
      </c>
      <c r="P282" s="150" t="inlineStr">
        <is>
          <t>表1</t>
        </is>
      </c>
    </row>
    <row r="283">
      <c r="A283" s="150" t="inlineStr">
        <is>
          <t>热泵热水机</t>
        </is>
      </c>
      <c r="B283" s="150" t="inlineStr">
        <is>
          <t>cop1</t>
        </is>
      </c>
      <c r="C283" s="150" t="inlineStr">
        <is>
          <t>1级性能系数</t>
        </is>
      </c>
      <c r="D283" s="150" t="inlineStr">
        <is>
          <t>标准查询结果</t>
        </is>
      </c>
      <c r="E283" s="150" t="inlineStr">
        <is>
          <t>数值</t>
        </is>
      </c>
      <c r="F283" s="150" t="inlineStr">
        <is>
          <t>W/W</t>
        </is>
      </c>
      <c r="G283" s="150" t="inlineStr">
        <is>
          <t>否</t>
        </is>
      </c>
      <c r="H283" s="150" t="inlineStr">
        <is>
          <t>本阶段锁定预留</t>
        </is>
      </c>
      <c r="I283" s="150" t="inlineStr">
        <is>
          <t>无</t>
        </is>
      </c>
      <c r="J283" s="150" t="n"/>
      <c r="K283" s="150" t="n"/>
      <c r="L283" s="150" t="str"/>
      <c r="M283" s="150" t="inlineStr">
        <is>
          <t>锁定预留，不清洗</t>
        </is>
      </c>
      <c r="N283" s="150" t="inlineStr">
        <is>
          <t>本阶段不查询、不判定</t>
        </is>
      </c>
      <c r="O283" s="150" t="inlineStr">
        <is>
          <t>GB 29541-2013</t>
        </is>
      </c>
      <c r="P283" s="150" t="inlineStr">
        <is>
          <t>表1</t>
        </is>
      </c>
    </row>
    <row r="284">
      <c r="A284" s="150" t="inlineStr">
        <is>
          <t>热泵热水机</t>
        </is>
      </c>
      <c r="B284" s="150" t="inlineStr">
        <is>
          <t>cop2</t>
        </is>
      </c>
      <c r="C284" s="150" t="inlineStr">
        <is>
          <t>2级性能系数</t>
        </is>
      </c>
      <c r="D284" s="150" t="inlineStr">
        <is>
          <t>标准查询结果</t>
        </is>
      </c>
      <c r="E284" s="150" t="inlineStr">
        <is>
          <t>数值</t>
        </is>
      </c>
      <c r="F284" s="150" t="inlineStr">
        <is>
          <t>W/W</t>
        </is>
      </c>
      <c r="G284" s="150" t="inlineStr">
        <is>
          <t>否</t>
        </is>
      </c>
      <c r="H284" s="150" t="inlineStr">
        <is>
          <t>本阶段锁定预留</t>
        </is>
      </c>
      <c r="I284" s="150" t="inlineStr">
        <is>
          <t>无</t>
        </is>
      </c>
      <c r="J284" s="150" t="n"/>
      <c r="K284" s="150" t="n"/>
      <c r="L284" s="150" t="str"/>
      <c r="M284" s="150" t="inlineStr">
        <is>
          <t>锁定预留，不清洗</t>
        </is>
      </c>
      <c r="N284" s="150" t="inlineStr">
        <is>
          <t>本阶段不查询、不判定</t>
        </is>
      </c>
      <c r="O284" s="150" t="inlineStr">
        <is>
          <t>GB 29541-2013</t>
        </is>
      </c>
      <c r="P284" s="150" t="inlineStr">
        <is>
          <t>表1</t>
        </is>
      </c>
    </row>
    <row r="285">
      <c r="A285" s="150" t="inlineStr">
        <is>
          <t>热泵热水机</t>
        </is>
      </c>
      <c r="B285" s="150" t="inlineStr">
        <is>
          <t>cop3</t>
        </is>
      </c>
      <c r="C285" s="150" t="inlineStr">
        <is>
          <t>3级性能系数</t>
        </is>
      </c>
      <c r="D285" s="150" t="inlineStr">
        <is>
          <t>标准查询结果</t>
        </is>
      </c>
      <c r="E285" s="150" t="inlineStr">
        <is>
          <t>数值</t>
        </is>
      </c>
      <c r="F285" s="150" t="inlineStr">
        <is>
          <t>W/W</t>
        </is>
      </c>
      <c r="G285" s="150" t="inlineStr">
        <is>
          <t>否</t>
        </is>
      </c>
      <c r="H285" s="150" t="inlineStr">
        <is>
          <t>本阶段锁定预留</t>
        </is>
      </c>
      <c r="I285" s="150" t="inlineStr">
        <is>
          <t>无</t>
        </is>
      </c>
      <c r="J285" s="150" t="n"/>
      <c r="K285" s="150" t="n"/>
      <c r="L285" s="150" t="str"/>
      <c r="M285" s="150" t="inlineStr">
        <is>
          <t>锁定预留，不清洗</t>
        </is>
      </c>
      <c r="N285" s="150" t="inlineStr">
        <is>
          <t>本阶段不查询、不判定</t>
        </is>
      </c>
      <c r="O285" s="150" t="inlineStr">
        <is>
          <t>GB 29541-2013</t>
        </is>
      </c>
      <c r="P285" s="150" t="inlineStr">
        <is>
          <t>表1</t>
        </is>
      </c>
    </row>
    <row r="286">
      <c r="A286" s="150" t="inlineStr">
        <is>
          <t>热泵热水机</t>
        </is>
      </c>
      <c r="B286" s="150" t="inlineStr">
        <is>
          <t>cop4</t>
        </is>
      </c>
      <c r="C286" s="150" t="inlineStr">
        <is>
          <t>4级性能系数</t>
        </is>
      </c>
      <c r="D286" s="150" t="inlineStr">
        <is>
          <t>标准查询结果</t>
        </is>
      </c>
      <c r="E286" s="150" t="inlineStr">
        <is>
          <t>数值</t>
        </is>
      </c>
      <c r="F286" s="150" t="inlineStr">
        <is>
          <t>W/W</t>
        </is>
      </c>
      <c r="G286" s="150" t="inlineStr">
        <is>
          <t>否</t>
        </is>
      </c>
      <c r="H286" s="150" t="inlineStr">
        <is>
          <t>本阶段锁定预留</t>
        </is>
      </c>
      <c r="I286" s="150" t="inlineStr">
        <is>
          <t>无</t>
        </is>
      </c>
      <c r="J286" s="150" t="n"/>
      <c r="K286" s="150" t="n"/>
      <c r="L286" s="150" t="str"/>
      <c r="M286" s="150" t="inlineStr">
        <is>
          <t>锁定预留，不清洗</t>
        </is>
      </c>
      <c r="N286" s="150" t="inlineStr">
        <is>
          <t>本阶段不查询、不判定</t>
        </is>
      </c>
      <c r="O286" s="150" t="inlineStr">
        <is>
          <t>GB 29541-2013</t>
        </is>
      </c>
      <c r="P286" s="150" t="inlineStr">
        <is>
          <t>表1</t>
        </is>
      </c>
    </row>
    <row r="287">
      <c r="A287" s="150" t="inlineStr">
        <is>
          <t>热泵热水机</t>
        </is>
      </c>
      <c r="B287" s="150" t="inlineStr">
        <is>
          <t>cop5</t>
        </is>
      </c>
      <c r="C287" s="150" t="inlineStr">
        <is>
          <t>5级性能系数</t>
        </is>
      </c>
      <c r="D287" s="150" t="inlineStr">
        <is>
          <t>标准查询结果</t>
        </is>
      </c>
      <c r="E287" s="150" t="inlineStr">
        <is>
          <t>数值</t>
        </is>
      </c>
      <c r="F287" s="150" t="inlineStr">
        <is>
          <t>W/W</t>
        </is>
      </c>
      <c r="G287" s="150" t="inlineStr">
        <is>
          <t>否</t>
        </is>
      </c>
      <c r="H287" s="150" t="inlineStr">
        <is>
          <t>本阶段锁定预留</t>
        </is>
      </c>
      <c r="I287" s="150" t="inlineStr">
        <is>
          <t>无</t>
        </is>
      </c>
      <c r="J287" s="150" t="n"/>
      <c r="K287" s="150" t="n"/>
      <c r="L287" s="150" t="str"/>
      <c r="M287" s="150" t="inlineStr">
        <is>
          <t>锁定预留，不清洗</t>
        </is>
      </c>
      <c r="N287" s="150" t="inlineStr">
        <is>
          <t>本阶段不查询、不判定</t>
        </is>
      </c>
      <c r="O287" s="150" t="inlineStr">
        <is>
          <t>GB 29541-2013</t>
        </is>
      </c>
      <c r="P287" s="150" t="inlineStr">
        <is>
          <t>表1</t>
        </is>
      </c>
    </row>
    <row r="288">
      <c r="A288" s="150" t="inlineStr">
        <is>
          <t>热泵热水机</t>
        </is>
      </c>
      <c r="B288" s="150" t="inlineStr">
        <is>
          <t>conclusion</t>
        </is>
      </c>
      <c r="C288" s="150" t="inlineStr">
        <is>
          <t>能效等级</t>
        </is>
      </c>
      <c r="D288" s="150" t="inlineStr">
        <is>
          <t>结论</t>
        </is>
      </c>
      <c r="E288" s="150" t="inlineStr">
        <is>
          <t>文本</t>
        </is>
      </c>
      <c r="F288" s="150" t="inlineStr">
        <is>
          <t>-</t>
        </is>
      </c>
      <c r="G288" s="150" t="inlineStr">
        <is>
          <t>否</t>
        </is>
      </c>
      <c r="H288" s="150" t="inlineStr">
        <is>
          <t>本阶段锁定预留</t>
        </is>
      </c>
      <c r="I288" s="150" t="inlineStr">
        <is>
          <t>无</t>
        </is>
      </c>
      <c r="J288" s="150" t="n"/>
      <c r="K288" s="150" t="n"/>
      <c r="L288" s="150" t="str"/>
      <c r="M288" s="150" t="inlineStr">
        <is>
          <t>锁定预留，不清洗</t>
        </is>
      </c>
      <c r="N288" s="150" t="inlineStr">
        <is>
          <t>本阶段不查询、不判定</t>
        </is>
      </c>
      <c r="O288" s="150" t="inlineStr">
        <is>
          <t>GB 29541-2013</t>
        </is>
      </c>
      <c r="P288" s="150" t="inlineStr">
        <is>
          <t>表1</t>
        </is>
      </c>
    </row>
    <row r="289">
      <c r="A289" s="150" t="inlineStr">
        <is>
          <t>热泵热水机</t>
        </is>
      </c>
      <c r="B289" s="150" t="inlineStr">
        <is>
          <t>photo</t>
        </is>
      </c>
      <c r="C289" s="150" t="inlineStr">
        <is>
          <t>铭牌照片</t>
        </is>
      </c>
      <c r="D289" s="150" t="inlineStr">
        <is>
          <t>附件备注</t>
        </is>
      </c>
      <c r="E289" s="150" t="inlineStr">
        <is>
          <t>图片</t>
        </is>
      </c>
      <c r="F289" s="150" t="inlineStr">
        <is>
          <t>-</t>
        </is>
      </c>
      <c r="G289" s="150" t="inlineStr">
        <is>
          <t>是</t>
        </is>
      </c>
      <c r="H289" s="150" t="inlineStr">
        <is>
          <t>整行启用时必填</t>
        </is>
      </c>
      <c r="I289" s="150" t="inlineStr">
        <is>
          <t>无</t>
        </is>
      </c>
      <c r="J289" s="150" t="n"/>
      <c r="K289" s="150" t="n"/>
      <c r="L289" s="150" t="str"/>
      <c r="M289" s="150" t="inlineStr">
        <is>
          <t>仅接受Excel“置于单元格”图片；不接受浮动图片</t>
        </is>
      </c>
      <c r="N289" s="150" t="inlineStr">
        <is>
          <t>为空时提示缺少铭牌照片</t>
        </is>
      </c>
      <c r="O289" s="150" t="inlineStr">
        <is>
          <t>GB 29541-2013</t>
        </is>
      </c>
      <c r="P289" s="150" t="inlineStr">
        <is>
          <t>表1</t>
        </is>
      </c>
    </row>
    <row r="290">
      <c r="A290" s="150" t="inlineStr">
        <is>
          <t>热泵热水机</t>
        </is>
      </c>
      <c r="B290" s="150" t="inlineStr">
        <is>
          <t>fill_note</t>
        </is>
      </c>
      <c r="C290" s="150" t="inlineStr">
        <is>
          <t>填表备注</t>
        </is>
      </c>
      <c r="D290" s="150" t="inlineStr">
        <is>
          <t>附件备注</t>
        </is>
      </c>
      <c r="E290" s="150" t="inlineStr">
        <is>
          <t>文本</t>
        </is>
      </c>
      <c r="F290" s="150" t="inlineStr">
        <is>
          <t>-</t>
        </is>
      </c>
      <c r="G290" s="150" t="inlineStr">
        <is>
          <t>是</t>
        </is>
      </c>
      <c r="H290" s="150" t="inlineStr">
        <is>
          <t>可选</t>
        </is>
      </c>
      <c r="I290" s="150" t="inlineStr">
        <is>
          <t>无</t>
        </is>
      </c>
      <c r="J290" s="150" t="n"/>
      <c r="K290" s="150" t="n"/>
      <c r="L290" s="150" t="str"/>
      <c r="M290" s="150" t="inlineStr">
        <is>
          <t>去首尾空格；全角转半角；保留原值，不自动改写</t>
        </is>
      </c>
      <c r="N290" s="150" t="inlineStr">
        <is>
          <t>异常时写入自动备注；不改写原值</t>
        </is>
      </c>
      <c r="O290" s="150" t="inlineStr">
        <is>
          <t>GB 29541-2013</t>
        </is>
      </c>
      <c r="P290" s="150" t="inlineStr">
        <is>
          <t>表1</t>
        </is>
      </c>
    </row>
    <row r="291">
      <c r="A291" s="150" t="inlineStr">
        <is>
          <t>热泵热水机</t>
        </is>
      </c>
      <c r="B291" s="150" t="inlineStr">
        <is>
          <t>auto_note</t>
        </is>
      </c>
      <c r="C291" s="150" t="inlineStr">
        <is>
          <t>自动备注</t>
        </is>
      </c>
      <c r="D291" s="150" t="inlineStr">
        <is>
          <t>附件备注</t>
        </is>
      </c>
      <c r="E291" s="150" t="inlineStr">
        <is>
          <t>公式</t>
        </is>
      </c>
      <c r="F291" s="150" t="inlineStr">
        <is>
          <t>-</t>
        </is>
      </c>
      <c r="G291" s="150" t="inlineStr">
        <is>
          <t>否</t>
        </is>
      </c>
      <c r="H291" s="150" t="inlineStr">
        <is>
          <t>公式生成</t>
        </is>
      </c>
      <c r="I291" s="150" t="inlineStr">
        <is>
          <t>无</t>
        </is>
      </c>
      <c r="J291" s="150" t="n"/>
      <c r="K291" s="150" t="n"/>
      <c r="L291" s="150" t="str"/>
      <c r="M291" s="150" t="inlineStr">
        <is>
          <t>锁定公式列，不清洗</t>
        </is>
      </c>
      <c r="N291" s="150" t="inlineStr">
        <is>
          <t>公式锁定并随表格扩展</t>
        </is>
      </c>
      <c r="O291" s="150" t="inlineStr">
        <is>
          <t>GB 29541-2013</t>
        </is>
      </c>
      <c r="P291" s="150" t="inlineStr">
        <is>
          <t>表1</t>
        </is>
      </c>
    </row>
    <row r="292">
      <c r="A292" s="150" t="inlineStr">
        <is>
          <t>风管送风式空调</t>
        </is>
      </c>
      <c r="B292" s="150" t="inlineStr">
        <is>
          <t>seq</t>
        </is>
      </c>
      <c r="C292" s="150" t="inlineStr">
        <is>
          <t>序号</t>
        </is>
      </c>
      <c r="D292" s="150" t="inlineStr">
        <is>
          <t>基础信息</t>
        </is>
      </c>
      <c r="E292" s="150" t="inlineStr">
        <is>
          <t>整数</t>
        </is>
      </c>
      <c r="F292" s="150" t="inlineStr">
        <is>
          <t>-</t>
        </is>
      </c>
      <c r="G292" s="150" t="inlineStr">
        <is>
          <t>否</t>
        </is>
      </c>
      <c r="H292" s="150" t="inlineStr">
        <is>
          <t>公式生成</t>
        </is>
      </c>
      <c r="I292" s="150" t="inlineStr">
        <is>
          <t>无</t>
        </is>
      </c>
      <c r="J292" s="150" t="n"/>
      <c r="K292" s="150" t="n"/>
      <c r="L292" s="150" t="str"/>
      <c r="M292" s="150" t="inlineStr">
        <is>
          <t>锁定公式列，不清洗</t>
        </is>
      </c>
      <c r="N292" s="150" t="inlineStr">
        <is>
          <t>公式锁定并随表格扩展</t>
        </is>
      </c>
      <c r="O292" s="150" t="inlineStr">
        <is>
          <t>GB 37479-2019</t>
        </is>
      </c>
      <c r="P292" s="150" t="inlineStr">
        <is>
          <t>表1～表2</t>
        </is>
      </c>
    </row>
    <row r="293">
      <c r="A293" s="150" t="inlineStr">
        <is>
          <t>风管送风式空调</t>
        </is>
      </c>
      <c r="B293" s="150" t="inlineStr">
        <is>
          <t>device_name</t>
        </is>
      </c>
      <c r="C293" s="150" t="inlineStr">
        <is>
          <t>设备名称</t>
        </is>
      </c>
      <c r="D293" s="150" t="inlineStr">
        <is>
          <t>基础信息</t>
        </is>
      </c>
      <c r="E293" s="150" t="inlineStr">
        <is>
          <t>文本</t>
        </is>
      </c>
      <c r="F293" s="150" t="inlineStr">
        <is>
          <t>-</t>
        </is>
      </c>
      <c r="G293" s="150" t="inlineStr">
        <is>
          <t>是</t>
        </is>
      </c>
      <c r="H293" s="150" t="inlineStr">
        <is>
          <t>整行启用时必填</t>
        </is>
      </c>
      <c r="I293" s="150" t="inlineStr">
        <is>
          <t>无</t>
        </is>
      </c>
      <c r="J293" s="150" t="n"/>
      <c r="K293" s="150" t="n"/>
      <c r="L293" s="150" t="str"/>
      <c r="M293" s="150" t="inlineStr">
        <is>
          <t>去首尾空格；全角转半角；保留原值，不自动改写</t>
        </is>
      </c>
      <c r="N293" s="150" t="inlineStr">
        <is>
          <t>异常时写入自动备注；不改写原值</t>
        </is>
      </c>
      <c r="O293" s="150" t="inlineStr">
        <is>
          <t>GB 37479-2019</t>
        </is>
      </c>
      <c r="P293" s="150" t="inlineStr">
        <is>
          <t>表1～表2</t>
        </is>
      </c>
    </row>
    <row r="294">
      <c r="A294" s="150" t="inlineStr">
        <is>
          <t>风管送风式空调</t>
        </is>
      </c>
      <c r="B294" s="150" t="inlineStr">
        <is>
          <t>model</t>
        </is>
      </c>
      <c r="C294" s="150" t="inlineStr">
        <is>
          <t>型号</t>
        </is>
      </c>
      <c r="D294" s="150" t="inlineStr">
        <is>
          <t>基础信息</t>
        </is>
      </c>
      <c r="E294" s="150" t="inlineStr">
        <is>
          <t>文本</t>
        </is>
      </c>
      <c r="F294" s="150" t="inlineStr">
        <is>
          <t>-</t>
        </is>
      </c>
      <c r="G294" s="150" t="inlineStr">
        <is>
          <t>是</t>
        </is>
      </c>
      <c r="H294" s="150" t="inlineStr">
        <is>
          <t>整行启用时必填</t>
        </is>
      </c>
      <c r="I294" s="150" t="inlineStr">
        <is>
          <t>无</t>
        </is>
      </c>
      <c r="J294" s="150" t="n"/>
      <c r="K294" s="150" t="n"/>
      <c r="L294" s="150" t="str"/>
      <c r="M294" s="150" t="inlineStr">
        <is>
          <t>去首尾空格；统一字母大小写、连接符和全半角；保留原值</t>
        </is>
      </c>
      <c r="N294" s="150" t="inlineStr">
        <is>
          <t>异常时写入自动备注；不改写原值</t>
        </is>
      </c>
      <c r="O294" s="150" t="inlineStr">
        <is>
          <t>GB 37479-2019</t>
        </is>
      </c>
      <c r="P294" s="150" t="inlineStr">
        <is>
          <t>表1～表2</t>
        </is>
      </c>
    </row>
    <row r="295">
      <c r="A295" s="150" t="inlineStr">
        <is>
          <t>风管送风式空调</t>
        </is>
      </c>
      <c r="B295" s="150" t="inlineStr">
        <is>
          <t>quantity</t>
        </is>
      </c>
      <c r="C295" s="150" t="inlineStr">
        <is>
          <t>数量</t>
        </is>
      </c>
      <c r="D295" s="150" t="inlineStr">
        <is>
          <t>基础信息</t>
        </is>
      </c>
      <c r="E295" s="150" t="inlineStr">
        <is>
          <t>整数</t>
        </is>
      </c>
      <c r="F295" s="150" t="inlineStr">
        <is>
          <t>-</t>
        </is>
      </c>
      <c r="G295" s="150" t="inlineStr">
        <is>
          <t>是</t>
        </is>
      </c>
      <c r="H295" s="150" t="inlineStr">
        <is>
          <t>整行启用时必填</t>
        </is>
      </c>
      <c r="I295" s="150" t="inlineStr">
        <is>
          <t>正整数</t>
        </is>
      </c>
      <c r="J295" s="150" t="n">
        <v>1</v>
      </c>
      <c r="K295" s="150" t="n"/>
      <c r="L295" s="150" t="str"/>
      <c r="M295" s="150" t="inlineStr">
        <is>
          <t>去首尾空格；全角转半角；保留原值，不自动改写</t>
        </is>
      </c>
      <c r="N295" s="150" t="inlineStr">
        <is>
          <t>异常时写入自动备注；不改写原值</t>
        </is>
      </c>
      <c r="O295" s="150" t="inlineStr">
        <is>
          <t>GB 37479-2019</t>
        </is>
      </c>
      <c r="P295" s="150" t="inlineStr">
        <is>
          <t>表1～表2</t>
        </is>
      </c>
    </row>
    <row r="296">
      <c r="A296" s="150" t="inlineStr">
        <is>
          <t>风管送风式空调</t>
        </is>
      </c>
      <c r="B296" s="150" t="inlineStr">
        <is>
          <t>location</t>
        </is>
      </c>
      <c r="C296" s="150" t="inlineStr">
        <is>
          <t>安装位置</t>
        </is>
      </c>
      <c r="D296" s="150" t="inlineStr">
        <is>
          <t>基础信息</t>
        </is>
      </c>
      <c r="E296" s="150" t="inlineStr">
        <is>
          <t>文本</t>
        </is>
      </c>
      <c r="F296" s="150" t="inlineStr">
        <is>
          <t>-</t>
        </is>
      </c>
      <c r="G296" s="150" t="inlineStr">
        <is>
          <t>是</t>
        </is>
      </c>
      <c r="H296" s="150" t="inlineStr">
        <is>
          <t>可选</t>
        </is>
      </c>
      <c r="I296" s="150" t="inlineStr">
        <is>
          <t>无</t>
        </is>
      </c>
      <c r="J296" s="150" t="n"/>
      <c r="K296" s="150" t="n"/>
      <c r="L296" s="150" t="str"/>
      <c r="M296" s="150" t="inlineStr">
        <is>
          <t>去首尾空格；全角转半角；保留原值，不自动改写</t>
        </is>
      </c>
      <c r="N296" s="150" t="inlineStr">
        <is>
          <t>异常时写入自动备注；不改写原值</t>
        </is>
      </c>
      <c r="O296" s="150" t="inlineStr">
        <is>
          <t>GB 37479-2019</t>
        </is>
      </c>
      <c r="P296" s="150" t="inlineStr">
        <is>
          <t>表1～表2</t>
        </is>
      </c>
    </row>
    <row r="297">
      <c r="A297" s="150" t="inlineStr">
        <is>
          <t>风管送风式空调</t>
        </is>
      </c>
      <c r="B297" s="150" t="inlineStr">
        <is>
          <t>category</t>
        </is>
      </c>
      <c r="C297" s="150" t="inlineStr">
        <is>
          <t>设备类别</t>
        </is>
      </c>
      <c r="D297" s="150" t="inlineStr">
        <is>
          <t>设备参数</t>
        </is>
      </c>
      <c r="E297" s="150" t="inlineStr">
        <is>
          <t>文本</t>
        </is>
      </c>
      <c r="F297" s="150" t="inlineStr">
        <is>
          <t>-</t>
        </is>
      </c>
      <c r="G297" s="150" t="inlineStr">
        <is>
          <t>是</t>
        </is>
      </c>
      <c r="H297" s="150" t="inlineStr">
        <is>
          <t>整行启用时必填</t>
        </is>
      </c>
      <c r="I297" s="150" t="inlineStr">
        <is>
          <t>停止型下拉；粘贴后由自动备注复核</t>
        </is>
      </c>
      <c r="J297" s="150" t="n"/>
      <c r="K297" s="150" t="n"/>
      <c r="L297" s="150" t="inlineStr">
        <is>
          <t>EV_DUCT_CATEGORY</t>
        </is>
      </c>
      <c r="M297" s="150" t="inlineStr">
        <is>
          <t>去首尾空格；全角转半角；保留原值，不自动改写</t>
        </is>
      </c>
      <c r="N297" s="150" t="inlineStr">
        <is>
          <t>异常时写入自动备注；不改写原值</t>
        </is>
      </c>
      <c r="O297" s="150" t="inlineStr">
        <is>
          <t>GB 37479-2019</t>
        </is>
      </c>
      <c r="P297" s="150" t="inlineStr">
        <is>
          <t>表1～表2</t>
        </is>
      </c>
    </row>
    <row r="298">
      <c r="A298" s="150" t="inlineStr">
        <is>
          <t>风管送风式空调</t>
        </is>
      </c>
      <c r="B298" s="150" t="inlineStr">
        <is>
          <t>cooling</t>
        </is>
      </c>
      <c r="C298" s="150" t="inlineStr">
        <is>
          <t>冷却方式</t>
        </is>
      </c>
      <c r="D298" s="150" t="inlineStr">
        <is>
          <t>设备参数</t>
        </is>
      </c>
      <c r="E298" s="150" t="inlineStr">
        <is>
          <t>文本</t>
        </is>
      </c>
      <c r="F298" s="150" t="inlineStr">
        <is>
          <t>-</t>
        </is>
      </c>
      <c r="G298" s="150" t="inlineStr">
        <is>
          <t>是</t>
        </is>
      </c>
      <c r="H298" s="150" t="inlineStr">
        <is>
          <t>整行启用时必填</t>
        </is>
      </c>
      <c r="I298" s="150" t="inlineStr">
        <is>
          <t>停止型下拉；粘贴后由自动备注复核</t>
        </is>
      </c>
      <c r="J298" s="150" t="n"/>
      <c r="K298" s="150" t="n"/>
      <c r="L298" s="150" t="inlineStr">
        <is>
          <t>EV_AC_COOLING_DUCT</t>
        </is>
      </c>
      <c r="M298" s="150" t="inlineStr">
        <is>
          <t>去首尾空格；全角转半角；保留原值，不自动改写</t>
        </is>
      </c>
      <c r="N298" s="150" t="inlineStr">
        <is>
          <t>异常时写入自动备注；不改写原值</t>
        </is>
      </c>
      <c r="O298" s="150" t="inlineStr">
        <is>
          <t>GB 37479-2019</t>
        </is>
      </c>
      <c r="P298" s="150" t="inlineStr">
        <is>
          <t>表1～表2</t>
        </is>
      </c>
    </row>
    <row r="299">
      <c r="A299" s="150" t="inlineStr">
        <is>
          <t>风管送风式空调</t>
        </is>
      </c>
      <c r="B299" s="150" t="inlineStr">
        <is>
          <t>mode</t>
        </is>
      </c>
      <c r="C299" s="150" t="inlineStr">
        <is>
          <t>机组类型</t>
        </is>
      </c>
      <c r="D299" s="150" t="inlineStr">
        <is>
          <t>设备参数</t>
        </is>
      </c>
      <c r="E299" s="150" t="inlineStr">
        <is>
          <t>文本</t>
        </is>
      </c>
      <c r="F299" s="150" t="inlineStr">
        <is>
          <t>-</t>
        </is>
      </c>
      <c r="G299" s="150" t="inlineStr">
        <is>
          <t>是</t>
        </is>
      </c>
      <c r="H299" s="150" t="inlineStr">
        <is>
          <t>整行启用时必填</t>
        </is>
      </c>
      <c r="I299" s="150" t="inlineStr">
        <is>
          <t>停止型下拉；粘贴后由自动备注复核</t>
        </is>
      </c>
      <c r="J299" s="150" t="n"/>
      <c r="K299" s="150" t="n"/>
      <c r="L299" s="150" t="inlineStr">
        <is>
          <t>EV_AC_MODE</t>
        </is>
      </c>
      <c r="M299" s="150" t="inlineStr">
        <is>
          <t>去首尾空格；全角转半角；保留原值，不自动改写</t>
        </is>
      </c>
      <c r="N299" s="150" t="inlineStr">
        <is>
          <t>异常时写入自动备注；不改写原值</t>
        </is>
      </c>
      <c r="O299" s="150" t="inlineStr">
        <is>
          <t>GB 37479-2019</t>
        </is>
      </c>
      <c r="P299" s="150" t="inlineStr">
        <is>
          <t>表1～表2</t>
        </is>
      </c>
    </row>
    <row r="300">
      <c r="A300" s="150" t="inlineStr">
        <is>
          <t>风管送风式空调</t>
        </is>
      </c>
      <c r="B300" s="150" t="inlineStr">
        <is>
          <t>enthalpy</t>
        </is>
      </c>
      <c r="C300" s="150" t="inlineStr">
        <is>
          <t>焓差类型</t>
        </is>
      </c>
      <c r="D300" s="150" t="inlineStr">
        <is>
          <t>设备参数</t>
        </is>
      </c>
      <c r="E300" s="150" t="inlineStr">
        <is>
          <t>文本</t>
        </is>
      </c>
      <c r="F300" s="150" t="inlineStr">
        <is>
          <t>-</t>
        </is>
      </c>
      <c r="G300" s="150" t="inlineStr">
        <is>
          <t>是</t>
        </is>
      </c>
      <c r="H300" s="150" t="inlineStr">
        <is>
          <t>整行启用时必填</t>
        </is>
      </c>
      <c r="I300" s="150" t="inlineStr">
        <is>
          <t>停止型下拉；粘贴后由自动备注复核</t>
        </is>
      </c>
      <c r="J300" s="150" t="n"/>
      <c r="K300" s="150" t="n"/>
      <c r="L300" s="150" t="inlineStr">
        <is>
          <t>EV_ENTHALPY</t>
        </is>
      </c>
      <c r="M300" s="150" t="inlineStr">
        <is>
          <t>去首尾空格；全角转半角；保留原值，不自动改写</t>
        </is>
      </c>
      <c r="N300" s="150" t="inlineStr">
        <is>
          <t>异常时写入自动备注；不改写原值</t>
        </is>
      </c>
      <c r="O300" s="150" t="inlineStr">
        <is>
          <t>GB 37479-2019</t>
        </is>
      </c>
      <c r="P300" s="150" t="inlineStr">
        <is>
          <t>表1～表2</t>
        </is>
      </c>
    </row>
    <row r="301">
      <c r="A301" s="150" t="inlineStr">
        <is>
          <t>风管送风式空调</t>
        </is>
      </c>
      <c r="B301" s="150" t="inlineStr">
        <is>
          <t>cooling_capacity</t>
        </is>
      </c>
      <c r="C301" s="150" t="inlineStr">
        <is>
          <t>名义制冷量</t>
        </is>
      </c>
      <c r="D301" s="150" t="inlineStr">
        <is>
          <t>设备参数</t>
        </is>
      </c>
      <c r="E301" s="150" t="inlineStr">
        <is>
          <t>数值</t>
        </is>
      </c>
      <c r="F301" s="150" t="inlineStr">
        <is>
          <t>kW</t>
        </is>
      </c>
      <c r="G301" s="150" t="inlineStr">
        <is>
          <t>是</t>
        </is>
      </c>
      <c r="H301" s="150" t="inlineStr">
        <is>
          <t>整行启用时必填</t>
        </is>
      </c>
      <c r="I301" s="150" t="inlineStr">
        <is>
          <t>数值&gt;0</t>
        </is>
      </c>
      <c r="J301" s="150" t="n">
        <v>0</v>
      </c>
      <c r="K301" s="150" t="n"/>
      <c r="L301" s="150" t="str"/>
      <c r="M301" s="150" t="inlineStr">
        <is>
          <t>去首尾空格；全角转半角；保留原值，不自动改写</t>
        </is>
      </c>
      <c r="N301" s="150" t="inlineStr">
        <is>
          <t>异常时写入自动备注；不改写原值</t>
        </is>
      </c>
      <c r="O301" s="150" t="inlineStr">
        <is>
          <t>GB 37479-2019</t>
        </is>
      </c>
      <c r="P301" s="150" t="inlineStr">
        <is>
          <t>表1～表2</t>
        </is>
      </c>
    </row>
    <row r="302">
      <c r="A302" s="150" t="inlineStr">
        <is>
          <t>风管送风式空调</t>
        </is>
      </c>
      <c r="B302" s="150" t="inlineStr">
        <is>
          <t>rated_power</t>
        </is>
      </c>
      <c r="C302" s="150" t="inlineStr">
        <is>
          <t>额定功率</t>
        </is>
      </c>
      <c r="D302" s="150" t="inlineStr">
        <is>
          <t>设备参数</t>
        </is>
      </c>
      <c r="E302" s="150" t="inlineStr">
        <is>
          <t>数值</t>
        </is>
      </c>
      <c r="F302" s="150" t="inlineStr">
        <is>
          <t>kW</t>
        </is>
      </c>
      <c r="G302" s="150" t="inlineStr">
        <is>
          <t>是</t>
        </is>
      </c>
      <c r="H302" s="150" t="inlineStr">
        <is>
          <t>整行启用时必填</t>
        </is>
      </c>
      <c r="I302" s="150" t="inlineStr">
        <is>
          <t>数值&gt;0</t>
        </is>
      </c>
      <c r="J302" s="150" t="n">
        <v>0</v>
      </c>
      <c r="K302" s="150" t="n"/>
      <c r="L302" s="150" t="str"/>
      <c r="M302" s="150" t="inlineStr">
        <is>
          <t>去首尾空格；全角转半角；保留原值，不自动改写</t>
        </is>
      </c>
      <c r="N302" s="150" t="inlineStr">
        <is>
          <t>异常时写入自动备注；不改写原值</t>
        </is>
      </c>
      <c r="O302" s="150" t="inlineStr">
        <is>
          <t>GB 37479-2019</t>
        </is>
      </c>
      <c r="P302" s="150" t="inlineStr">
        <is>
          <t>表1～表2</t>
        </is>
      </c>
    </row>
    <row r="303">
      <c r="A303" s="150" t="inlineStr">
        <is>
          <t>风管送风式空调</t>
        </is>
      </c>
      <c r="B303" s="150" t="inlineStr">
        <is>
          <t>indicator_name</t>
        </is>
      </c>
      <c r="C303" s="150" t="inlineStr">
        <is>
          <t>设计指标名称</t>
        </is>
      </c>
      <c r="D303" s="150" t="inlineStr">
        <is>
          <t>设备参数</t>
        </is>
      </c>
      <c r="E303" s="150" t="inlineStr">
        <is>
          <t>公式</t>
        </is>
      </c>
      <c r="F303" s="150" t="inlineStr">
        <is>
          <t>-</t>
        </is>
      </c>
      <c r="G303" s="150" t="inlineStr">
        <is>
          <t>否</t>
        </is>
      </c>
      <c r="H303" s="150" t="inlineStr">
        <is>
          <t>公式生成</t>
        </is>
      </c>
      <c r="I303" s="150" t="inlineStr">
        <is>
          <t>无</t>
        </is>
      </c>
      <c r="J303" s="150" t="n"/>
      <c r="K303" s="150" t="n"/>
      <c r="L303" s="150" t="str"/>
      <c r="M303" s="150" t="inlineStr">
        <is>
          <t>锁定公式列，不清洗</t>
        </is>
      </c>
      <c r="N303" s="150" t="inlineStr">
        <is>
          <t>公式锁定并随表格扩展</t>
        </is>
      </c>
      <c r="O303" s="150" t="inlineStr">
        <is>
          <t>GB 37479-2019</t>
        </is>
      </c>
      <c r="P303" s="150" t="inlineStr">
        <is>
          <t>表1～表2</t>
        </is>
      </c>
    </row>
    <row r="304">
      <c r="A304" s="150" t="inlineStr">
        <is>
          <t>风管送风式空调</t>
        </is>
      </c>
      <c r="B304" s="150" t="inlineStr">
        <is>
          <t>indicator_value</t>
        </is>
      </c>
      <c r="C304" s="150" t="inlineStr">
        <is>
          <t>设计指标值</t>
        </is>
      </c>
      <c r="D304" s="150" t="inlineStr">
        <is>
          <t>设备参数</t>
        </is>
      </c>
      <c r="E304" s="150" t="inlineStr">
        <is>
          <t>数值</t>
        </is>
      </c>
      <c r="F304" s="150" t="inlineStr">
        <is>
          <t>按指标</t>
        </is>
      </c>
      <c r="G304" s="150" t="inlineStr">
        <is>
          <t>是</t>
        </is>
      </c>
      <c r="H304" s="150" t="inlineStr">
        <is>
          <t>整行启用时必填</t>
        </is>
      </c>
      <c r="I304" s="150" t="inlineStr">
        <is>
          <t>数值&gt;0</t>
        </is>
      </c>
      <c r="J304" s="150" t="n">
        <v>0</v>
      </c>
      <c r="K304" s="150" t="n"/>
      <c r="L304" s="150" t="str"/>
      <c r="M304" s="150" t="inlineStr">
        <is>
          <t>去首尾空格；全角转半角；保留原值，不自动改写</t>
        </is>
      </c>
      <c r="N304" s="150" t="inlineStr">
        <is>
          <t>异常时写入自动备注；不改写原值</t>
        </is>
      </c>
      <c r="O304" s="150" t="inlineStr">
        <is>
          <t>GB 37479-2019</t>
        </is>
      </c>
      <c r="P304" s="150" t="inlineStr">
        <is>
          <t>表1～表2</t>
        </is>
      </c>
    </row>
    <row r="305">
      <c r="A305" s="150" t="inlineStr">
        <is>
          <t>风管送风式空调</t>
        </is>
      </c>
      <c r="B305" s="150" t="inlineStr">
        <is>
          <t>indicator_unit</t>
        </is>
      </c>
      <c r="C305" s="150" t="inlineStr">
        <is>
          <t>设计指标单位</t>
        </is>
      </c>
      <c r="D305" s="150" t="inlineStr">
        <is>
          <t>设备参数</t>
        </is>
      </c>
      <c r="E305" s="150" t="inlineStr">
        <is>
          <t>公式</t>
        </is>
      </c>
      <c r="F305" s="150" t="inlineStr">
        <is>
          <t>-</t>
        </is>
      </c>
      <c r="G305" s="150" t="inlineStr">
        <is>
          <t>否</t>
        </is>
      </c>
      <c r="H305" s="150" t="inlineStr">
        <is>
          <t>公式生成</t>
        </is>
      </c>
      <c r="I305" s="150" t="inlineStr">
        <is>
          <t>无</t>
        </is>
      </c>
      <c r="J305" s="150" t="n"/>
      <c r="K305" s="150" t="n"/>
      <c r="L305" s="150" t="str"/>
      <c r="M305" s="150" t="inlineStr">
        <is>
          <t>锁定公式列，不清洗</t>
        </is>
      </c>
      <c r="N305" s="150" t="inlineStr">
        <is>
          <t>公式锁定并随表格扩展</t>
        </is>
      </c>
      <c r="O305" s="150" t="inlineStr">
        <is>
          <t>GB 37479-2019</t>
        </is>
      </c>
      <c r="P305" s="150" t="inlineStr">
        <is>
          <t>表1～表2</t>
        </is>
      </c>
    </row>
    <row r="306">
      <c r="A306" s="150" t="inlineStr">
        <is>
          <t>风管送风式空调</t>
        </is>
      </c>
      <c r="B306" s="150" t="inlineStr">
        <is>
          <t>level1</t>
        </is>
      </c>
      <c r="C306" s="150" t="inlineStr">
        <is>
          <t>1级对应指标</t>
        </is>
      </c>
      <c r="D306" s="150" t="inlineStr">
        <is>
          <t>标准查询结果</t>
        </is>
      </c>
      <c r="E306" s="150" t="inlineStr">
        <is>
          <t>数值</t>
        </is>
      </c>
      <c r="F306" s="150" t="inlineStr">
        <is>
          <t>按指标</t>
        </is>
      </c>
      <c r="G306" s="150" t="inlineStr">
        <is>
          <t>否</t>
        </is>
      </c>
      <c r="H306" s="150" t="inlineStr">
        <is>
          <t>本阶段锁定预留</t>
        </is>
      </c>
      <c r="I306" s="150" t="inlineStr">
        <is>
          <t>无</t>
        </is>
      </c>
      <c r="J306" s="150" t="n"/>
      <c r="K306" s="150" t="n"/>
      <c r="L306" s="150" t="str"/>
      <c r="M306" s="150" t="inlineStr">
        <is>
          <t>锁定预留，不清洗</t>
        </is>
      </c>
      <c r="N306" s="150" t="inlineStr">
        <is>
          <t>本阶段不查询、不判定</t>
        </is>
      </c>
      <c r="O306" s="150" t="inlineStr">
        <is>
          <t>GB 37479-2019</t>
        </is>
      </c>
      <c r="P306" s="150" t="inlineStr">
        <is>
          <t>表1～表2</t>
        </is>
      </c>
    </row>
    <row r="307">
      <c r="A307" s="150" t="inlineStr">
        <is>
          <t>风管送风式空调</t>
        </is>
      </c>
      <c r="B307" s="150" t="inlineStr">
        <is>
          <t>level2</t>
        </is>
      </c>
      <c r="C307" s="150" t="inlineStr">
        <is>
          <t>2级对应指标</t>
        </is>
      </c>
      <c r="D307" s="150" t="inlineStr">
        <is>
          <t>标准查询结果</t>
        </is>
      </c>
      <c r="E307" s="150" t="inlineStr">
        <is>
          <t>数值</t>
        </is>
      </c>
      <c r="F307" s="150" t="inlineStr">
        <is>
          <t>按指标</t>
        </is>
      </c>
      <c r="G307" s="150" t="inlineStr">
        <is>
          <t>否</t>
        </is>
      </c>
      <c r="H307" s="150" t="inlineStr">
        <is>
          <t>本阶段锁定预留</t>
        </is>
      </c>
      <c r="I307" s="150" t="inlineStr">
        <is>
          <t>无</t>
        </is>
      </c>
      <c r="J307" s="150" t="n"/>
      <c r="K307" s="150" t="n"/>
      <c r="L307" s="150" t="str"/>
      <c r="M307" s="150" t="inlineStr">
        <is>
          <t>锁定预留，不清洗</t>
        </is>
      </c>
      <c r="N307" s="150" t="inlineStr">
        <is>
          <t>本阶段不查询、不判定</t>
        </is>
      </c>
      <c r="O307" s="150" t="inlineStr">
        <is>
          <t>GB 37479-2019</t>
        </is>
      </c>
      <c r="P307" s="150" t="inlineStr">
        <is>
          <t>表1～表2</t>
        </is>
      </c>
    </row>
    <row r="308">
      <c r="A308" s="150" t="inlineStr">
        <is>
          <t>风管送风式空调</t>
        </is>
      </c>
      <c r="B308" s="150" t="inlineStr">
        <is>
          <t>level3</t>
        </is>
      </c>
      <c r="C308" s="150" t="inlineStr">
        <is>
          <t>3级对应指标</t>
        </is>
      </c>
      <c r="D308" s="150" t="inlineStr">
        <is>
          <t>标准查询结果</t>
        </is>
      </c>
      <c r="E308" s="150" t="inlineStr">
        <is>
          <t>数值</t>
        </is>
      </c>
      <c r="F308" s="150" t="inlineStr">
        <is>
          <t>按指标</t>
        </is>
      </c>
      <c r="G308" s="150" t="inlineStr">
        <is>
          <t>否</t>
        </is>
      </c>
      <c r="H308" s="150" t="inlineStr">
        <is>
          <t>本阶段锁定预留</t>
        </is>
      </c>
      <c r="I308" s="150" t="inlineStr">
        <is>
          <t>无</t>
        </is>
      </c>
      <c r="J308" s="150" t="n"/>
      <c r="K308" s="150" t="n"/>
      <c r="L308" s="150" t="str"/>
      <c r="M308" s="150" t="inlineStr">
        <is>
          <t>锁定预留，不清洗</t>
        </is>
      </c>
      <c r="N308" s="150" t="inlineStr">
        <is>
          <t>本阶段不查询、不判定</t>
        </is>
      </c>
      <c r="O308" s="150" t="inlineStr">
        <is>
          <t>GB 37479-2019</t>
        </is>
      </c>
      <c r="P308" s="150" t="inlineStr">
        <is>
          <t>表1～表2</t>
        </is>
      </c>
    </row>
    <row r="309">
      <c r="A309" s="150" t="inlineStr">
        <is>
          <t>风管送风式空调</t>
        </is>
      </c>
      <c r="B309" s="150" t="inlineStr">
        <is>
          <t>conclusion</t>
        </is>
      </c>
      <c r="C309" s="150" t="inlineStr">
        <is>
          <t>能效等级</t>
        </is>
      </c>
      <c r="D309" s="150" t="inlineStr">
        <is>
          <t>结论</t>
        </is>
      </c>
      <c r="E309" s="150" t="inlineStr">
        <is>
          <t>文本</t>
        </is>
      </c>
      <c r="F309" s="150" t="inlineStr">
        <is>
          <t>-</t>
        </is>
      </c>
      <c r="G309" s="150" t="inlineStr">
        <is>
          <t>否</t>
        </is>
      </c>
      <c r="H309" s="150" t="inlineStr">
        <is>
          <t>本阶段锁定预留</t>
        </is>
      </c>
      <c r="I309" s="150" t="inlineStr">
        <is>
          <t>无</t>
        </is>
      </c>
      <c r="J309" s="150" t="n"/>
      <c r="K309" s="150" t="n"/>
      <c r="L309" s="150" t="str"/>
      <c r="M309" s="150" t="inlineStr">
        <is>
          <t>锁定预留，不清洗</t>
        </is>
      </c>
      <c r="N309" s="150" t="inlineStr">
        <is>
          <t>本阶段不查询、不判定</t>
        </is>
      </c>
      <c r="O309" s="150" t="inlineStr">
        <is>
          <t>GB 37479-2019</t>
        </is>
      </c>
      <c r="P309" s="150" t="inlineStr">
        <is>
          <t>表1～表2</t>
        </is>
      </c>
    </row>
    <row r="310">
      <c r="A310" s="150" t="inlineStr">
        <is>
          <t>风管送风式空调</t>
        </is>
      </c>
      <c r="B310" s="150" t="inlineStr">
        <is>
          <t>photo</t>
        </is>
      </c>
      <c r="C310" s="150" t="inlineStr">
        <is>
          <t>铭牌照片</t>
        </is>
      </c>
      <c r="D310" s="150" t="inlineStr">
        <is>
          <t>附件备注</t>
        </is>
      </c>
      <c r="E310" s="150" t="inlineStr">
        <is>
          <t>图片</t>
        </is>
      </c>
      <c r="F310" s="150" t="inlineStr">
        <is>
          <t>-</t>
        </is>
      </c>
      <c r="G310" s="150" t="inlineStr">
        <is>
          <t>是</t>
        </is>
      </c>
      <c r="H310" s="150" t="inlineStr">
        <is>
          <t>整行启用时必填</t>
        </is>
      </c>
      <c r="I310" s="150" t="inlineStr">
        <is>
          <t>无</t>
        </is>
      </c>
      <c r="J310" s="150" t="n"/>
      <c r="K310" s="150" t="n"/>
      <c r="L310" s="150" t="str"/>
      <c r="M310" s="150" t="inlineStr">
        <is>
          <t>仅接受Excel“置于单元格”图片；不接受浮动图片</t>
        </is>
      </c>
      <c r="N310" s="150" t="inlineStr">
        <is>
          <t>为空时提示缺少铭牌照片</t>
        </is>
      </c>
      <c r="O310" s="150" t="inlineStr">
        <is>
          <t>GB 37479-2019</t>
        </is>
      </c>
      <c r="P310" s="150" t="inlineStr">
        <is>
          <t>表1～表2</t>
        </is>
      </c>
    </row>
    <row r="311">
      <c r="A311" s="150" t="inlineStr">
        <is>
          <t>风管送风式空调</t>
        </is>
      </c>
      <c r="B311" s="150" t="inlineStr">
        <is>
          <t>fill_note</t>
        </is>
      </c>
      <c r="C311" s="150" t="inlineStr">
        <is>
          <t>填表备注</t>
        </is>
      </c>
      <c r="D311" s="150" t="inlineStr">
        <is>
          <t>附件备注</t>
        </is>
      </c>
      <c r="E311" s="150" t="inlineStr">
        <is>
          <t>文本</t>
        </is>
      </c>
      <c r="F311" s="150" t="inlineStr">
        <is>
          <t>-</t>
        </is>
      </c>
      <c r="G311" s="150" t="inlineStr">
        <is>
          <t>是</t>
        </is>
      </c>
      <c r="H311" s="150" t="inlineStr">
        <is>
          <t>可选</t>
        </is>
      </c>
      <c r="I311" s="150" t="inlineStr">
        <is>
          <t>无</t>
        </is>
      </c>
      <c r="J311" s="150" t="n"/>
      <c r="K311" s="150" t="n"/>
      <c r="L311" s="150" t="str"/>
      <c r="M311" s="150" t="inlineStr">
        <is>
          <t>去首尾空格；全角转半角；保留原值，不自动改写</t>
        </is>
      </c>
      <c r="N311" s="150" t="inlineStr">
        <is>
          <t>异常时写入自动备注；不改写原值</t>
        </is>
      </c>
      <c r="O311" s="150" t="inlineStr">
        <is>
          <t>GB 37479-2019</t>
        </is>
      </c>
      <c r="P311" s="150" t="inlineStr">
        <is>
          <t>表1～表2</t>
        </is>
      </c>
    </row>
    <row r="312">
      <c r="A312" s="150" t="inlineStr">
        <is>
          <t>风管送风式空调</t>
        </is>
      </c>
      <c r="B312" s="150" t="inlineStr">
        <is>
          <t>auto_note</t>
        </is>
      </c>
      <c r="C312" s="150" t="inlineStr">
        <is>
          <t>自动备注</t>
        </is>
      </c>
      <c r="D312" s="150" t="inlineStr">
        <is>
          <t>附件备注</t>
        </is>
      </c>
      <c r="E312" s="150" t="inlineStr">
        <is>
          <t>公式</t>
        </is>
      </c>
      <c r="F312" s="150" t="inlineStr">
        <is>
          <t>-</t>
        </is>
      </c>
      <c r="G312" s="150" t="inlineStr">
        <is>
          <t>否</t>
        </is>
      </c>
      <c r="H312" s="150" t="inlineStr">
        <is>
          <t>公式生成</t>
        </is>
      </c>
      <c r="I312" s="150" t="inlineStr">
        <is>
          <t>无</t>
        </is>
      </c>
      <c r="J312" s="150" t="n"/>
      <c r="K312" s="150" t="n"/>
      <c r="L312" s="150" t="str"/>
      <c r="M312" s="150" t="inlineStr">
        <is>
          <t>锁定公式列，不清洗</t>
        </is>
      </c>
      <c r="N312" s="150" t="inlineStr">
        <is>
          <t>公式锁定并随表格扩展</t>
        </is>
      </c>
      <c r="O312" s="150" t="inlineStr">
        <is>
          <t>GB 37479-2019</t>
        </is>
      </c>
      <c r="P312" s="150" t="inlineStr">
        <is>
          <t>表1～表2</t>
        </is>
      </c>
    </row>
    <row r="313">
      <c r="A313" s="150" t="inlineStr">
        <is>
          <t>单元式空调</t>
        </is>
      </c>
      <c r="B313" s="150" t="inlineStr">
        <is>
          <t>seq</t>
        </is>
      </c>
      <c r="C313" s="150" t="inlineStr">
        <is>
          <t>序号</t>
        </is>
      </c>
      <c r="D313" s="150" t="inlineStr">
        <is>
          <t>基础信息</t>
        </is>
      </c>
      <c r="E313" s="150" t="inlineStr">
        <is>
          <t>整数</t>
        </is>
      </c>
      <c r="F313" s="150" t="inlineStr">
        <is>
          <t>-</t>
        </is>
      </c>
      <c r="G313" s="150" t="inlineStr">
        <is>
          <t>否</t>
        </is>
      </c>
      <c r="H313" s="150" t="inlineStr">
        <is>
          <t>公式生成</t>
        </is>
      </c>
      <c r="I313" s="150" t="inlineStr">
        <is>
          <t>无</t>
        </is>
      </c>
      <c r="J313" s="150" t="n"/>
      <c r="K313" s="150" t="n"/>
      <c r="L313" s="150" t="str"/>
      <c r="M313" s="150" t="inlineStr">
        <is>
          <t>锁定公式列，不清洗</t>
        </is>
      </c>
      <c r="N313" s="150" t="inlineStr">
        <is>
          <t>公式锁定并随表格扩展</t>
        </is>
      </c>
      <c r="O313" s="150" t="inlineStr">
        <is>
          <t>GB 19576-2019</t>
        </is>
      </c>
      <c r="P313" s="150" t="inlineStr">
        <is>
          <t>表1</t>
        </is>
      </c>
    </row>
    <row r="314">
      <c r="A314" s="150" t="inlineStr">
        <is>
          <t>单元式空调</t>
        </is>
      </c>
      <c r="B314" s="150" t="inlineStr">
        <is>
          <t>device_name</t>
        </is>
      </c>
      <c r="C314" s="150" t="inlineStr">
        <is>
          <t>设备名称</t>
        </is>
      </c>
      <c r="D314" s="150" t="inlineStr">
        <is>
          <t>基础信息</t>
        </is>
      </c>
      <c r="E314" s="150" t="inlineStr">
        <is>
          <t>文本</t>
        </is>
      </c>
      <c r="F314" s="150" t="inlineStr">
        <is>
          <t>-</t>
        </is>
      </c>
      <c r="G314" s="150" t="inlineStr">
        <is>
          <t>是</t>
        </is>
      </c>
      <c r="H314" s="150" t="inlineStr">
        <is>
          <t>整行启用时必填</t>
        </is>
      </c>
      <c r="I314" s="150" t="inlineStr">
        <is>
          <t>无</t>
        </is>
      </c>
      <c r="J314" s="150" t="n"/>
      <c r="K314" s="150" t="n"/>
      <c r="L314" s="150" t="str"/>
      <c r="M314" s="150" t="inlineStr">
        <is>
          <t>去首尾空格；全角转半角；保留原值，不自动改写</t>
        </is>
      </c>
      <c r="N314" s="150" t="inlineStr">
        <is>
          <t>异常时写入自动备注；不改写原值</t>
        </is>
      </c>
      <c r="O314" s="150" t="inlineStr">
        <is>
          <t>GB 19576-2019</t>
        </is>
      </c>
      <c r="P314" s="150" t="inlineStr">
        <is>
          <t>表1</t>
        </is>
      </c>
    </row>
    <row r="315">
      <c r="A315" s="150" t="inlineStr">
        <is>
          <t>单元式空调</t>
        </is>
      </c>
      <c r="B315" s="150" t="inlineStr">
        <is>
          <t>model</t>
        </is>
      </c>
      <c r="C315" s="150" t="inlineStr">
        <is>
          <t>型号</t>
        </is>
      </c>
      <c r="D315" s="150" t="inlineStr">
        <is>
          <t>基础信息</t>
        </is>
      </c>
      <c r="E315" s="150" t="inlineStr">
        <is>
          <t>文本</t>
        </is>
      </c>
      <c r="F315" s="150" t="inlineStr">
        <is>
          <t>-</t>
        </is>
      </c>
      <c r="G315" s="150" t="inlineStr">
        <is>
          <t>是</t>
        </is>
      </c>
      <c r="H315" s="150" t="inlineStr">
        <is>
          <t>整行启用时必填</t>
        </is>
      </c>
      <c r="I315" s="150" t="inlineStr">
        <is>
          <t>无</t>
        </is>
      </c>
      <c r="J315" s="150" t="n"/>
      <c r="K315" s="150" t="n"/>
      <c r="L315" s="150" t="str"/>
      <c r="M315" s="150" t="inlineStr">
        <is>
          <t>去首尾空格；统一字母大小写、连接符和全半角；保留原值</t>
        </is>
      </c>
      <c r="N315" s="150" t="inlineStr">
        <is>
          <t>异常时写入自动备注；不改写原值</t>
        </is>
      </c>
      <c r="O315" s="150" t="inlineStr">
        <is>
          <t>GB 19576-2019</t>
        </is>
      </c>
      <c r="P315" s="150" t="inlineStr">
        <is>
          <t>表1</t>
        </is>
      </c>
    </row>
    <row r="316">
      <c r="A316" s="150" t="inlineStr">
        <is>
          <t>单元式空调</t>
        </is>
      </c>
      <c r="B316" s="150" t="inlineStr">
        <is>
          <t>quantity</t>
        </is>
      </c>
      <c r="C316" s="150" t="inlineStr">
        <is>
          <t>数量</t>
        </is>
      </c>
      <c r="D316" s="150" t="inlineStr">
        <is>
          <t>基础信息</t>
        </is>
      </c>
      <c r="E316" s="150" t="inlineStr">
        <is>
          <t>整数</t>
        </is>
      </c>
      <c r="F316" s="150" t="inlineStr">
        <is>
          <t>-</t>
        </is>
      </c>
      <c r="G316" s="150" t="inlineStr">
        <is>
          <t>是</t>
        </is>
      </c>
      <c r="H316" s="150" t="inlineStr">
        <is>
          <t>整行启用时必填</t>
        </is>
      </c>
      <c r="I316" s="150" t="inlineStr">
        <is>
          <t>正整数</t>
        </is>
      </c>
      <c r="J316" s="150" t="n">
        <v>1</v>
      </c>
      <c r="K316" s="150" t="n"/>
      <c r="L316" s="150" t="str"/>
      <c r="M316" s="150" t="inlineStr">
        <is>
          <t>去首尾空格；全角转半角；保留原值，不自动改写</t>
        </is>
      </c>
      <c r="N316" s="150" t="inlineStr">
        <is>
          <t>异常时写入自动备注；不改写原值</t>
        </is>
      </c>
      <c r="O316" s="150" t="inlineStr">
        <is>
          <t>GB 19576-2019</t>
        </is>
      </c>
      <c r="P316" s="150" t="inlineStr">
        <is>
          <t>表1</t>
        </is>
      </c>
    </row>
    <row r="317">
      <c r="A317" s="150" t="inlineStr">
        <is>
          <t>单元式空调</t>
        </is>
      </c>
      <c r="B317" s="150" t="inlineStr">
        <is>
          <t>location</t>
        </is>
      </c>
      <c r="C317" s="150" t="inlineStr">
        <is>
          <t>安装位置</t>
        </is>
      </c>
      <c r="D317" s="150" t="inlineStr">
        <is>
          <t>基础信息</t>
        </is>
      </c>
      <c r="E317" s="150" t="inlineStr">
        <is>
          <t>文本</t>
        </is>
      </c>
      <c r="F317" s="150" t="inlineStr">
        <is>
          <t>-</t>
        </is>
      </c>
      <c r="G317" s="150" t="inlineStr">
        <is>
          <t>是</t>
        </is>
      </c>
      <c r="H317" s="150" t="inlineStr">
        <is>
          <t>可选</t>
        </is>
      </c>
      <c r="I317" s="150" t="inlineStr">
        <is>
          <t>无</t>
        </is>
      </c>
      <c r="J317" s="150" t="n"/>
      <c r="K317" s="150" t="n"/>
      <c r="L317" s="150" t="str"/>
      <c r="M317" s="150" t="inlineStr">
        <is>
          <t>去首尾空格；全角转半角；保留原值，不自动改写</t>
        </is>
      </c>
      <c r="N317" s="150" t="inlineStr">
        <is>
          <t>异常时写入自动备注；不改写原值</t>
        </is>
      </c>
      <c r="O317" s="150" t="inlineStr">
        <is>
          <t>GB 19576-2019</t>
        </is>
      </c>
      <c r="P317" s="150" t="inlineStr">
        <is>
          <t>表1</t>
        </is>
      </c>
    </row>
    <row r="318">
      <c r="A318" s="150" t="inlineStr">
        <is>
          <t>单元式空调</t>
        </is>
      </c>
      <c r="B318" s="150" t="inlineStr">
        <is>
          <t>category</t>
        </is>
      </c>
      <c r="C318" s="150" t="inlineStr">
        <is>
          <t>设备类别</t>
        </is>
      </c>
      <c r="D318" s="150" t="inlineStr">
        <is>
          <t>设备参数</t>
        </is>
      </c>
      <c r="E318" s="150" t="inlineStr">
        <is>
          <t>文本</t>
        </is>
      </c>
      <c r="F318" s="150" t="inlineStr">
        <is>
          <t>-</t>
        </is>
      </c>
      <c r="G318" s="150" t="inlineStr">
        <is>
          <t>是</t>
        </is>
      </c>
      <c r="H318" s="150" t="inlineStr">
        <is>
          <t>整行启用时必填</t>
        </is>
      </c>
      <c r="I318" s="150" t="inlineStr">
        <is>
          <t>停止型下拉；粘贴后由自动备注复核</t>
        </is>
      </c>
      <c r="J318" s="150" t="n"/>
      <c r="K318" s="150" t="n"/>
      <c r="L318" s="150" t="inlineStr">
        <is>
          <t>EV_UNITARY_CATEGORY</t>
        </is>
      </c>
      <c r="M318" s="150" t="inlineStr">
        <is>
          <t>去首尾空格；全角转半角；保留原值，不自动改写</t>
        </is>
      </c>
      <c r="N318" s="150" t="inlineStr">
        <is>
          <t>异常时写入自动备注；不改写原值</t>
        </is>
      </c>
      <c r="O318" s="150" t="inlineStr">
        <is>
          <t>GB 19576-2019</t>
        </is>
      </c>
      <c r="P318" s="150" t="inlineStr">
        <is>
          <t>表1</t>
        </is>
      </c>
    </row>
    <row r="319">
      <c r="A319" s="150" t="inlineStr">
        <is>
          <t>单元式空调</t>
        </is>
      </c>
      <c r="B319" s="150" t="inlineStr">
        <is>
          <t>cooling</t>
        </is>
      </c>
      <c r="C319" s="150" t="inlineStr">
        <is>
          <t>冷却方式</t>
        </is>
      </c>
      <c r="D319" s="150" t="inlineStr">
        <is>
          <t>设备参数</t>
        </is>
      </c>
      <c r="E319" s="150" t="inlineStr">
        <is>
          <t>文本</t>
        </is>
      </c>
      <c r="F319" s="150" t="inlineStr">
        <is>
          <t>-</t>
        </is>
      </c>
      <c r="G319" s="150" t="inlineStr">
        <is>
          <t>是</t>
        </is>
      </c>
      <c r="H319" s="150" t="inlineStr">
        <is>
          <t>整行启用时必填</t>
        </is>
      </c>
      <c r="I319" s="150" t="inlineStr">
        <is>
          <t>停止型下拉；粘贴后由自动备注复核</t>
        </is>
      </c>
      <c r="J319" s="150" t="n"/>
      <c r="K319" s="150" t="n"/>
      <c r="L319" s="150" t="inlineStr">
        <is>
          <t>EV_AC_COOLING_UNITARY</t>
        </is>
      </c>
      <c r="M319" s="150" t="inlineStr">
        <is>
          <t>去首尾空格；全角转半角；保留原值，不自动改写</t>
        </is>
      </c>
      <c r="N319" s="150" t="inlineStr">
        <is>
          <t>异常时写入自动备注；不改写原值</t>
        </is>
      </c>
      <c r="O319" s="150" t="inlineStr">
        <is>
          <t>GB 19576-2019</t>
        </is>
      </c>
      <c r="P319" s="150" t="inlineStr">
        <is>
          <t>表1</t>
        </is>
      </c>
    </row>
    <row r="320">
      <c r="A320" s="150" t="inlineStr">
        <is>
          <t>单元式空调</t>
        </is>
      </c>
      <c r="B320" s="150" t="inlineStr">
        <is>
          <t>mode</t>
        </is>
      </c>
      <c r="C320" s="150" t="inlineStr">
        <is>
          <t>机组类型</t>
        </is>
      </c>
      <c r="D320" s="150" t="inlineStr">
        <is>
          <t>设备参数</t>
        </is>
      </c>
      <c r="E320" s="150" t="inlineStr">
        <is>
          <t>文本</t>
        </is>
      </c>
      <c r="F320" s="150" t="inlineStr">
        <is>
          <t>-</t>
        </is>
      </c>
      <c r="G320" s="150" t="inlineStr">
        <is>
          <t>是</t>
        </is>
      </c>
      <c r="H320" s="150" t="inlineStr">
        <is>
          <t>整行启用时必填</t>
        </is>
      </c>
      <c r="I320" s="150" t="inlineStr">
        <is>
          <t>停止型下拉；粘贴后由自动备注复核</t>
        </is>
      </c>
      <c r="J320" s="150" t="n"/>
      <c r="K320" s="150" t="n"/>
      <c r="L320" s="150" t="inlineStr">
        <is>
          <t>EV_AC_MODE</t>
        </is>
      </c>
      <c r="M320" s="150" t="inlineStr">
        <is>
          <t>去首尾空格；全角转半角；保留原值，不自动改写</t>
        </is>
      </c>
      <c r="N320" s="150" t="inlineStr">
        <is>
          <t>异常时写入自动备注；不改写原值</t>
        </is>
      </c>
      <c r="O320" s="150" t="inlineStr">
        <is>
          <t>GB 19576-2019</t>
        </is>
      </c>
      <c r="P320" s="150" t="inlineStr">
        <is>
          <t>表1</t>
        </is>
      </c>
    </row>
    <row r="321">
      <c r="A321" s="150" t="inlineStr">
        <is>
          <t>单元式空调</t>
        </is>
      </c>
      <c r="B321" s="150" t="inlineStr">
        <is>
          <t>cooling_capacity</t>
        </is>
      </c>
      <c r="C321" s="150" t="inlineStr">
        <is>
          <t>名义制冷量</t>
        </is>
      </c>
      <c r="D321" s="150" t="inlineStr">
        <is>
          <t>设备参数</t>
        </is>
      </c>
      <c r="E321" s="150" t="inlineStr">
        <is>
          <t>数值</t>
        </is>
      </c>
      <c r="F321" s="150" t="inlineStr">
        <is>
          <t>kW</t>
        </is>
      </c>
      <c r="G321" s="150" t="inlineStr">
        <is>
          <t>是</t>
        </is>
      </c>
      <c r="H321" s="150" t="inlineStr">
        <is>
          <t>整行启用时必填</t>
        </is>
      </c>
      <c r="I321" s="150" t="inlineStr">
        <is>
          <t>数值&gt;0</t>
        </is>
      </c>
      <c r="J321" s="150" t="n">
        <v>0</v>
      </c>
      <c r="K321" s="150" t="n"/>
      <c r="L321" s="150" t="str"/>
      <c r="M321" s="150" t="inlineStr">
        <is>
          <t>去首尾空格；全角转半角；保留原值，不自动改写</t>
        </is>
      </c>
      <c r="N321" s="150" t="inlineStr">
        <is>
          <t>异常时写入自动备注；不改写原值</t>
        </is>
      </c>
      <c r="O321" s="150" t="inlineStr">
        <is>
          <t>GB 19576-2019</t>
        </is>
      </c>
      <c r="P321" s="150" t="inlineStr">
        <is>
          <t>表1</t>
        </is>
      </c>
    </row>
    <row r="322">
      <c r="A322" s="150" t="inlineStr">
        <is>
          <t>单元式空调</t>
        </is>
      </c>
      <c r="B322" s="150" t="inlineStr">
        <is>
          <t>rated_power</t>
        </is>
      </c>
      <c r="C322" s="150" t="inlineStr">
        <is>
          <t>额定功率</t>
        </is>
      </c>
      <c r="D322" s="150" t="inlineStr">
        <is>
          <t>设备参数</t>
        </is>
      </c>
      <c r="E322" s="150" t="inlineStr">
        <is>
          <t>数值</t>
        </is>
      </c>
      <c r="F322" s="150" t="inlineStr">
        <is>
          <t>kW</t>
        </is>
      </c>
      <c r="G322" s="150" t="inlineStr">
        <is>
          <t>是</t>
        </is>
      </c>
      <c r="H322" s="150" t="inlineStr">
        <is>
          <t>整行启用时必填</t>
        </is>
      </c>
      <c r="I322" s="150" t="inlineStr">
        <is>
          <t>数值&gt;0</t>
        </is>
      </c>
      <c r="J322" s="150" t="n">
        <v>0</v>
      </c>
      <c r="K322" s="150" t="n"/>
      <c r="L322" s="150" t="str"/>
      <c r="M322" s="150" t="inlineStr">
        <is>
          <t>去首尾空格；全角转半角；保留原值，不自动改写</t>
        </is>
      </c>
      <c r="N322" s="150" t="inlineStr">
        <is>
          <t>异常时写入自动备注；不改写原值</t>
        </is>
      </c>
      <c r="O322" s="150" t="inlineStr">
        <is>
          <t>GB 19576-2019</t>
        </is>
      </c>
      <c r="P322" s="150" t="inlineStr">
        <is>
          <t>表1</t>
        </is>
      </c>
    </row>
    <row r="323">
      <c r="A323" s="150" t="inlineStr">
        <is>
          <t>单元式空调</t>
        </is>
      </c>
      <c r="B323" s="150" t="inlineStr">
        <is>
          <t>indicator_name</t>
        </is>
      </c>
      <c r="C323" s="150" t="inlineStr">
        <is>
          <t>设计指标名称</t>
        </is>
      </c>
      <c r="D323" s="150" t="inlineStr">
        <is>
          <t>设备参数</t>
        </is>
      </c>
      <c r="E323" s="150" t="inlineStr">
        <is>
          <t>公式</t>
        </is>
      </c>
      <c r="F323" s="150" t="inlineStr">
        <is>
          <t>-</t>
        </is>
      </c>
      <c r="G323" s="150" t="inlineStr">
        <is>
          <t>否</t>
        </is>
      </c>
      <c r="H323" s="150" t="inlineStr">
        <is>
          <t>公式生成</t>
        </is>
      </c>
      <c r="I323" s="150" t="inlineStr">
        <is>
          <t>无</t>
        </is>
      </c>
      <c r="J323" s="150" t="n"/>
      <c r="K323" s="150" t="n"/>
      <c r="L323" s="150" t="str"/>
      <c r="M323" s="150" t="inlineStr">
        <is>
          <t>锁定公式列，不清洗</t>
        </is>
      </c>
      <c r="N323" s="150" t="inlineStr">
        <is>
          <t>公式锁定并随表格扩展</t>
        </is>
      </c>
      <c r="O323" s="150" t="inlineStr">
        <is>
          <t>GB 19576-2019</t>
        </is>
      </c>
      <c r="P323" s="150" t="inlineStr">
        <is>
          <t>表1</t>
        </is>
      </c>
    </row>
    <row r="324">
      <c r="A324" s="150" t="inlineStr">
        <is>
          <t>单元式空调</t>
        </is>
      </c>
      <c r="B324" s="150" t="inlineStr">
        <is>
          <t>indicator_value</t>
        </is>
      </c>
      <c r="C324" s="150" t="inlineStr">
        <is>
          <t>设计指标值</t>
        </is>
      </c>
      <c r="D324" s="150" t="inlineStr">
        <is>
          <t>设备参数</t>
        </is>
      </c>
      <c r="E324" s="150" t="inlineStr">
        <is>
          <t>数值</t>
        </is>
      </c>
      <c r="F324" s="150" t="inlineStr">
        <is>
          <t>按指标</t>
        </is>
      </c>
      <c r="G324" s="150" t="inlineStr">
        <is>
          <t>是</t>
        </is>
      </c>
      <c r="H324" s="150" t="inlineStr">
        <is>
          <t>整行启用时必填</t>
        </is>
      </c>
      <c r="I324" s="150" t="inlineStr">
        <is>
          <t>数值&gt;0</t>
        </is>
      </c>
      <c r="J324" s="150" t="n">
        <v>0</v>
      </c>
      <c r="K324" s="150" t="n"/>
      <c r="L324" s="150" t="str"/>
      <c r="M324" s="150" t="inlineStr">
        <is>
          <t>去首尾空格；全角转半角；保留原值，不自动改写</t>
        </is>
      </c>
      <c r="N324" s="150" t="inlineStr">
        <is>
          <t>异常时写入自动备注；不改写原值</t>
        </is>
      </c>
      <c r="O324" s="150" t="inlineStr">
        <is>
          <t>GB 19576-2019</t>
        </is>
      </c>
      <c r="P324" s="150" t="inlineStr">
        <is>
          <t>表1</t>
        </is>
      </c>
    </row>
    <row r="325">
      <c r="A325" s="150" t="inlineStr">
        <is>
          <t>单元式空调</t>
        </is>
      </c>
      <c r="B325" s="150" t="inlineStr">
        <is>
          <t>indicator_unit</t>
        </is>
      </c>
      <c r="C325" s="150" t="inlineStr">
        <is>
          <t>设计指标单位</t>
        </is>
      </c>
      <c r="D325" s="150" t="inlineStr">
        <is>
          <t>设备参数</t>
        </is>
      </c>
      <c r="E325" s="150" t="inlineStr">
        <is>
          <t>公式</t>
        </is>
      </c>
      <c r="F325" s="150" t="inlineStr">
        <is>
          <t>-</t>
        </is>
      </c>
      <c r="G325" s="150" t="inlineStr">
        <is>
          <t>否</t>
        </is>
      </c>
      <c r="H325" s="150" t="inlineStr">
        <is>
          <t>公式生成</t>
        </is>
      </c>
      <c r="I325" s="150" t="inlineStr">
        <is>
          <t>无</t>
        </is>
      </c>
      <c r="J325" s="150" t="n"/>
      <c r="K325" s="150" t="n"/>
      <c r="L325" s="150" t="str"/>
      <c r="M325" s="150" t="inlineStr">
        <is>
          <t>锁定公式列，不清洗</t>
        </is>
      </c>
      <c r="N325" s="150" t="inlineStr">
        <is>
          <t>公式锁定并随表格扩展</t>
        </is>
      </c>
      <c r="O325" s="150" t="inlineStr">
        <is>
          <t>GB 19576-2019</t>
        </is>
      </c>
      <c r="P325" s="150" t="inlineStr">
        <is>
          <t>表1</t>
        </is>
      </c>
    </row>
    <row r="326">
      <c r="A326" s="150" t="inlineStr">
        <is>
          <t>单元式空调</t>
        </is>
      </c>
      <c r="B326" s="150" t="inlineStr">
        <is>
          <t>level1</t>
        </is>
      </c>
      <c r="C326" s="150" t="inlineStr">
        <is>
          <t>1级对应指标</t>
        </is>
      </c>
      <c r="D326" s="150" t="inlineStr">
        <is>
          <t>标准查询结果</t>
        </is>
      </c>
      <c r="E326" s="150" t="inlineStr">
        <is>
          <t>数值</t>
        </is>
      </c>
      <c r="F326" s="150" t="inlineStr">
        <is>
          <t>按指标</t>
        </is>
      </c>
      <c r="G326" s="150" t="inlineStr">
        <is>
          <t>否</t>
        </is>
      </c>
      <c r="H326" s="150" t="inlineStr">
        <is>
          <t>本阶段锁定预留</t>
        </is>
      </c>
      <c r="I326" s="150" t="inlineStr">
        <is>
          <t>无</t>
        </is>
      </c>
      <c r="J326" s="150" t="n"/>
      <c r="K326" s="150" t="n"/>
      <c r="L326" s="150" t="str"/>
      <c r="M326" s="150" t="inlineStr">
        <is>
          <t>锁定预留，不清洗</t>
        </is>
      </c>
      <c r="N326" s="150" t="inlineStr">
        <is>
          <t>本阶段不查询、不判定</t>
        </is>
      </c>
      <c r="O326" s="150" t="inlineStr">
        <is>
          <t>GB 19576-2019</t>
        </is>
      </c>
      <c r="P326" s="150" t="inlineStr">
        <is>
          <t>表1</t>
        </is>
      </c>
    </row>
    <row r="327">
      <c r="A327" s="150" t="inlineStr">
        <is>
          <t>单元式空调</t>
        </is>
      </c>
      <c r="B327" s="150" t="inlineStr">
        <is>
          <t>level2</t>
        </is>
      </c>
      <c r="C327" s="150" t="inlineStr">
        <is>
          <t>2级对应指标</t>
        </is>
      </c>
      <c r="D327" s="150" t="inlineStr">
        <is>
          <t>标准查询结果</t>
        </is>
      </c>
      <c r="E327" s="150" t="inlineStr">
        <is>
          <t>数值</t>
        </is>
      </c>
      <c r="F327" s="150" t="inlineStr">
        <is>
          <t>按指标</t>
        </is>
      </c>
      <c r="G327" s="150" t="inlineStr">
        <is>
          <t>否</t>
        </is>
      </c>
      <c r="H327" s="150" t="inlineStr">
        <is>
          <t>本阶段锁定预留</t>
        </is>
      </c>
      <c r="I327" s="150" t="inlineStr">
        <is>
          <t>无</t>
        </is>
      </c>
      <c r="J327" s="150" t="n"/>
      <c r="K327" s="150" t="n"/>
      <c r="L327" s="150" t="str"/>
      <c r="M327" s="150" t="inlineStr">
        <is>
          <t>锁定预留，不清洗</t>
        </is>
      </c>
      <c r="N327" s="150" t="inlineStr">
        <is>
          <t>本阶段不查询、不判定</t>
        </is>
      </c>
      <c r="O327" s="150" t="inlineStr">
        <is>
          <t>GB 19576-2019</t>
        </is>
      </c>
      <c r="P327" s="150" t="inlineStr">
        <is>
          <t>表1</t>
        </is>
      </c>
    </row>
    <row r="328">
      <c r="A328" s="150" t="inlineStr">
        <is>
          <t>单元式空调</t>
        </is>
      </c>
      <c r="B328" s="150" t="inlineStr">
        <is>
          <t>level3</t>
        </is>
      </c>
      <c r="C328" s="150" t="inlineStr">
        <is>
          <t>3级对应指标</t>
        </is>
      </c>
      <c r="D328" s="150" t="inlineStr">
        <is>
          <t>标准查询结果</t>
        </is>
      </c>
      <c r="E328" s="150" t="inlineStr">
        <is>
          <t>数值</t>
        </is>
      </c>
      <c r="F328" s="150" t="inlineStr">
        <is>
          <t>按指标</t>
        </is>
      </c>
      <c r="G328" s="150" t="inlineStr">
        <is>
          <t>否</t>
        </is>
      </c>
      <c r="H328" s="150" t="inlineStr">
        <is>
          <t>本阶段锁定预留</t>
        </is>
      </c>
      <c r="I328" s="150" t="inlineStr">
        <is>
          <t>无</t>
        </is>
      </c>
      <c r="J328" s="150" t="n"/>
      <c r="K328" s="150" t="n"/>
      <c r="L328" s="150" t="str"/>
      <c r="M328" s="150" t="inlineStr">
        <is>
          <t>锁定预留，不清洗</t>
        </is>
      </c>
      <c r="N328" s="150" t="inlineStr">
        <is>
          <t>本阶段不查询、不判定</t>
        </is>
      </c>
      <c r="O328" s="150" t="inlineStr">
        <is>
          <t>GB 19576-2019</t>
        </is>
      </c>
      <c r="P328" s="150" t="inlineStr">
        <is>
          <t>表1</t>
        </is>
      </c>
    </row>
    <row r="329">
      <c r="A329" s="150" t="inlineStr">
        <is>
          <t>单元式空调</t>
        </is>
      </c>
      <c r="B329" s="150" t="inlineStr">
        <is>
          <t>conclusion</t>
        </is>
      </c>
      <c r="C329" s="150" t="inlineStr">
        <is>
          <t>能效等级</t>
        </is>
      </c>
      <c r="D329" s="150" t="inlineStr">
        <is>
          <t>结论</t>
        </is>
      </c>
      <c r="E329" s="150" t="inlineStr">
        <is>
          <t>文本</t>
        </is>
      </c>
      <c r="F329" s="150" t="inlineStr">
        <is>
          <t>-</t>
        </is>
      </c>
      <c r="G329" s="150" t="inlineStr">
        <is>
          <t>否</t>
        </is>
      </c>
      <c r="H329" s="150" t="inlineStr">
        <is>
          <t>本阶段锁定预留</t>
        </is>
      </c>
      <c r="I329" s="150" t="inlineStr">
        <is>
          <t>无</t>
        </is>
      </c>
      <c r="J329" s="150" t="n"/>
      <c r="K329" s="150" t="n"/>
      <c r="L329" s="150" t="str"/>
      <c r="M329" s="150" t="inlineStr">
        <is>
          <t>锁定预留，不清洗</t>
        </is>
      </c>
      <c r="N329" s="150" t="inlineStr">
        <is>
          <t>本阶段不查询、不判定</t>
        </is>
      </c>
      <c r="O329" s="150" t="inlineStr">
        <is>
          <t>GB 19576-2019</t>
        </is>
      </c>
      <c r="P329" s="150" t="inlineStr">
        <is>
          <t>表1</t>
        </is>
      </c>
    </row>
    <row r="330">
      <c r="A330" s="150" t="inlineStr">
        <is>
          <t>单元式空调</t>
        </is>
      </c>
      <c r="B330" s="150" t="inlineStr">
        <is>
          <t>photo</t>
        </is>
      </c>
      <c r="C330" s="150" t="inlineStr">
        <is>
          <t>铭牌照片</t>
        </is>
      </c>
      <c r="D330" s="150" t="inlineStr">
        <is>
          <t>附件备注</t>
        </is>
      </c>
      <c r="E330" s="150" t="inlineStr">
        <is>
          <t>图片</t>
        </is>
      </c>
      <c r="F330" s="150" t="inlineStr">
        <is>
          <t>-</t>
        </is>
      </c>
      <c r="G330" s="150" t="inlineStr">
        <is>
          <t>是</t>
        </is>
      </c>
      <c r="H330" s="150" t="inlineStr">
        <is>
          <t>整行启用时必填</t>
        </is>
      </c>
      <c r="I330" s="150" t="inlineStr">
        <is>
          <t>无</t>
        </is>
      </c>
      <c r="J330" s="150" t="n"/>
      <c r="K330" s="150" t="n"/>
      <c r="L330" s="150" t="str"/>
      <c r="M330" s="150" t="inlineStr">
        <is>
          <t>仅接受Excel“置于单元格”图片；不接受浮动图片</t>
        </is>
      </c>
      <c r="N330" s="150" t="inlineStr">
        <is>
          <t>为空时提示缺少铭牌照片</t>
        </is>
      </c>
      <c r="O330" s="150" t="inlineStr">
        <is>
          <t>GB 19576-2019</t>
        </is>
      </c>
      <c r="P330" s="150" t="inlineStr">
        <is>
          <t>表1</t>
        </is>
      </c>
    </row>
    <row r="331">
      <c r="A331" s="150" t="inlineStr">
        <is>
          <t>单元式空调</t>
        </is>
      </c>
      <c r="B331" s="150" t="inlineStr">
        <is>
          <t>fill_note</t>
        </is>
      </c>
      <c r="C331" s="150" t="inlineStr">
        <is>
          <t>填表备注</t>
        </is>
      </c>
      <c r="D331" s="150" t="inlineStr">
        <is>
          <t>附件备注</t>
        </is>
      </c>
      <c r="E331" s="150" t="inlineStr">
        <is>
          <t>文本</t>
        </is>
      </c>
      <c r="F331" s="150" t="inlineStr">
        <is>
          <t>-</t>
        </is>
      </c>
      <c r="G331" s="150" t="inlineStr">
        <is>
          <t>是</t>
        </is>
      </c>
      <c r="H331" s="150" t="inlineStr">
        <is>
          <t>可选</t>
        </is>
      </c>
      <c r="I331" s="150" t="inlineStr">
        <is>
          <t>无</t>
        </is>
      </c>
      <c r="J331" s="150" t="n"/>
      <c r="K331" s="150" t="n"/>
      <c r="L331" s="150" t="str"/>
      <c r="M331" s="150" t="inlineStr">
        <is>
          <t>去首尾空格；全角转半角；保留原值，不自动改写</t>
        </is>
      </c>
      <c r="N331" s="150" t="inlineStr">
        <is>
          <t>异常时写入自动备注；不改写原值</t>
        </is>
      </c>
      <c r="O331" s="150" t="inlineStr">
        <is>
          <t>GB 19576-2019</t>
        </is>
      </c>
      <c r="P331" s="150" t="inlineStr">
        <is>
          <t>表1</t>
        </is>
      </c>
    </row>
    <row r="332">
      <c r="A332" s="150" t="inlineStr">
        <is>
          <t>单元式空调</t>
        </is>
      </c>
      <c r="B332" s="150" t="inlineStr">
        <is>
          <t>auto_note</t>
        </is>
      </c>
      <c r="C332" s="150" t="inlineStr">
        <is>
          <t>自动备注</t>
        </is>
      </c>
      <c r="D332" s="150" t="inlineStr">
        <is>
          <t>附件备注</t>
        </is>
      </c>
      <c r="E332" s="150" t="inlineStr">
        <is>
          <t>公式</t>
        </is>
      </c>
      <c r="F332" s="150" t="inlineStr">
        <is>
          <t>-</t>
        </is>
      </c>
      <c r="G332" s="150" t="inlineStr">
        <is>
          <t>否</t>
        </is>
      </c>
      <c r="H332" s="150" t="inlineStr">
        <is>
          <t>公式生成</t>
        </is>
      </c>
      <c r="I332" s="150" t="inlineStr">
        <is>
          <t>无</t>
        </is>
      </c>
      <c r="J332" s="150" t="n"/>
      <c r="K332" s="150" t="n"/>
      <c r="L332" s="150" t="str"/>
      <c r="M332" s="150" t="inlineStr">
        <is>
          <t>锁定公式列，不清洗</t>
        </is>
      </c>
      <c r="N332" s="150" t="inlineStr">
        <is>
          <t>公式锁定并随表格扩展</t>
        </is>
      </c>
      <c r="O332" s="150" t="inlineStr">
        <is>
          <t>GB 19576-2019</t>
        </is>
      </c>
      <c r="P332" s="150" t="inlineStr">
        <is>
          <t>表1</t>
        </is>
      </c>
    </row>
    <row r="333">
      <c r="A333" s="150" t="inlineStr">
        <is>
          <t>多联式空调</t>
        </is>
      </c>
      <c r="B333" s="150" t="inlineStr">
        <is>
          <t>seq</t>
        </is>
      </c>
      <c r="C333" s="150" t="inlineStr">
        <is>
          <t>序号</t>
        </is>
      </c>
      <c r="D333" s="150" t="inlineStr">
        <is>
          <t>基础信息</t>
        </is>
      </c>
      <c r="E333" s="150" t="inlineStr">
        <is>
          <t>整数</t>
        </is>
      </c>
      <c r="F333" s="150" t="inlineStr">
        <is>
          <t>-</t>
        </is>
      </c>
      <c r="G333" s="150" t="inlineStr">
        <is>
          <t>否</t>
        </is>
      </c>
      <c r="H333" s="150" t="inlineStr">
        <is>
          <t>公式生成</t>
        </is>
      </c>
      <c r="I333" s="150" t="inlineStr">
        <is>
          <t>无</t>
        </is>
      </c>
      <c r="J333" s="150" t="n"/>
      <c r="K333" s="150" t="n"/>
      <c r="L333" s="150" t="str"/>
      <c r="M333" s="150" t="inlineStr">
        <is>
          <t>锁定公式列，不清洗</t>
        </is>
      </c>
      <c r="N333" s="150" t="inlineStr">
        <is>
          <t>公式锁定并随表格扩展</t>
        </is>
      </c>
      <c r="O333" s="150" t="inlineStr">
        <is>
          <t>GB 21454-2021</t>
        </is>
      </c>
      <c r="P333" s="150" t="inlineStr">
        <is>
          <t>表1～表4</t>
        </is>
      </c>
    </row>
    <row r="334">
      <c r="A334" s="150" t="inlineStr">
        <is>
          <t>多联式空调</t>
        </is>
      </c>
      <c r="B334" s="150" t="inlineStr">
        <is>
          <t>device_name</t>
        </is>
      </c>
      <c r="C334" s="150" t="inlineStr">
        <is>
          <t>设备名称</t>
        </is>
      </c>
      <c r="D334" s="150" t="inlineStr">
        <is>
          <t>基础信息</t>
        </is>
      </c>
      <c r="E334" s="150" t="inlineStr">
        <is>
          <t>文本</t>
        </is>
      </c>
      <c r="F334" s="150" t="inlineStr">
        <is>
          <t>-</t>
        </is>
      </c>
      <c r="G334" s="150" t="inlineStr">
        <is>
          <t>是</t>
        </is>
      </c>
      <c r="H334" s="150" t="inlineStr">
        <is>
          <t>整行启用时必填</t>
        </is>
      </c>
      <c r="I334" s="150" t="inlineStr">
        <is>
          <t>无</t>
        </is>
      </c>
      <c r="J334" s="150" t="n"/>
      <c r="K334" s="150" t="n"/>
      <c r="L334" s="150" t="str"/>
      <c r="M334" s="150" t="inlineStr">
        <is>
          <t>去首尾空格；全角转半角；保留原值，不自动改写</t>
        </is>
      </c>
      <c r="N334" s="150" t="inlineStr">
        <is>
          <t>异常时写入自动备注；不改写原值</t>
        </is>
      </c>
      <c r="O334" s="150" t="inlineStr">
        <is>
          <t>GB 21454-2021</t>
        </is>
      </c>
      <c r="P334" s="150" t="inlineStr">
        <is>
          <t>表1～表4</t>
        </is>
      </c>
    </row>
    <row r="335">
      <c r="A335" s="150" t="inlineStr">
        <is>
          <t>多联式空调</t>
        </is>
      </c>
      <c r="B335" s="150" t="inlineStr">
        <is>
          <t>model</t>
        </is>
      </c>
      <c r="C335" s="150" t="inlineStr">
        <is>
          <t>型号</t>
        </is>
      </c>
      <c r="D335" s="150" t="inlineStr">
        <is>
          <t>基础信息</t>
        </is>
      </c>
      <c r="E335" s="150" t="inlineStr">
        <is>
          <t>文本</t>
        </is>
      </c>
      <c r="F335" s="150" t="inlineStr">
        <is>
          <t>-</t>
        </is>
      </c>
      <c r="G335" s="150" t="inlineStr">
        <is>
          <t>是</t>
        </is>
      </c>
      <c r="H335" s="150" t="inlineStr">
        <is>
          <t>整行启用时必填</t>
        </is>
      </c>
      <c r="I335" s="150" t="inlineStr">
        <is>
          <t>无</t>
        </is>
      </c>
      <c r="J335" s="150" t="n"/>
      <c r="K335" s="150" t="n"/>
      <c r="L335" s="150" t="str"/>
      <c r="M335" s="150" t="inlineStr">
        <is>
          <t>去首尾空格；统一字母大小写、连接符和全半角；保留原值</t>
        </is>
      </c>
      <c r="N335" s="150" t="inlineStr">
        <is>
          <t>异常时写入自动备注；不改写原值</t>
        </is>
      </c>
      <c r="O335" s="150" t="inlineStr">
        <is>
          <t>GB 21454-2021</t>
        </is>
      </c>
      <c r="P335" s="150" t="inlineStr">
        <is>
          <t>表1～表4</t>
        </is>
      </c>
    </row>
    <row r="336">
      <c r="A336" s="150" t="inlineStr">
        <is>
          <t>多联式空调</t>
        </is>
      </c>
      <c r="B336" s="150" t="inlineStr">
        <is>
          <t>quantity</t>
        </is>
      </c>
      <c r="C336" s="150" t="inlineStr">
        <is>
          <t>数量</t>
        </is>
      </c>
      <c r="D336" s="150" t="inlineStr">
        <is>
          <t>基础信息</t>
        </is>
      </c>
      <c r="E336" s="150" t="inlineStr">
        <is>
          <t>整数</t>
        </is>
      </c>
      <c r="F336" s="150" t="inlineStr">
        <is>
          <t>-</t>
        </is>
      </c>
      <c r="G336" s="150" t="inlineStr">
        <is>
          <t>是</t>
        </is>
      </c>
      <c r="H336" s="150" t="inlineStr">
        <is>
          <t>整行启用时必填</t>
        </is>
      </c>
      <c r="I336" s="150" t="inlineStr">
        <is>
          <t>正整数</t>
        </is>
      </c>
      <c r="J336" s="150" t="n">
        <v>1</v>
      </c>
      <c r="K336" s="150" t="n"/>
      <c r="L336" s="150" t="str"/>
      <c r="M336" s="150" t="inlineStr">
        <is>
          <t>去首尾空格；全角转半角；保留原值，不自动改写</t>
        </is>
      </c>
      <c r="N336" s="150" t="inlineStr">
        <is>
          <t>异常时写入自动备注；不改写原值</t>
        </is>
      </c>
      <c r="O336" s="150" t="inlineStr">
        <is>
          <t>GB 21454-2021</t>
        </is>
      </c>
      <c r="P336" s="150" t="inlineStr">
        <is>
          <t>表1～表4</t>
        </is>
      </c>
    </row>
    <row r="337">
      <c r="A337" s="150" t="inlineStr">
        <is>
          <t>多联式空调</t>
        </is>
      </c>
      <c r="B337" s="150" t="inlineStr">
        <is>
          <t>location</t>
        </is>
      </c>
      <c r="C337" s="150" t="inlineStr">
        <is>
          <t>安装位置</t>
        </is>
      </c>
      <c r="D337" s="150" t="inlineStr">
        <is>
          <t>基础信息</t>
        </is>
      </c>
      <c r="E337" s="150" t="inlineStr">
        <is>
          <t>文本</t>
        </is>
      </c>
      <c r="F337" s="150" t="inlineStr">
        <is>
          <t>-</t>
        </is>
      </c>
      <c r="G337" s="150" t="inlineStr">
        <is>
          <t>是</t>
        </is>
      </c>
      <c r="H337" s="150" t="inlineStr">
        <is>
          <t>可选</t>
        </is>
      </c>
      <c r="I337" s="150" t="inlineStr">
        <is>
          <t>无</t>
        </is>
      </c>
      <c r="J337" s="150" t="n"/>
      <c r="K337" s="150" t="n"/>
      <c r="L337" s="150" t="str"/>
      <c r="M337" s="150" t="inlineStr">
        <is>
          <t>去首尾空格；全角转半角；保留原值，不自动改写</t>
        </is>
      </c>
      <c r="N337" s="150" t="inlineStr">
        <is>
          <t>异常时写入自动备注；不改写原值</t>
        </is>
      </c>
      <c r="O337" s="150" t="inlineStr">
        <is>
          <t>GB 21454-2021</t>
        </is>
      </c>
      <c r="P337" s="150" t="inlineStr">
        <is>
          <t>表1～表4</t>
        </is>
      </c>
    </row>
    <row r="338">
      <c r="A338" s="150" t="inlineStr">
        <is>
          <t>多联式空调</t>
        </is>
      </c>
      <c r="B338" s="150" t="inlineStr">
        <is>
          <t>category</t>
        </is>
      </c>
      <c r="C338" s="150" t="inlineStr">
        <is>
          <t>设备类别</t>
        </is>
      </c>
      <c r="D338" s="150" t="inlineStr">
        <is>
          <t>设备参数</t>
        </is>
      </c>
      <c r="E338" s="150" t="inlineStr">
        <is>
          <t>文本</t>
        </is>
      </c>
      <c r="F338" s="150" t="inlineStr">
        <is>
          <t>-</t>
        </is>
      </c>
      <c r="G338" s="150" t="inlineStr">
        <is>
          <t>是</t>
        </is>
      </c>
      <c r="H338" s="150" t="inlineStr">
        <is>
          <t>整行启用时必填</t>
        </is>
      </c>
      <c r="I338" s="150" t="inlineStr">
        <is>
          <t>停止型下拉；粘贴后由自动备注复核</t>
        </is>
      </c>
      <c r="J338" s="150" t="n"/>
      <c r="K338" s="150" t="n"/>
      <c r="L338" s="150" t="inlineStr">
        <is>
          <t>EV_MULTI_CATEGORY</t>
        </is>
      </c>
      <c r="M338" s="150" t="inlineStr">
        <is>
          <t>去首尾空格；全角转半角；保留原值，不自动改写</t>
        </is>
      </c>
      <c r="N338" s="150" t="inlineStr">
        <is>
          <t>异常时写入自动备注；不改写原值</t>
        </is>
      </c>
      <c r="O338" s="150" t="inlineStr">
        <is>
          <t>GB 21454-2021</t>
        </is>
      </c>
      <c r="P338" s="150" t="inlineStr">
        <is>
          <t>表1～表4</t>
        </is>
      </c>
    </row>
    <row r="339">
      <c r="A339" s="150" t="inlineStr">
        <is>
          <t>多联式空调</t>
        </is>
      </c>
      <c r="B339" s="150" t="inlineStr">
        <is>
          <t>water_source</t>
        </is>
      </c>
      <c r="C339" s="150" t="inlineStr">
        <is>
          <t>水冷式类型</t>
        </is>
      </c>
      <c r="D339" s="150" t="inlineStr">
        <is>
          <t>设备参数</t>
        </is>
      </c>
      <c r="E339" s="150" t="inlineStr">
        <is>
          <t>文本</t>
        </is>
      </c>
      <c r="F339" s="150" t="inlineStr">
        <is>
          <t>-</t>
        </is>
      </c>
      <c r="G339" s="150" t="inlineStr">
        <is>
          <t>是</t>
        </is>
      </c>
      <c r="H339" s="150" t="inlineStr">
        <is>
          <t>仅水冷式多联机选择</t>
        </is>
      </c>
      <c r="I339" s="150" t="inlineStr">
        <is>
          <t>关联停止型下拉；粘贴后由自动备注复核</t>
        </is>
      </c>
      <c r="J339" s="150" t="n"/>
      <c r="K339" s="150" t="n"/>
      <c r="L339" s="150" t="inlineStr">
        <is>
          <t>EV_WATER_SOURCE</t>
        </is>
      </c>
      <c r="M339" s="150" t="inlineStr">
        <is>
          <t>去首尾空格；全角转半角；保留原值，不自动改写</t>
        </is>
      </c>
      <c r="N339" s="150" t="inlineStr">
        <is>
          <t>异常时写入自动备注；不改写原值</t>
        </is>
      </c>
      <c r="O339" s="150" t="inlineStr">
        <is>
          <t>GB 21454-2021</t>
        </is>
      </c>
      <c r="P339" s="150" t="inlineStr">
        <is>
          <t>表1～表4</t>
        </is>
      </c>
    </row>
    <row r="340">
      <c r="A340" s="150" t="inlineStr">
        <is>
          <t>多联式空调</t>
        </is>
      </c>
      <c r="B340" s="150" t="inlineStr">
        <is>
          <t>cooling_capacity</t>
        </is>
      </c>
      <c r="C340" s="150" t="inlineStr">
        <is>
          <t>名义制冷量</t>
        </is>
      </c>
      <c r="D340" s="150" t="inlineStr">
        <is>
          <t>设备参数</t>
        </is>
      </c>
      <c r="E340" s="150" t="inlineStr">
        <is>
          <t>数值</t>
        </is>
      </c>
      <c r="F340" s="150" t="inlineStr">
        <is>
          <t>kW</t>
        </is>
      </c>
      <c r="G340" s="150" t="inlineStr">
        <is>
          <t>是</t>
        </is>
      </c>
      <c r="H340" s="150" t="inlineStr">
        <is>
          <t>非低温类别条件必填</t>
        </is>
      </c>
      <c r="I340" s="150" t="inlineStr">
        <is>
          <t>数值&gt;0</t>
        </is>
      </c>
      <c r="J340" s="150" t="n">
        <v>0</v>
      </c>
      <c r="K340" s="150" t="n"/>
      <c r="L340" s="150" t="str"/>
      <c r="M340" s="150" t="inlineStr">
        <is>
          <t>去首尾空格；全角转半角；保留原值，不自动改写</t>
        </is>
      </c>
      <c r="N340" s="150" t="inlineStr">
        <is>
          <t>异常时写入自动备注；不改写原值</t>
        </is>
      </c>
      <c r="O340" s="150" t="inlineStr">
        <is>
          <t>GB 21454-2021</t>
        </is>
      </c>
      <c r="P340" s="150" t="inlineStr">
        <is>
          <t>表1～表4</t>
        </is>
      </c>
    </row>
    <row r="341">
      <c r="A341" s="150" t="inlineStr">
        <is>
          <t>多联式空调</t>
        </is>
      </c>
      <c r="B341" s="150" t="inlineStr">
        <is>
          <t>heating_capacity</t>
        </is>
      </c>
      <c r="C341" s="150" t="inlineStr">
        <is>
          <t>名义制热量</t>
        </is>
      </c>
      <c r="D341" s="150" t="inlineStr">
        <is>
          <t>设备参数</t>
        </is>
      </c>
      <c r="E341" s="150" t="inlineStr">
        <is>
          <t>数值</t>
        </is>
      </c>
      <c r="F341" s="150" t="inlineStr">
        <is>
          <t>kW</t>
        </is>
      </c>
      <c r="G341" s="150" t="inlineStr">
        <is>
          <t>是</t>
        </is>
      </c>
      <c r="H341" s="150" t="inlineStr">
        <is>
          <t>低温类别条件必填</t>
        </is>
      </c>
      <c r="I341" s="150" t="inlineStr">
        <is>
          <t>数值&gt;0</t>
        </is>
      </c>
      <c r="J341" s="150" t="n">
        <v>0</v>
      </c>
      <c r="K341" s="150" t="n"/>
      <c r="L341" s="150" t="str"/>
      <c r="M341" s="150" t="inlineStr">
        <is>
          <t>去首尾空格；全角转半角；保留原值，不自动改写</t>
        </is>
      </c>
      <c r="N341" s="150" t="inlineStr">
        <is>
          <t>异常时写入自动备注；不改写原值</t>
        </is>
      </c>
      <c r="O341" s="150" t="inlineStr">
        <is>
          <t>GB 21454-2021</t>
        </is>
      </c>
      <c r="P341" s="150" t="inlineStr">
        <is>
          <t>表1～表4</t>
        </is>
      </c>
    </row>
    <row r="342">
      <c r="A342" s="150" t="inlineStr">
        <is>
          <t>多联式空调</t>
        </is>
      </c>
      <c r="B342" s="150" t="inlineStr">
        <is>
          <t>rated_power</t>
        </is>
      </c>
      <c r="C342" s="150" t="inlineStr">
        <is>
          <t>额定功率</t>
        </is>
      </c>
      <c r="D342" s="150" t="inlineStr">
        <is>
          <t>设备参数</t>
        </is>
      </c>
      <c r="E342" s="150" t="inlineStr">
        <is>
          <t>数值</t>
        </is>
      </c>
      <c r="F342" s="150" t="inlineStr">
        <is>
          <t>kW</t>
        </is>
      </c>
      <c r="G342" s="150" t="inlineStr">
        <is>
          <t>是</t>
        </is>
      </c>
      <c r="H342" s="150" t="inlineStr">
        <is>
          <t>整行启用时必填</t>
        </is>
      </c>
      <c r="I342" s="150" t="inlineStr">
        <is>
          <t>数值&gt;0</t>
        </is>
      </c>
      <c r="J342" s="150" t="n">
        <v>0</v>
      </c>
      <c r="K342" s="150" t="n"/>
      <c r="L342" s="150" t="str"/>
      <c r="M342" s="150" t="inlineStr">
        <is>
          <t>去首尾空格；全角转半角；保留原值，不自动改写</t>
        </is>
      </c>
      <c r="N342" s="150" t="inlineStr">
        <is>
          <t>异常时写入自动备注；不改写原值</t>
        </is>
      </c>
      <c r="O342" s="150" t="inlineStr">
        <is>
          <t>GB 21454-2021</t>
        </is>
      </c>
      <c r="P342" s="150" t="inlineStr">
        <is>
          <t>表1～表4</t>
        </is>
      </c>
    </row>
    <row r="343">
      <c r="A343" s="150" t="inlineStr">
        <is>
          <t>多联式空调</t>
        </is>
      </c>
      <c r="B343" s="150" t="inlineStr">
        <is>
          <t>external_static</t>
        </is>
      </c>
      <c r="C343" s="150" t="inlineStr">
        <is>
          <t>机外静压</t>
        </is>
      </c>
      <c r="D343" s="150" t="inlineStr">
        <is>
          <t>设备参数</t>
        </is>
      </c>
      <c r="E343" s="150" t="inlineStr">
        <is>
          <t>数值</t>
        </is>
      </c>
      <c r="F343" s="150" t="inlineStr">
        <is>
          <t>Pa</t>
        </is>
      </c>
      <c r="G343" s="150" t="inlineStr">
        <is>
          <t>是</t>
        </is>
      </c>
      <c r="H343" s="150" t="inlineStr">
        <is>
          <t>整行启用时必填</t>
        </is>
      </c>
      <c r="I343" s="150" t="inlineStr">
        <is>
          <t>数值≥0</t>
        </is>
      </c>
      <c r="J343" s="150" t="n">
        <v>0</v>
      </c>
      <c r="K343" s="150" t="n"/>
      <c r="L343" s="150" t="str"/>
      <c r="M343" s="150" t="inlineStr">
        <is>
          <t>去首尾空格；全角转半角；保留原值，不自动改写</t>
        </is>
      </c>
      <c r="N343" s="150" t="inlineStr">
        <is>
          <t>异常时写入自动备注；不改写原值</t>
        </is>
      </c>
      <c r="O343" s="150" t="inlineStr">
        <is>
          <t>GB 21454-2021</t>
        </is>
      </c>
      <c r="P343" s="150" t="inlineStr">
        <is>
          <t>表1～表4</t>
        </is>
      </c>
    </row>
    <row r="344">
      <c r="A344" s="150" t="inlineStr">
        <is>
          <t>多联式空调</t>
        </is>
      </c>
      <c r="B344" s="150" t="inlineStr">
        <is>
          <t>primary_metric_name</t>
        </is>
      </c>
      <c r="C344" s="150" t="inlineStr">
        <is>
          <t>分级指标名称（自动）</t>
        </is>
      </c>
      <c r="D344" s="150" t="inlineStr">
        <is>
          <t>设备参数</t>
        </is>
      </c>
      <c r="E344" s="150" t="inlineStr">
        <is>
          <t>公式</t>
        </is>
      </c>
      <c r="F344" s="150" t="inlineStr">
        <is>
          <t>-</t>
        </is>
      </c>
      <c r="G344" s="150" t="inlineStr">
        <is>
          <t>否</t>
        </is>
      </c>
      <c r="H344" s="150" t="inlineStr">
        <is>
          <t>公式生成</t>
        </is>
      </c>
      <c r="I344" s="150" t="inlineStr">
        <is>
          <t>无</t>
        </is>
      </c>
      <c r="J344" s="150" t="n"/>
      <c r="K344" s="150" t="n"/>
      <c r="L344" s="150" t="str"/>
      <c r="M344" s="150" t="inlineStr">
        <is>
          <t>锁定公式列，不清洗</t>
        </is>
      </c>
      <c r="N344" s="150" t="inlineStr">
        <is>
          <t>公式锁定并随表格扩展</t>
        </is>
      </c>
      <c r="O344" s="150" t="inlineStr">
        <is>
          <t>GB 21454-2021</t>
        </is>
      </c>
      <c r="P344" s="150" t="inlineStr">
        <is>
          <t>表1～表4</t>
        </is>
      </c>
    </row>
    <row r="345">
      <c r="A345" s="150" t="inlineStr">
        <is>
          <t>多联式空调</t>
        </is>
      </c>
      <c r="B345" s="150" t="inlineStr">
        <is>
          <t>primary_metric_value</t>
        </is>
      </c>
      <c r="C345" s="150" t="inlineStr">
        <is>
          <t>分级指标设计值</t>
        </is>
      </c>
      <c r="D345" s="150" t="inlineStr">
        <is>
          <t>设备参数</t>
        </is>
      </c>
      <c r="E345" s="150" t="inlineStr">
        <is>
          <t>数值</t>
        </is>
      </c>
      <c r="F345" s="150" t="inlineStr">
        <is>
          <t>无量纲</t>
        </is>
      </c>
      <c r="G345" s="150" t="inlineStr">
        <is>
          <t>是</t>
        </is>
      </c>
      <c r="H345" s="150" t="inlineStr">
        <is>
          <t>整行启用时必填</t>
        </is>
      </c>
      <c r="I345" s="150" t="inlineStr">
        <is>
          <t>数值&gt;0</t>
        </is>
      </c>
      <c r="J345" s="150" t="n">
        <v>0</v>
      </c>
      <c r="K345" s="150" t="n"/>
      <c r="L345" s="150" t="str"/>
      <c r="M345" s="150" t="inlineStr">
        <is>
          <t>去首尾空格；全角转半角；保留原值，不自动改写</t>
        </is>
      </c>
      <c r="N345" s="150" t="inlineStr">
        <is>
          <t>异常时写入自动备注；不改写原值</t>
        </is>
      </c>
      <c r="O345" s="150" t="inlineStr">
        <is>
          <t>GB 21454-2021</t>
        </is>
      </c>
      <c r="P345" s="150" t="inlineStr">
        <is>
          <t>表1～表4</t>
        </is>
      </c>
    </row>
    <row r="346">
      <c r="A346" s="150" t="inlineStr">
        <is>
          <t>多联式空调</t>
        </is>
      </c>
      <c r="B346" s="150" t="inlineStr">
        <is>
          <t>eer_min_value</t>
        </is>
      </c>
      <c r="C346" s="150" t="inlineStr">
        <is>
          <t>EER设计值（用于EERmin校核）</t>
        </is>
      </c>
      <c r="D346" s="150" t="inlineStr">
        <is>
          <t>设备参数</t>
        </is>
      </c>
      <c r="E346" s="150" t="inlineStr">
        <is>
          <t>数值</t>
        </is>
      </c>
      <c r="F346" s="150" t="inlineStr">
        <is>
          <t>W/W</t>
        </is>
      </c>
      <c r="G346" s="150" t="inlineStr">
        <is>
          <t>是</t>
        </is>
      </c>
      <c r="H346" s="150" t="inlineStr">
        <is>
          <t>风冷式且制冷量≤14kW时必填</t>
        </is>
      </c>
      <c r="I346" s="150" t="inlineStr">
        <is>
          <t>数值&gt;0</t>
        </is>
      </c>
      <c r="J346" s="150" t="n">
        <v>0</v>
      </c>
      <c r="K346" s="150" t="n"/>
      <c r="L346" s="150" t="str"/>
      <c r="M346" s="150" t="inlineStr">
        <is>
          <t>去首尾空格；全角转半角；保留原值，不自动改写</t>
        </is>
      </c>
      <c r="N346" s="150" t="inlineStr">
        <is>
          <t>异常时写入自动备注；不改写原值</t>
        </is>
      </c>
      <c r="O346" s="150" t="inlineStr">
        <is>
          <t>GB 21454-2021</t>
        </is>
      </c>
      <c r="P346" s="150" t="inlineStr">
        <is>
          <t>表1～表4</t>
        </is>
      </c>
    </row>
    <row r="347">
      <c r="A347" s="150" t="inlineStr">
        <is>
          <t>多联式空调</t>
        </is>
      </c>
      <c r="B347" s="150" t="inlineStr">
        <is>
          <t>cop_minus12_value</t>
        </is>
      </c>
      <c r="C347" s="150" t="inlineStr">
        <is>
          <t>COP(-12℃)设计值</t>
        </is>
      </c>
      <c r="D347" s="150" t="inlineStr">
        <is>
          <t>设备参数</t>
        </is>
      </c>
      <c r="E347" s="150" t="inlineStr">
        <is>
          <t>数值</t>
        </is>
      </c>
      <c r="F347" s="150" t="inlineStr">
        <is>
          <t>W/W</t>
        </is>
      </c>
      <c r="G347" s="150" t="inlineStr">
        <is>
          <t>是</t>
        </is>
      </c>
      <c r="H347" s="150" t="inlineStr">
        <is>
          <t>低温多联机条件必填</t>
        </is>
      </c>
      <c r="I347" s="150" t="inlineStr">
        <is>
          <t>数值&gt;0</t>
        </is>
      </c>
      <c r="J347" s="150" t="n">
        <v>0</v>
      </c>
      <c r="K347" s="150" t="n"/>
      <c r="L347" s="150" t="str"/>
      <c r="M347" s="150" t="inlineStr">
        <is>
          <t>去首尾空格；全角转半角；保留原值，不自动改写</t>
        </is>
      </c>
      <c r="N347" s="150" t="inlineStr">
        <is>
          <t>异常时写入自动备注；不改写原值</t>
        </is>
      </c>
      <c r="O347" s="150" t="inlineStr">
        <is>
          <t>GB 21454-2021</t>
        </is>
      </c>
      <c r="P347" s="150" t="inlineStr">
        <is>
          <t>表1～表4</t>
        </is>
      </c>
    </row>
    <row r="348">
      <c r="A348" s="150" t="inlineStr">
        <is>
          <t>多联式空调</t>
        </is>
      </c>
      <c r="B348" s="150" t="inlineStr">
        <is>
          <t>cop_minus20_value</t>
        </is>
      </c>
      <c r="C348" s="150" t="inlineStr">
        <is>
          <t>COP(-20℃)设计值</t>
        </is>
      </c>
      <c r="D348" s="150" t="inlineStr">
        <is>
          <t>设备参数</t>
        </is>
      </c>
      <c r="E348" s="150" t="inlineStr">
        <is>
          <t>数值</t>
        </is>
      </c>
      <c r="F348" s="150" t="inlineStr">
        <is>
          <t>W/W</t>
        </is>
      </c>
      <c r="G348" s="150" t="inlineStr">
        <is>
          <t>是</t>
        </is>
      </c>
      <c r="H348" s="150" t="inlineStr">
        <is>
          <t>低温多联机条件必填</t>
        </is>
      </c>
      <c r="I348" s="150" t="inlineStr">
        <is>
          <t>数值&gt;0</t>
        </is>
      </c>
      <c r="J348" s="150" t="n">
        <v>0</v>
      </c>
      <c r="K348" s="150" t="n"/>
      <c r="L348" s="150" t="str"/>
      <c r="M348" s="150" t="inlineStr">
        <is>
          <t>去首尾空格；全角转半角；保留原值，不自动改写</t>
        </is>
      </c>
      <c r="N348" s="150" t="inlineStr">
        <is>
          <t>异常时写入自动备注；不改写原值</t>
        </is>
      </c>
      <c r="O348" s="150" t="inlineStr">
        <is>
          <t>GB 21454-2021</t>
        </is>
      </c>
      <c r="P348" s="150" t="inlineStr">
        <is>
          <t>表1～表4</t>
        </is>
      </c>
    </row>
    <row r="349">
      <c r="A349" s="150" t="inlineStr">
        <is>
          <t>多联式空调</t>
        </is>
      </c>
      <c r="B349" s="150" t="inlineStr">
        <is>
          <t>standard_table</t>
        </is>
      </c>
      <c r="C349" s="150" t="inlineStr">
        <is>
          <t>适用标准表（自动）</t>
        </is>
      </c>
      <c r="D349" s="150" t="inlineStr">
        <is>
          <t>计算辅助结果</t>
        </is>
      </c>
      <c r="E349" s="150" t="inlineStr">
        <is>
          <t>公式</t>
        </is>
      </c>
      <c r="F349" s="150" t="inlineStr">
        <is>
          <t>-</t>
        </is>
      </c>
      <c r="G349" s="150" t="inlineStr">
        <is>
          <t>否</t>
        </is>
      </c>
      <c r="H349" s="150" t="inlineStr">
        <is>
          <t>公式生成</t>
        </is>
      </c>
      <c r="I349" s="150" t="inlineStr">
        <is>
          <t>无</t>
        </is>
      </c>
      <c r="J349" s="150" t="n"/>
      <c r="K349" s="150" t="n"/>
      <c r="L349" s="150" t="str"/>
      <c r="M349" s="150" t="inlineStr">
        <is>
          <t>锁定公式列，不清洗</t>
        </is>
      </c>
      <c r="N349" s="150" t="inlineStr">
        <is>
          <t>公式锁定并随表格扩展</t>
        </is>
      </c>
      <c r="O349" s="150" t="inlineStr">
        <is>
          <t>GB 21454-2021</t>
        </is>
      </c>
      <c r="P349" s="150" t="inlineStr">
        <is>
          <t>表1～表4</t>
        </is>
      </c>
    </row>
    <row r="350">
      <c r="A350" s="150" t="inlineStr">
        <is>
          <t>多联式空调</t>
        </is>
      </c>
      <c r="B350" s="150" t="inlineStr">
        <is>
          <t>capacity_band</t>
        </is>
      </c>
      <c r="C350" s="150" t="inlineStr">
        <is>
          <t>容量分档（自动）</t>
        </is>
      </c>
      <c r="D350" s="150" t="inlineStr">
        <is>
          <t>计算辅助结果</t>
        </is>
      </c>
      <c r="E350" s="150" t="inlineStr">
        <is>
          <t>公式</t>
        </is>
      </c>
      <c r="F350" s="150" t="inlineStr">
        <is>
          <t>-</t>
        </is>
      </c>
      <c r="G350" s="150" t="inlineStr">
        <is>
          <t>否</t>
        </is>
      </c>
      <c r="H350" s="150" t="inlineStr">
        <is>
          <t>公式生成</t>
        </is>
      </c>
      <c r="I350" s="150" t="inlineStr">
        <is>
          <t>无</t>
        </is>
      </c>
      <c r="J350" s="150" t="n"/>
      <c r="K350" s="150" t="n"/>
      <c r="L350" s="150" t="str"/>
      <c r="M350" s="150" t="inlineStr">
        <is>
          <t>锁定公式列，不清洗</t>
        </is>
      </c>
      <c r="N350" s="150" t="inlineStr">
        <is>
          <t>公式锁定并随表格扩展</t>
        </is>
      </c>
      <c r="O350" s="150" t="inlineStr">
        <is>
          <t>GB 21454-2021</t>
        </is>
      </c>
      <c r="P350" s="150" t="inlineStr">
        <is>
          <t>表1～表4</t>
        </is>
      </c>
    </row>
    <row r="351">
      <c r="A351" s="150" t="inlineStr">
        <is>
          <t>多联式空调</t>
        </is>
      </c>
      <c r="B351" s="150" t="inlineStr">
        <is>
          <t>query_metric_name</t>
        </is>
      </c>
      <c r="C351" s="150" t="inlineStr">
        <is>
          <t>分级查询指标（自动）</t>
        </is>
      </c>
      <c r="D351" s="150" t="inlineStr">
        <is>
          <t>标准查询结果</t>
        </is>
      </c>
      <c r="E351" s="150" t="inlineStr">
        <is>
          <t>公式</t>
        </is>
      </c>
      <c r="F351" s="150" t="inlineStr">
        <is>
          <t>-</t>
        </is>
      </c>
      <c r="G351" s="150" t="inlineStr">
        <is>
          <t>否</t>
        </is>
      </c>
      <c r="H351" s="150" t="inlineStr">
        <is>
          <t>公式生成</t>
        </is>
      </c>
      <c r="I351" s="150" t="inlineStr">
        <is>
          <t>无</t>
        </is>
      </c>
      <c r="J351" s="150" t="n"/>
      <c r="K351" s="150" t="n"/>
      <c r="L351" s="150" t="str"/>
      <c r="M351" s="150" t="inlineStr">
        <is>
          <t>锁定公式列，不清洗</t>
        </is>
      </c>
      <c r="N351" s="150" t="inlineStr">
        <is>
          <t>公式锁定并随表格扩展</t>
        </is>
      </c>
      <c r="O351" s="150" t="inlineStr">
        <is>
          <t>GB 21454-2021</t>
        </is>
      </c>
      <c r="P351" s="150" t="inlineStr">
        <is>
          <t>表1～表4</t>
        </is>
      </c>
    </row>
    <row r="352">
      <c r="A352" s="150" t="inlineStr">
        <is>
          <t>多联式空调</t>
        </is>
      </c>
      <c r="B352" s="150" t="inlineStr">
        <is>
          <t>primary_l1</t>
        </is>
      </c>
      <c r="C352" s="150" t="inlineStr">
        <is>
          <t>分级指标1级标准值</t>
        </is>
      </c>
      <c r="D352" s="150" t="inlineStr">
        <is>
          <t>标准查询结果</t>
        </is>
      </c>
      <c r="E352" s="150" t="inlineStr">
        <is>
          <t>数值</t>
        </is>
      </c>
      <c r="F352" s="150" t="inlineStr">
        <is>
          <t>无量纲</t>
        </is>
      </c>
      <c r="G352" s="150" t="inlineStr">
        <is>
          <t>否</t>
        </is>
      </c>
      <c r="H352" s="150" t="inlineStr">
        <is>
          <t>本阶段锁定预留</t>
        </is>
      </c>
      <c r="I352" s="150" t="inlineStr">
        <is>
          <t>无</t>
        </is>
      </c>
      <c r="J352" s="150" t="n"/>
      <c r="K352" s="150" t="n"/>
      <c r="L352" s="150" t="str"/>
      <c r="M352" s="150" t="inlineStr">
        <is>
          <t>锁定预留，不清洗</t>
        </is>
      </c>
      <c r="N352" s="150" t="inlineStr">
        <is>
          <t>本阶段不查询、不判定</t>
        </is>
      </c>
      <c r="O352" s="150" t="inlineStr">
        <is>
          <t>GB 21454-2021</t>
        </is>
      </c>
      <c r="P352" s="150" t="inlineStr">
        <is>
          <t>表1～表4</t>
        </is>
      </c>
    </row>
    <row r="353">
      <c r="A353" s="150" t="inlineStr">
        <is>
          <t>多联式空调</t>
        </is>
      </c>
      <c r="B353" s="150" t="inlineStr">
        <is>
          <t>primary_l2</t>
        </is>
      </c>
      <c r="C353" s="150" t="inlineStr">
        <is>
          <t>分级指标2级标准值</t>
        </is>
      </c>
      <c r="D353" s="150" t="inlineStr">
        <is>
          <t>标准查询结果</t>
        </is>
      </c>
      <c r="E353" s="150" t="inlineStr">
        <is>
          <t>数值</t>
        </is>
      </c>
      <c r="F353" s="150" t="inlineStr">
        <is>
          <t>无量纲</t>
        </is>
      </c>
      <c r="G353" s="150" t="inlineStr">
        <is>
          <t>否</t>
        </is>
      </c>
      <c r="H353" s="150" t="inlineStr">
        <is>
          <t>本阶段锁定预留</t>
        </is>
      </c>
      <c r="I353" s="150" t="inlineStr">
        <is>
          <t>无</t>
        </is>
      </c>
      <c r="J353" s="150" t="n"/>
      <c r="K353" s="150" t="n"/>
      <c r="L353" s="150" t="str"/>
      <c r="M353" s="150" t="inlineStr">
        <is>
          <t>锁定预留，不清洗</t>
        </is>
      </c>
      <c r="N353" s="150" t="inlineStr">
        <is>
          <t>本阶段不查询、不判定</t>
        </is>
      </c>
      <c r="O353" s="150" t="inlineStr">
        <is>
          <t>GB 21454-2021</t>
        </is>
      </c>
      <c r="P353" s="150" t="inlineStr">
        <is>
          <t>表1～表4</t>
        </is>
      </c>
    </row>
    <row r="354">
      <c r="A354" s="150" t="inlineStr">
        <is>
          <t>多联式空调</t>
        </is>
      </c>
      <c r="B354" s="150" t="inlineStr">
        <is>
          <t>primary_l3</t>
        </is>
      </c>
      <c r="C354" s="150" t="inlineStr">
        <is>
          <t>分级指标3级标准值</t>
        </is>
      </c>
      <c r="D354" s="150" t="inlineStr">
        <is>
          <t>标准查询结果</t>
        </is>
      </c>
      <c r="E354" s="150" t="inlineStr">
        <is>
          <t>数值</t>
        </is>
      </c>
      <c r="F354" s="150" t="inlineStr">
        <is>
          <t>无量纲</t>
        </is>
      </c>
      <c r="G354" s="150" t="inlineStr">
        <is>
          <t>否</t>
        </is>
      </c>
      <c r="H354" s="150" t="inlineStr">
        <is>
          <t>本阶段锁定预留</t>
        </is>
      </c>
      <c r="I354" s="150" t="inlineStr">
        <is>
          <t>无</t>
        </is>
      </c>
      <c r="J354" s="150" t="n"/>
      <c r="K354" s="150" t="n"/>
      <c r="L354" s="150" t="str"/>
      <c r="M354" s="150" t="inlineStr">
        <is>
          <t>锁定预留，不清洗</t>
        </is>
      </c>
      <c r="N354" s="150" t="inlineStr">
        <is>
          <t>本阶段不查询、不判定</t>
        </is>
      </c>
      <c r="O354" s="150" t="inlineStr">
        <is>
          <t>GB 21454-2021</t>
        </is>
      </c>
      <c r="P354" s="150" t="inlineStr">
        <is>
          <t>表1～表4</t>
        </is>
      </c>
    </row>
    <row r="355">
      <c r="A355" s="150" t="inlineStr">
        <is>
          <t>多联式空调</t>
        </is>
      </c>
      <c r="B355" s="150" t="inlineStr">
        <is>
          <t>eer_min_l1</t>
        </is>
      </c>
      <c r="C355" s="150" t="inlineStr">
        <is>
          <t>EERmin 1级标准值</t>
        </is>
      </c>
      <c r="D355" s="150" t="inlineStr">
        <is>
          <t>标准查询结果</t>
        </is>
      </c>
      <c r="E355" s="150" t="inlineStr">
        <is>
          <t>数值</t>
        </is>
      </c>
      <c r="F355" s="150" t="inlineStr">
        <is>
          <t>W/W</t>
        </is>
      </c>
      <c r="G355" s="150" t="inlineStr">
        <is>
          <t>否</t>
        </is>
      </c>
      <c r="H355" s="150" t="inlineStr">
        <is>
          <t>本阶段锁定预留</t>
        </is>
      </c>
      <c r="I355" s="150" t="inlineStr">
        <is>
          <t>无</t>
        </is>
      </c>
      <c r="J355" s="150" t="n"/>
      <c r="K355" s="150" t="n"/>
      <c r="L355" s="150" t="str"/>
      <c r="M355" s="150" t="inlineStr">
        <is>
          <t>锁定预留，不清洗</t>
        </is>
      </c>
      <c r="N355" s="150" t="inlineStr">
        <is>
          <t>本阶段不查询、不判定</t>
        </is>
      </c>
      <c r="O355" s="150" t="inlineStr">
        <is>
          <t>GB 21454-2021</t>
        </is>
      </c>
      <c r="P355" s="150" t="inlineStr">
        <is>
          <t>表1～表4</t>
        </is>
      </c>
    </row>
    <row r="356">
      <c r="A356" s="150" t="inlineStr">
        <is>
          <t>多联式空调</t>
        </is>
      </c>
      <c r="B356" s="150" t="inlineStr">
        <is>
          <t>eer_min_l2</t>
        </is>
      </c>
      <c r="C356" s="150" t="inlineStr">
        <is>
          <t>EERmin 2级标准值</t>
        </is>
      </c>
      <c r="D356" s="150" t="inlineStr">
        <is>
          <t>标准查询结果</t>
        </is>
      </c>
      <c r="E356" s="150" t="inlineStr">
        <is>
          <t>数值</t>
        </is>
      </c>
      <c r="F356" s="150" t="inlineStr">
        <is>
          <t>W/W</t>
        </is>
      </c>
      <c r="G356" s="150" t="inlineStr">
        <is>
          <t>否</t>
        </is>
      </c>
      <c r="H356" s="150" t="inlineStr">
        <is>
          <t>本阶段锁定预留</t>
        </is>
      </c>
      <c r="I356" s="150" t="inlineStr">
        <is>
          <t>无</t>
        </is>
      </c>
      <c r="J356" s="150" t="n"/>
      <c r="K356" s="150" t="n"/>
      <c r="L356" s="150" t="str"/>
      <c r="M356" s="150" t="inlineStr">
        <is>
          <t>锁定预留，不清洗</t>
        </is>
      </c>
      <c r="N356" s="150" t="inlineStr">
        <is>
          <t>本阶段不查询、不判定</t>
        </is>
      </c>
      <c r="O356" s="150" t="inlineStr">
        <is>
          <t>GB 21454-2021</t>
        </is>
      </c>
      <c r="P356" s="150" t="inlineStr">
        <is>
          <t>表1～表4</t>
        </is>
      </c>
    </row>
    <row r="357">
      <c r="A357" s="150" t="inlineStr">
        <is>
          <t>多联式空调</t>
        </is>
      </c>
      <c r="B357" s="150" t="inlineStr">
        <is>
          <t>eer_min_l3</t>
        </is>
      </c>
      <c r="C357" s="150" t="inlineStr">
        <is>
          <t>EERmin 3级标准值</t>
        </is>
      </c>
      <c r="D357" s="150" t="inlineStr">
        <is>
          <t>标准查询结果</t>
        </is>
      </c>
      <c r="E357" s="150" t="inlineStr">
        <is>
          <t>数值</t>
        </is>
      </c>
      <c r="F357" s="150" t="inlineStr">
        <is>
          <t>W/W</t>
        </is>
      </c>
      <c r="G357" s="150" t="inlineStr">
        <is>
          <t>否</t>
        </is>
      </c>
      <c r="H357" s="150" t="inlineStr">
        <is>
          <t>本阶段锁定预留</t>
        </is>
      </c>
      <c r="I357" s="150" t="inlineStr">
        <is>
          <t>无</t>
        </is>
      </c>
      <c r="J357" s="150" t="n"/>
      <c r="K357" s="150" t="n"/>
      <c r="L357" s="150" t="str"/>
      <c r="M357" s="150" t="inlineStr">
        <is>
          <t>锁定预留，不清洗</t>
        </is>
      </c>
      <c r="N357" s="150" t="inlineStr">
        <is>
          <t>本阶段不查询、不判定</t>
        </is>
      </c>
      <c r="O357" s="150" t="inlineStr">
        <is>
          <t>GB 21454-2021</t>
        </is>
      </c>
      <c r="P357" s="150" t="inlineStr">
        <is>
          <t>表1～表4</t>
        </is>
      </c>
    </row>
    <row r="358">
      <c r="A358" s="150" t="inlineStr">
        <is>
          <t>多联式空调</t>
        </is>
      </c>
      <c r="B358" s="150" t="inlineStr">
        <is>
          <t>cop_minus12_limit</t>
        </is>
      </c>
      <c r="C358" s="150" t="inlineStr">
        <is>
          <t>COP(-12℃)最低标准值</t>
        </is>
      </c>
      <c r="D358" s="150" t="inlineStr">
        <is>
          <t>标准查询结果</t>
        </is>
      </c>
      <c r="E358" s="150" t="inlineStr">
        <is>
          <t>数值</t>
        </is>
      </c>
      <c r="F358" s="150" t="inlineStr">
        <is>
          <t>W/W</t>
        </is>
      </c>
      <c r="G358" s="150" t="inlineStr">
        <is>
          <t>否</t>
        </is>
      </c>
      <c r="H358" s="150" t="inlineStr">
        <is>
          <t>本阶段锁定预留</t>
        </is>
      </c>
      <c r="I358" s="150" t="inlineStr">
        <is>
          <t>无</t>
        </is>
      </c>
      <c r="J358" s="150" t="n"/>
      <c r="K358" s="150" t="n"/>
      <c r="L358" s="150" t="str"/>
      <c r="M358" s="150" t="inlineStr">
        <is>
          <t>锁定预留，不清洗</t>
        </is>
      </c>
      <c r="N358" s="150" t="inlineStr">
        <is>
          <t>本阶段不查询、不判定</t>
        </is>
      </c>
      <c r="O358" s="150" t="inlineStr">
        <is>
          <t>GB 21454-2021</t>
        </is>
      </c>
      <c r="P358" s="150" t="inlineStr">
        <is>
          <t>表1～表4</t>
        </is>
      </c>
    </row>
    <row r="359">
      <c r="A359" s="150" t="inlineStr">
        <is>
          <t>多联式空调</t>
        </is>
      </c>
      <c r="B359" s="150" t="inlineStr">
        <is>
          <t>cop_minus20_limit</t>
        </is>
      </c>
      <c r="C359" s="150" t="inlineStr">
        <is>
          <t>COP(-20℃)最低标准值</t>
        </is>
      </c>
      <c r="D359" s="150" t="inlineStr">
        <is>
          <t>标准查询结果</t>
        </is>
      </c>
      <c r="E359" s="150" t="inlineStr">
        <is>
          <t>数值</t>
        </is>
      </c>
      <c r="F359" s="150" t="inlineStr">
        <is>
          <t>W/W</t>
        </is>
      </c>
      <c r="G359" s="150" t="inlineStr">
        <is>
          <t>否</t>
        </is>
      </c>
      <c r="H359" s="150" t="inlineStr">
        <is>
          <t>本阶段锁定预留</t>
        </is>
      </c>
      <c r="I359" s="150" t="inlineStr">
        <is>
          <t>无</t>
        </is>
      </c>
      <c r="J359" s="150" t="n"/>
      <c r="K359" s="150" t="n"/>
      <c r="L359" s="150" t="str"/>
      <c r="M359" s="150" t="inlineStr">
        <is>
          <t>锁定预留，不清洗</t>
        </is>
      </c>
      <c r="N359" s="150" t="inlineStr">
        <is>
          <t>本阶段不查询、不判定</t>
        </is>
      </c>
      <c r="O359" s="150" t="inlineStr">
        <is>
          <t>GB 21454-2021</t>
        </is>
      </c>
      <c r="P359" s="150" t="inlineStr">
        <is>
          <t>表1～表4</t>
        </is>
      </c>
    </row>
    <row r="360">
      <c r="A360" s="150" t="inlineStr">
        <is>
          <t>多联式空调</t>
        </is>
      </c>
      <c r="B360" s="150" t="inlineStr">
        <is>
          <t>conclusion</t>
        </is>
      </c>
      <c r="C360" s="150" t="inlineStr">
        <is>
          <t>能效等级</t>
        </is>
      </c>
      <c r="D360" s="150" t="inlineStr">
        <is>
          <t>结论</t>
        </is>
      </c>
      <c r="E360" s="150" t="inlineStr">
        <is>
          <t>文本</t>
        </is>
      </c>
      <c r="F360" s="150" t="inlineStr">
        <is>
          <t>-</t>
        </is>
      </c>
      <c r="G360" s="150" t="inlineStr">
        <is>
          <t>否</t>
        </is>
      </c>
      <c r="H360" s="150" t="inlineStr">
        <is>
          <t>本阶段锁定预留</t>
        </is>
      </c>
      <c r="I360" s="150" t="inlineStr">
        <is>
          <t>无</t>
        </is>
      </c>
      <c r="J360" s="150" t="n"/>
      <c r="K360" s="150" t="n"/>
      <c r="L360" s="150" t="str"/>
      <c r="M360" s="150" t="inlineStr">
        <is>
          <t>锁定预留，不清洗</t>
        </is>
      </c>
      <c r="N360" s="150" t="inlineStr">
        <is>
          <t>本阶段不查询、不判定</t>
        </is>
      </c>
      <c r="O360" s="150" t="inlineStr">
        <is>
          <t>GB 21454-2021</t>
        </is>
      </c>
      <c r="P360" s="150" t="inlineStr">
        <is>
          <t>表1～表4</t>
        </is>
      </c>
    </row>
    <row r="361">
      <c r="A361" s="150" t="inlineStr">
        <is>
          <t>多联式空调</t>
        </is>
      </c>
      <c r="B361" s="150" t="inlineStr">
        <is>
          <t>photo</t>
        </is>
      </c>
      <c r="C361" s="150" t="inlineStr">
        <is>
          <t>铭牌照片</t>
        </is>
      </c>
      <c r="D361" s="150" t="inlineStr">
        <is>
          <t>附件备注</t>
        </is>
      </c>
      <c r="E361" s="150" t="inlineStr">
        <is>
          <t>图片</t>
        </is>
      </c>
      <c r="F361" s="150" t="inlineStr">
        <is>
          <t>-</t>
        </is>
      </c>
      <c r="G361" s="150" t="inlineStr">
        <is>
          <t>是</t>
        </is>
      </c>
      <c r="H361" s="150" t="inlineStr">
        <is>
          <t>整行启用时必填</t>
        </is>
      </c>
      <c r="I361" s="150" t="inlineStr">
        <is>
          <t>无</t>
        </is>
      </c>
      <c r="J361" s="150" t="n"/>
      <c r="K361" s="150" t="n"/>
      <c r="L361" s="150" t="str"/>
      <c r="M361" s="150" t="inlineStr">
        <is>
          <t>仅接受Excel“置于单元格”图片；不接受浮动图片</t>
        </is>
      </c>
      <c r="N361" s="150" t="inlineStr">
        <is>
          <t>为空时提示缺少铭牌照片</t>
        </is>
      </c>
      <c r="O361" s="150" t="inlineStr">
        <is>
          <t>GB 21454-2021</t>
        </is>
      </c>
      <c r="P361" s="150" t="inlineStr">
        <is>
          <t>表1～表4</t>
        </is>
      </c>
    </row>
    <row r="362">
      <c r="A362" s="150" t="inlineStr">
        <is>
          <t>多联式空调</t>
        </is>
      </c>
      <c r="B362" s="150" t="inlineStr">
        <is>
          <t>fill_note</t>
        </is>
      </c>
      <c r="C362" s="150" t="inlineStr">
        <is>
          <t>填表备注</t>
        </is>
      </c>
      <c r="D362" s="150" t="inlineStr">
        <is>
          <t>附件备注</t>
        </is>
      </c>
      <c r="E362" s="150" t="inlineStr">
        <is>
          <t>文本</t>
        </is>
      </c>
      <c r="F362" s="150" t="inlineStr">
        <is>
          <t>-</t>
        </is>
      </c>
      <c r="G362" s="150" t="inlineStr">
        <is>
          <t>是</t>
        </is>
      </c>
      <c r="H362" s="150" t="inlineStr">
        <is>
          <t>可选</t>
        </is>
      </c>
      <c r="I362" s="150" t="inlineStr">
        <is>
          <t>无</t>
        </is>
      </c>
      <c r="J362" s="150" t="n"/>
      <c r="K362" s="150" t="n"/>
      <c r="L362" s="150" t="str"/>
      <c r="M362" s="150" t="inlineStr">
        <is>
          <t>去首尾空格；全角转半角；保留原值，不自动改写</t>
        </is>
      </c>
      <c r="N362" s="150" t="inlineStr">
        <is>
          <t>异常时写入自动备注；不改写原值</t>
        </is>
      </c>
      <c r="O362" s="150" t="inlineStr">
        <is>
          <t>GB 21454-2021</t>
        </is>
      </c>
      <c r="P362" s="150" t="inlineStr">
        <is>
          <t>表1～表4</t>
        </is>
      </c>
    </row>
    <row r="363">
      <c r="A363" s="150" t="inlineStr">
        <is>
          <t>多联式空调</t>
        </is>
      </c>
      <c r="B363" s="150" t="inlineStr">
        <is>
          <t>auto_note</t>
        </is>
      </c>
      <c r="C363" s="150" t="inlineStr">
        <is>
          <t>自动备注</t>
        </is>
      </c>
      <c r="D363" s="150" t="inlineStr">
        <is>
          <t>附件备注</t>
        </is>
      </c>
      <c r="E363" s="150" t="inlineStr">
        <is>
          <t>公式</t>
        </is>
      </c>
      <c r="F363" s="150" t="inlineStr">
        <is>
          <t>-</t>
        </is>
      </c>
      <c r="G363" s="150" t="inlineStr">
        <is>
          <t>否</t>
        </is>
      </c>
      <c r="H363" s="150" t="inlineStr">
        <is>
          <t>公式生成</t>
        </is>
      </c>
      <c r="I363" s="150" t="inlineStr">
        <is>
          <t>无</t>
        </is>
      </c>
      <c r="J363" s="150" t="n"/>
      <c r="K363" s="150" t="n"/>
      <c r="L363" s="150" t="str"/>
      <c r="M363" s="150" t="inlineStr">
        <is>
          <t>锁定公式列，不清洗</t>
        </is>
      </c>
      <c r="N363" s="150" t="inlineStr">
        <is>
          <t>公式锁定并随表格扩展</t>
        </is>
      </c>
      <c r="O363" s="150" t="inlineStr">
        <is>
          <t>GB 21454-2021</t>
        </is>
      </c>
      <c r="P363" s="150" t="inlineStr">
        <is>
          <t>表1～表4</t>
        </is>
      </c>
    </row>
    <row r="364"/>
    <row r="365"/>
    <row r="366">
      <c r="A366" s="150" t="inlineStr">
        <is>
          <t>字段/场景</t>
        </is>
      </c>
      <c r="B366" s="150" t="inlineStr">
        <is>
          <t>原值/同义词</t>
        </is>
      </c>
      <c r="C366" s="150" t="inlineStr">
        <is>
          <t>规范值</t>
        </is>
      </c>
      <c r="D366" s="150" t="inlineStr">
        <is>
          <t>处理方式</t>
        </is>
      </c>
      <c r="E366" s="150" t="inlineStr">
        <is>
          <t>适用sheet</t>
        </is>
      </c>
      <c r="F366" s="150" t="inlineStr">
        <is>
          <t>备注</t>
        </is>
      </c>
    </row>
    <row r="367">
      <c r="A367" s="150" t="inlineStr">
        <is>
          <t>通用</t>
        </is>
      </c>
      <c r="B367" s="150" t="inlineStr">
        <is>
          <t>是、Y、yes、√</t>
        </is>
      </c>
      <c r="C367" s="150" t="inlineStr">
        <is>
          <t>是</t>
        </is>
      </c>
      <c r="D367" s="150" t="inlineStr">
        <is>
          <t>同义词映射</t>
        </is>
      </c>
      <c r="E367" s="150" t="inlineStr">
        <is>
          <t>全部</t>
        </is>
      </c>
      <c r="F367" s="150" t="inlineStr">
        <is>
          <t>不在本版自动改写</t>
        </is>
      </c>
    </row>
    <row r="368">
      <c r="A368" s="150" t="inlineStr">
        <is>
          <t>通用</t>
        </is>
      </c>
      <c r="B368" s="150" t="inlineStr">
        <is>
          <t>否、N、no、×</t>
        </is>
      </c>
      <c r="C368" s="150" t="inlineStr">
        <is>
          <t>否</t>
        </is>
      </c>
      <c r="D368" s="150" t="inlineStr">
        <is>
          <t>同义词映射</t>
        </is>
      </c>
      <c r="E368" s="150" t="inlineStr">
        <is>
          <t>全部</t>
        </is>
      </c>
      <c r="F368" s="150" t="inlineStr">
        <is>
          <t>不在本版自动改写</t>
        </is>
      </c>
    </row>
    <row r="369">
      <c r="A369" s="150" t="inlineStr">
        <is>
          <t>铁芯材质（旧字段）</t>
        </is>
      </c>
      <c r="B369" s="150" t="inlineStr">
        <is>
          <t>旧映射已废弃</t>
        </is>
      </c>
      <c r="C369" s="150" t="inlineStr">
        <is>
          <t>—</t>
        </is>
      </c>
      <c r="D369" s="150" t="inlineStr">
        <is>
          <t>已废弃；不再映射或参与清洗</t>
        </is>
      </c>
      <c r="E369" s="150" t="inlineStr">
        <is>
          <t>变压器</t>
        </is>
      </c>
      <c r="F369" s="150" t="inlineStr">
        <is>
          <t>旧独立字段已移除；相关分支统一由“标准条件”承载。</t>
        </is>
      </c>
    </row>
    <row r="370">
      <c r="A370" s="150" t="inlineStr">
        <is>
          <t>铁芯材质（旧字段）</t>
        </is>
      </c>
      <c r="B370" s="150" t="inlineStr">
        <is>
          <t>旧映射已废弃</t>
        </is>
      </c>
      <c r="C370" s="150" t="inlineStr">
        <is>
          <t>—</t>
        </is>
      </c>
      <c r="D370" s="150" t="inlineStr">
        <is>
          <t>已废弃；不再映射或参与清洗</t>
        </is>
      </c>
      <c r="E370" s="150" t="inlineStr">
        <is>
          <t>变压器</t>
        </is>
      </c>
      <c r="F370" s="150" t="inlineStr">
        <is>
          <t>旧独立字段已移除；相关分支统一由“标准条件”承载。</t>
        </is>
      </c>
    </row>
    <row r="371">
      <c r="A371" s="150" t="inlineStr">
        <is>
          <t>绝缘耐热等级（旧字段）</t>
        </is>
      </c>
      <c r="B371" s="150" t="inlineStr">
        <is>
          <t>旧映射已废弃</t>
        </is>
      </c>
      <c r="C371" s="150" t="inlineStr">
        <is>
          <t>—</t>
        </is>
      </c>
      <c r="D371" s="150" t="inlineStr">
        <is>
          <t>已废弃；不再映射或参与清洗</t>
        </is>
      </c>
      <c r="E371" s="150" t="inlineStr">
        <is>
          <t>变压器</t>
        </is>
      </c>
      <c r="F371" s="150" t="inlineStr">
        <is>
          <t>旧独立字段已移除；相关分支统一由“标准条件”承载。</t>
        </is>
      </c>
    </row>
    <row r="372">
      <c r="A372" s="150" t="inlineStr">
        <is>
          <t>绝缘耐热等级（旧字段）</t>
        </is>
      </c>
      <c r="B372" s="150" t="inlineStr">
        <is>
          <t>旧映射已废弃</t>
        </is>
      </c>
      <c r="C372" s="150" t="inlineStr">
        <is>
          <t>—</t>
        </is>
      </c>
      <c r="D372" s="150" t="inlineStr">
        <is>
          <t>已废弃；不再映射或参与清洗</t>
        </is>
      </c>
      <c r="E372" s="150" t="inlineStr">
        <is>
          <t>变压器</t>
        </is>
      </c>
      <c r="F372" s="150" t="inlineStr">
        <is>
          <t>原有75℃项已取消为绝缘等级；油浸式损耗数据和填写口径不变。</t>
        </is>
      </c>
    </row>
    <row r="373">
      <c r="A373" s="150" t="inlineStr">
        <is>
          <t>绝缘耐热等级（旧字段）</t>
        </is>
      </c>
      <c r="B373" s="150" t="inlineStr">
        <is>
          <t>旧映射已废弃</t>
        </is>
      </c>
      <c r="C373" s="150" t="inlineStr">
        <is>
          <t>—</t>
        </is>
      </c>
      <c r="D373" s="150" t="inlineStr">
        <is>
          <t>已废弃；不再映射或参与清洗</t>
        </is>
      </c>
      <c r="E373" s="150" t="inlineStr">
        <is>
          <t>变压器</t>
        </is>
      </c>
      <c r="F373" s="150" t="inlineStr">
        <is>
          <t>旧独立字段已移除；相关分支统一由“标准条件”承载。</t>
        </is>
      </c>
    </row>
    <row r="374">
      <c r="A374" s="150" t="inlineStr">
        <is>
          <t>绝缘耐热等级（旧字段）</t>
        </is>
      </c>
      <c r="B374" s="150" t="inlineStr">
        <is>
          <t>旧映射已废弃</t>
        </is>
      </c>
      <c r="C374" s="150" t="inlineStr">
        <is>
          <t>—</t>
        </is>
      </c>
      <c r="D374" s="150" t="inlineStr">
        <is>
          <t>已废弃；不再映射或参与清洗</t>
        </is>
      </c>
      <c r="E374" s="150" t="inlineStr">
        <is>
          <t>变压器</t>
        </is>
      </c>
      <c r="F374" s="150" t="inlineStr">
        <is>
          <t>旧独立字段已移除；相关分支统一由“标准条件”承载。</t>
        </is>
      </c>
    </row>
    <row r="375">
      <c r="A375" s="150" t="inlineStr">
        <is>
          <t>冷却方式</t>
        </is>
      </c>
      <c r="B375" s="150" t="inlineStr">
        <is>
          <t>水冷</t>
        </is>
      </c>
      <c r="C375" s="150" t="inlineStr">
        <is>
          <t>液冷</t>
        </is>
      </c>
      <c r="D375" s="150" t="inlineStr">
        <is>
          <t>同义词映射</t>
        </is>
      </c>
      <c r="E375" s="150" t="inlineStr">
        <is>
          <t>空压机</t>
        </is>
      </c>
      <c r="F375" s="150" t="inlineStr">
        <is>
          <t>按GB 19153口径</t>
        </is>
      </c>
    </row>
    <row r="376">
      <c r="A376" s="150" t="inlineStr">
        <is>
          <t>设备型式</t>
        </is>
      </c>
      <c r="B376" s="150" t="inlineStr">
        <is>
          <t>螺干式</t>
        </is>
      </c>
      <c r="C376" s="150" t="inlineStr">
        <is>
          <t>螺杆式</t>
        </is>
      </c>
      <c r="D376" s="150" t="inlineStr">
        <is>
          <t>错别字映射</t>
        </is>
      </c>
      <c r="E376" s="150" t="inlineStr">
        <is>
          <t>空压机</t>
        </is>
      </c>
      <c r="F376" s="150" t="inlineStr">
        <is>
          <t>保留映射审计记录</t>
        </is>
      </c>
    </row>
    <row r="377">
      <c r="A377" s="150" t="inlineStr">
        <is>
          <t>传动方式</t>
        </is>
      </c>
      <c r="B377" s="150" t="inlineStr">
        <is>
          <t>普通电动机直联、A式</t>
        </is>
      </c>
      <c r="C377" s="150" t="inlineStr">
        <is>
          <t>A式传动（普通电动机直联）</t>
        </is>
      </c>
      <c r="D377" s="150" t="inlineStr">
        <is>
          <t>同义词映射</t>
        </is>
      </c>
      <c r="E377" s="150" t="inlineStr">
        <is>
          <t>离心通风机；轴流通风机</t>
        </is>
      </c>
      <c r="F377" s="150" t="str"/>
    </row>
    <row r="378">
      <c r="A378" s="150" t="inlineStr">
        <is>
          <t>传动方式</t>
        </is>
      </c>
      <c r="B378" s="150" t="inlineStr">
        <is>
          <t>外转子直联</t>
        </is>
      </c>
      <c r="C378" s="150" t="inlineStr">
        <is>
          <t>外转子电机直联</t>
        </is>
      </c>
      <c r="D378" s="150" t="inlineStr">
        <is>
          <t>同义词映射</t>
        </is>
      </c>
      <c r="E378" s="150" t="inlineStr">
        <is>
          <t>离心通风机；轴流通风机</t>
        </is>
      </c>
      <c r="F378" s="150" t="str"/>
    </row>
    <row r="379">
      <c r="A379" s="150" t="inlineStr">
        <is>
          <t>燃料品种</t>
        </is>
      </c>
      <c r="B379" s="150" t="inlineStr">
        <is>
          <t>燃气</t>
        </is>
      </c>
      <c r="C379" s="150" t="inlineStr">
        <is>
          <t>天然气</t>
        </is>
      </c>
      <c r="D379" s="150" t="inlineStr">
        <is>
          <t>仅在资料明确为天然气时映射</t>
        </is>
      </c>
      <c r="E379" s="150" t="inlineStr">
        <is>
          <t>工业锅炉</t>
        </is>
      </c>
      <c r="F379" s="150" t="inlineStr">
        <is>
          <t>否则保留原值并提示</t>
        </is>
      </c>
    </row>
    <row r="380">
      <c r="A380" s="150" t="inlineStr">
        <is>
          <t>能源类型</t>
        </is>
      </c>
      <c r="B380" s="150" t="inlineStr">
        <is>
          <t>电、电能</t>
        </is>
      </c>
      <c r="C380" s="150" t="inlineStr">
        <is>
          <t>电力</t>
        </is>
      </c>
      <c r="D380" s="150" t="inlineStr">
        <is>
          <t>同义词映射</t>
        </is>
      </c>
      <c r="E380" s="150" t="inlineStr">
        <is>
          <t>热处理设备</t>
        </is>
      </c>
      <c r="F380" s="150" t="str"/>
    </row>
    <row r="381">
      <c r="A381" s="150" t="inlineStr">
        <is>
          <t>型号文本</t>
        </is>
      </c>
      <c r="B381" s="150" t="inlineStr">
        <is>
          <t>全角字母数字、异常短横线</t>
        </is>
      </c>
      <c r="C381" s="150" t="inlineStr">
        <is>
          <t>半角字符、标准连接符</t>
        </is>
      </c>
      <c r="D381" s="150" t="inlineStr">
        <is>
          <t>字符规范化</t>
        </is>
      </c>
      <c r="E381" s="150" t="inlineStr">
        <is>
          <t>全部</t>
        </is>
      </c>
      <c r="F381" s="150" t="inlineStr">
        <is>
          <t>不改变型号语义</t>
        </is>
      </c>
    </row>
    <row r="382">
      <c r="A382" s="150" t="inlineStr">
        <is>
          <t>文本</t>
        </is>
      </c>
      <c r="B382" s="150" t="inlineStr">
        <is>
          <t>首尾空格、全角空格</t>
        </is>
      </c>
      <c r="C382" s="150" t="inlineStr">
        <is>
          <t>去除首尾空格、半角空格</t>
        </is>
      </c>
      <c r="D382" s="150" t="inlineStr">
        <is>
          <t>字符规范化</t>
        </is>
      </c>
      <c r="E382" s="150" t="inlineStr">
        <is>
          <t>全部</t>
        </is>
      </c>
      <c r="F382" s="150" t="inlineStr">
        <is>
          <t>本版只提示，不自动改写</t>
        </is>
      </c>
    </row>
    <row r="383">
      <c r="A383" s="150" t="inlineStr">
        <is>
          <t>无法映射</t>
        </is>
      </c>
      <c r="B383" s="150" t="inlineStr">
        <is>
          <t>任意未知值</t>
        </is>
      </c>
      <c r="C383" s="150" t="inlineStr">
        <is>
          <t>保留原值</t>
        </is>
      </c>
      <c r="D383" s="150" t="inlineStr">
        <is>
          <t>写入自动备注</t>
        </is>
      </c>
      <c r="E383" s="150" t="inlineStr">
        <is>
          <t>全部</t>
        </is>
      </c>
      <c r="F383" s="150" t="inlineStr">
        <is>
          <t>不得猜测</t>
        </is>
      </c>
    </row>
    <row r="384">
      <c r="A384" s="150" t="n"/>
      <c r="B384" s="150" t="n"/>
      <c r="C384" s="150" t="n"/>
      <c r="D384" s="150" t="n"/>
      <c r="E384" s="150" t="n"/>
      <c r="F384" s="150" t="n"/>
    </row>
    <row r="385">
      <c r="A385" s="150" t="n"/>
      <c r="B385" s="150" t="n"/>
      <c r="C385" s="150" t="n"/>
      <c r="D385" s="150" t="n"/>
      <c r="E385" s="150" t="n"/>
      <c r="F385" s="150" t="n"/>
    </row>
    <row r="386">
      <c r="A386" s="150" t="inlineStr">
        <is>
          <t>量纲</t>
        </is>
      </c>
      <c r="B386" s="150" t="inlineStr">
        <is>
          <t>原单位</t>
        </is>
      </c>
      <c r="C386" s="150" t="inlineStr">
        <is>
          <t>规范单位</t>
        </is>
      </c>
      <c r="D386" s="150" t="inlineStr">
        <is>
          <t>换算关系</t>
        </is>
      </c>
      <c r="E386" s="150" t="inlineStr">
        <is>
          <t>处理约束</t>
        </is>
      </c>
      <c r="F386" s="150" t="inlineStr">
        <is>
          <t>备注</t>
        </is>
      </c>
    </row>
    <row r="387">
      <c r="A387" s="150" t="inlineStr">
        <is>
          <t>功率/损耗</t>
        </is>
      </c>
      <c r="B387" s="150" t="inlineStr">
        <is>
          <t>kW</t>
        </is>
      </c>
      <c r="C387" s="150" t="inlineStr">
        <is>
          <t>W</t>
        </is>
      </c>
      <c r="D387" s="150" t="inlineStr">
        <is>
          <t>1kW=1000W</t>
        </is>
      </c>
      <c r="E387" s="150" t="inlineStr">
        <is>
          <t>按字段单位换算</t>
        </is>
      </c>
      <c r="F387" s="150" t="inlineStr">
        <is>
          <t>变压器损耗统一W</t>
        </is>
      </c>
    </row>
    <row r="388">
      <c r="A388" s="150" t="inlineStr">
        <is>
          <t>功率/损耗</t>
        </is>
      </c>
      <c r="B388" s="150" t="inlineStr">
        <is>
          <t>W</t>
        </is>
      </c>
      <c r="C388" s="150" t="inlineStr">
        <is>
          <t>kW</t>
        </is>
      </c>
      <c r="D388" s="150" t="inlineStr">
        <is>
          <t>1W=0.001kW</t>
        </is>
      </c>
      <c r="E388" s="150" t="inlineStr">
        <is>
          <t>按字段单位换算</t>
        </is>
      </c>
      <c r="F388" s="150" t="str"/>
    </row>
    <row r="389">
      <c r="A389" s="150" t="inlineStr">
        <is>
          <t>压力</t>
        </is>
      </c>
      <c r="B389" s="150" t="inlineStr">
        <is>
          <t>MPa</t>
        </is>
      </c>
      <c r="C389" s="150" t="inlineStr">
        <is>
          <t>kPa</t>
        </is>
      </c>
      <c r="D389" s="150" t="inlineStr">
        <is>
          <t>1MPa=1000kPa</t>
        </is>
      </c>
      <c r="E389" s="150" t="inlineStr">
        <is>
          <t>按字段单位换算</t>
        </is>
      </c>
      <c r="F389" s="150" t="str"/>
    </row>
    <row r="390">
      <c r="A390" s="150" t="inlineStr">
        <is>
          <t>压力</t>
        </is>
      </c>
      <c r="B390" s="150" t="inlineStr">
        <is>
          <t>kPa</t>
        </is>
      </c>
      <c r="C390" s="150" t="inlineStr">
        <is>
          <t>Pa</t>
        </is>
      </c>
      <c r="D390" s="150" t="inlineStr">
        <is>
          <t>1kPa=1000Pa</t>
        </is>
      </c>
      <c r="E390" s="150" t="inlineStr">
        <is>
          <t>按字段单位换算</t>
        </is>
      </c>
      <c r="F390" s="150" t="str"/>
    </row>
    <row r="391">
      <c r="A391" s="150" t="inlineStr">
        <is>
          <t>流量</t>
        </is>
      </c>
      <c r="B391" s="150" t="inlineStr">
        <is>
          <t>m³/s</t>
        </is>
      </c>
      <c r="C391" s="150" t="inlineStr">
        <is>
          <t>m³/h</t>
        </is>
      </c>
      <c r="D391" s="150" t="inlineStr">
        <is>
          <t>1m³/s=3600m³/h</t>
        </is>
      </c>
      <c r="E391" s="150" t="inlineStr">
        <is>
          <t>按字段单位换算</t>
        </is>
      </c>
      <c r="F391" s="150" t="str"/>
    </row>
    <row r="392">
      <c r="A392" s="150" t="inlineStr">
        <is>
          <t>温度</t>
        </is>
      </c>
      <c r="B392" s="150" t="inlineStr">
        <is>
          <t>℃</t>
        </is>
      </c>
      <c r="C392" s="150" t="inlineStr">
        <is>
          <t>K</t>
        </is>
      </c>
      <c r="D392" s="150" t="inlineStr">
        <is>
          <t>K=℃+273.15</t>
        </is>
      </c>
      <c r="E392" s="150" t="inlineStr">
        <is>
          <t>仅绝对温度</t>
        </is>
      </c>
      <c r="F392" s="150" t="inlineStr">
        <is>
          <t>温差不得加273.15</t>
        </is>
      </c>
    </row>
    <row r="393">
      <c r="A393" s="150" t="inlineStr">
        <is>
          <t>效率</t>
        </is>
      </c>
      <c r="B393" s="150" t="inlineStr">
        <is>
          <t>0～1小数</t>
        </is>
      </c>
      <c r="C393" s="150" t="inlineStr">
        <is>
          <t>%本值</t>
        </is>
      </c>
      <c r="D393" s="150" t="inlineStr">
        <is>
          <t>不接受自动换算</t>
        </is>
      </c>
      <c r="E393" s="150" t="inlineStr">
        <is>
          <t>0.98判为无效</t>
        </is>
      </c>
      <c r="F393" s="150" t="inlineStr">
        <is>
          <t>98%必须填写98</t>
        </is>
      </c>
    </row>
    <row r="394">
      <c r="A394" s="150" t="inlineStr">
        <is>
          <t>热值</t>
        </is>
      </c>
      <c r="B394" s="150" t="inlineStr">
        <is>
          <t>MJ/m³</t>
        </is>
      </c>
      <c r="C394" s="150" t="inlineStr">
        <is>
          <t>kJ/m³</t>
        </is>
      </c>
      <c r="D394" s="150" t="inlineStr">
        <is>
          <t>1MJ/m³=1000kJ/m³</t>
        </is>
      </c>
      <c r="E394" s="150" t="inlineStr">
        <is>
          <t>按字段单位换算</t>
        </is>
      </c>
      <c r="F394" s="150" t="str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2026-10-05T03:49:40Z</dcterms:created>
  <dcterms:modified xmlns:dcterms="http://purl.org/dc/terms/" xmlns:xsi="http://www.w3.org/2001/XMLSchema-instance" xsi:type="dcterms:W3CDTF">2026-10-05T03:49:43Z</dcterms:modified>
</cp:coreProperties>
</file>